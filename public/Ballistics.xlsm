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Sites\Inspection\public\"/>
    </mc:Choice>
  </mc:AlternateContent>
  <bookViews>
    <workbookView xWindow="12060" yWindow="120" windowWidth="6615" windowHeight="8445"/>
  </bookViews>
  <sheets>
    <sheet name="2 Shot" sheetId="1" r:id="rId1"/>
    <sheet name="3 Shot" sheetId="4" r:id="rId2"/>
    <sheet name="ANSI High Velocity " sheetId="7" r:id="rId3"/>
    <sheet name="Lion" sheetId="9" r:id="rId4"/>
    <sheet name="V50" sheetId="8" r:id="rId5"/>
    <sheet name="Impact Descriptions" sheetId="5" r:id="rId6"/>
    <sheet name="Product List" sheetId="6" r:id="rId7"/>
  </sheets>
  <calcPr calcId="152511"/>
</workbook>
</file>

<file path=xl/calcChain.xml><?xml version="1.0" encoding="utf-8"?>
<calcChain xmlns="http://schemas.openxmlformats.org/spreadsheetml/2006/main">
  <c r="C5" i="9" l="1"/>
  <c r="C52" i="8" l="1"/>
  <c r="E6" i="8" s="1"/>
  <c r="J37" i="8"/>
  <c r="E37" i="8"/>
  <c r="C51" i="8" l="1"/>
  <c r="E5" i="8" s="1"/>
  <c r="R15" i="7"/>
  <c r="R16" i="7" s="1"/>
  <c r="R17" i="7" s="1"/>
  <c r="R18" i="7" s="1"/>
  <c r="R19" i="7" s="1"/>
  <c r="R20" i="7" s="1"/>
  <c r="R14" i="7"/>
  <c r="J14" i="7"/>
  <c r="J15" i="7" s="1"/>
  <c r="J16" i="7" s="1"/>
  <c r="J17" i="7" s="1"/>
  <c r="J18" i="7" s="1"/>
  <c r="J19" i="7" s="1"/>
  <c r="J20" i="7" s="1"/>
  <c r="R13" i="7"/>
  <c r="J13" i="7"/>
  <c r="B13" i="7"/>
  <c r="B14" i="7" s="1"/>
  <c r="B15" i="7" s="1"/>
  <c r="B16" i="7" s="1"/>
  <c r="B17" i="7" s="1"/>
  <c r="B18" i="7" s="1"/>
  <c r="B19" i="7" s="1"/>
  <c r="B20" i="7" s="1"/>
  <c r="R12" i="7"/>
  <c r="J12" i="7"/>
  <c r="B12" i="7"/>
  <c r="A207" i="4" l="1"/>
  <c r="A208" i="4"/>
  <c r="A209" i="4"/>
  <c r="A210" i="4"/>
  <c r="A211" i="4" s="1"/>
  <c r="A212" i="4" s="1"/>
  <c r="A213" i="4" s="1"/>
  <c r="A202" i="4"/>
  <c r="A203" i="4"/>
  <c r="A204" i="4"/>
  <c r="A205" i="4"/>
  <c r="A206" i="4" s="1"/>
  <c r="A156" i="4"/>
  <c r="A157" i="4"/>
  <c r="A158" i="4" s="1"/>
  <c r="A159" i="4" s="1"/>
  <c r="A160" i="4" s="1"/>
  <c r="A161" i="4" s="1"/>
  <c r="A162" i="4" s="1"/>
  <c r="A163" i="4" s="1"/>
  <c r="A164" i="4" s="1"/>
  <c r="A165" i="4" s="1"/>
  <c r="A166" i="4" s="1"/>
  <c r="A167" i="4" s="1"/>
  <c r="A168" i="4" s="1"/>
  <c r="A169" i="4" s="1"/>
  <c r="A170" i="4" s="1"/>
  <c r="A171" i="4" s="1"/>
  <c r="A172" i="4" s="1"/>
  <c r="A173" i="4" s="1"/>
  <c r="A174" i="4" s="1"/>
  <c r="A175" i="4" s="1"/>
  <c r="A176" i="4" s="1"/>
  <c r="A177" i="4" s="1"/>
  <c r="A178" i="4" s="1"/>
  <c r="A179" i="4" s="1"/>
  <c r="A180" i="4" s="1"/>
  <c r="A181" i="4" s="1"/>
  <c r="A182" i="4" s="1"/>
  <c r="A183" i="4" s="1"/>
  <c r="A184" i="4" s="1"/>
  <c r="A185" i="4" s="1"/>
  <c r="A186" i="4" s="1"/>
  <c r="A187" i="4" s="1"/>
  <c r="A188" i="4" s="1"/>
  <c r="A189" i="4" s="1"/>
  <c r="A190" i="4" s="1"/>
  <c r="A191" i="4" s="1"/>
  <c r="A192" i="4" s="1"/>
  <c r="A193" i="4" s="1"/>
  <c r="A194" i="4" s="1"/>
  <c r="A195" i="4" s="1"/>
  <c r="A196" i="4" s="1"/>
  <c r="A197" i="4" s="1"/>
  <c r="A198" i="4" s="1"/>
  <c r="A199" i="4" s="1"/>
  <c r="A200" i="4" s="1"/>
  <c r="A201" i="4" s="1"/>
  <c r="A78" i="4"/>
  <c r="A79" i="4"/>
  <c r="A80" i="4"/>
  <c r="A81" i="4"/>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104" i="4" s="1"/>
  <c r="A105" i="4" s="1"/>
  <c r="A106" i="4" s="1"/>
  <c r="A107" i="4" s="1"/>
  <c r="A108" i="4" s="1"/>
  <c r="A109" i="4" s="1"/>
  <c r="A110" i="4" s="1"/>
  <c r="A111" i="4" s="1"/>
  <c r="A112" i="4" s="1"/>
  <c r="A113" i="4" s="1"/>
  <c r="A114" i="4" s="1"/>
  <c r="A115" i="4" s="1"/>
  <c r="A116" i="4" s="1"/>
  <c r="A117" i="4" s="1"/>
  <c r="A118" i="4" s="1"/>
  <c r="A119" i="4" s="1"/>
  <c r="A120" i="4" s="1"/>
  <c r="A121" i="4" s="1"/>
  <c r="A122" i="4" s="1"/>
  <c r="A123" i="4" s="1"/>
  <c r="A124" i="4" s="1"/>
  <c r="A125" i="4" s="1"/>
  <c r="A126" i="4" s="1"/>
  <c r="A127" i="4" s="1"/>
  <c r="A128" i="4" s="1"/>
  <c r="A129" i="4" s="1"/>
  <c r="A130" i="4" s="1"/>
  <c r="A131" i="4" s="1"/>
  <c r="A132" i="4" s="1"/>
  <c r="A133" i="4" s="1"/>
  <c r="A134" i="4" s="1"/>
  <c r="A135" i="4" s="1"/>
  <c r="A136" i="4" s="1"/>
  <c r="A137" i="4" s="1"/>
  <c r="A138" i="4" s="1"/>
  <c r="A139" i="4" s="1"/>
  <c r="A140" i="4" s="1"/>
  <c r="A141" i="4" s="1"/>
  <c r="A142" i="4" s="1"/>
  <c r="A143" i="4" s="1"/>
  <c r="A144" i="4" s="1"/>
  <c r="A145" i="4" s="1"/>
  <c r="A146" i="4" s="1"/>
  <c r="A147" i="4" s="1"/>
  <c r="A148" i="4" s="1"/>
  <c r="A149" i="4" s="1"/>
  <c r="A150" i="4" s="1"/>
  <c r="A151" i="4" s="1"/>
  <c r="A152" i="4" s="1"/>
  <c r="A153" i="4" s="1"/>
  <c r="A154" i="4" s="1"/>
  <c r="A155" i="4" s="1"/>
  <c r="A221" i="1"/>
  <c r="A211" i="1"/>
  <c r="A212" i="1"/>
  <c r="A213" i="1" s="1"/>
  <c r="A214" i="1" s="1"/>
  <c r="A215" i="1" s="1"/>
  <c r="A216" i="1" s="1"/>
  <c r="A217" i="1" s="1"/>
  <c r="A218" i="1" s="1"/>
  <c r="A219" i="1" s="1"/>
  <c r="A220" i="1" s="1"/>
  <c r="A201" i="1"/>
  <c r="A202" i="1"/>
  <c r="A203" i="1"/>
  <c r="A204" i="1"/>
  <c r="A205" i="1" s="1"/>
  <c r="A206" i="1" s="1"/>
  <c r="A207" i="1" s="1"/>
  <c r="A208" i="1" s="1"/>
  <c r="A209" i="1" s="1"/>
  <c r="A210" i="1" s="1"/>
  <c r="A173" i="1"/>
  <c r="A174" i="1"/>
  <c r="A175" i="1"/>
  <c r="A176" i="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86" i="1"/>
  <c r="A87" i="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C5" i="4"/>
  <c r="C5" i="1"/>
  <c r="A35" i="4" l="1"/>
  <c r="A36" i="4" l="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43" i="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alcChain>
</file>

<file path=xl/sharedStrings.xml><?xml version="1.0" encoding="utf-8"?>
<sst xmlns="http://schemas.openxmlformats.org/spreadsheetml/2006/main" count="2735" uniqueCount="976">
  <si>
    <t>Date:</t>
  </si>
  <si>
    <t xml:space="preserve">Test: </t>
  </si>
  <si>
    <t>Sample</t>
  </si>
  <si>
    <t>Left Impact Velocity (ft/s)</t>
  </si>
  <si>
    <t>Right Impact Velocity (ft/s)</t>
  </si>
  <si>
    <t>Technician:</t>
  </si>
  <si>
    <t>Left Velocity (ft/s)</t>
  </si>
  <si>
    <t>Right Velocity (ft/s)</t>
  </si>
  <si>
    <t>Center Velocity (ft/s)</t>
  </si>
  <si>
    <t>Left Observation</t>
  </si>
  <si>
    <t>Right Observation</t>
  </si>
  <si>
    <t>Center Observation</t>
  </si>
  <si>
    <t>MIL-PRF-32432</t>
  </si>
  <si>
    <t>Test Para : 4.4.3.3.4</t>
  </si>
  <si>
    <t>Test Para : 4.4.3.3.5</t>
  </si>
  <si>
    <t>Pass/Fail</t>
  </si>
  <si>
    <t>Code</t>
  </si>
  <si>
    <t>F</t>
  </si>
  <si>
    <t>Fracture- Brittle</t>
  </si>
  <si>
    <t>C</t>
  </si>
  <si>
    <t>Crack- Ductile</t>
  </si>
  <si>
    <t>CD</t>
  </si>
  <si>
    <t>Complete Dislodgment of lens from frame</t>
  </si>
  <si>
    <t>PD</t>
  </si>
  <si>
    <t>Partial Dislodgment of Lens from Frame</t>
  </si>
  <si>
    <t>PL</t>
  </si>
  <si>
    <t>Projectile Lodged in Lens (partial penetration)</t>
  </si>
  <si>
    <t>CP</t>
  </si>
  <si>
    <t>Complete Penetration</t>
  </si>
  <si>
    <t>-</t>
  </si>
  <si>
    <t>Partial Penetration (normal impact condition)</t>
  </si>
  <si>
    <t>IL</t>
  </si>
  <si>
    <t>Invalid Impact Location</t>
  </si>
  <si>
    <t>IV</t>
  </si>
  <si>
    <t>Invalid Impact Velocity</t>
  </si>
  <si>
    <t>T</t>
  </si>
  <si>
    <t>Tumbled projectile</t>
  </si>
  <si>
    <t>S</t>
  </si>
  <si>
    <t>Spall</t>
  </si>
  <si>
    <t>Impact Description</t>
  </si>
  <si>
    <t>Description</t>
  </si>
  <si>
    <t>Fracture – Brittle</t>
  </si>
  <si>
    <t>Crack – Ductile</t>
  </si>
  <si>
    <t>Complete Dislodgment of Lens From Frame</t>
  </si>
  <si>
    <t>Partial Dislodgment of Lens From Frame</t>
  </si>
  <si>
    <t>Complete Penetration – Witness foil punctured</t>
  </si>
  <si>
    <t>Tumbled Projectile – Less than 3 of the 4 points of the projectile can be seen</t>
  </si>
  <si>
    <t>RxCD</t>
  </si>
  <si>
    <t>Complete Dislodgment of Rx Lens From Rx Carrier</t>
  </si>
  <si>
    <t>RxPD</t>
  </si>
  <si>
    <t>Partial Dislodgment of  Rx Lens From Rx Carrier</t>
  </si>
  <si>
    <t>RxCCD</t>
  </si>
  <si>
    <t>Complete Dislodgement of Rx Carrier from eyewear</t>
  </si>
  <si>
    <t>WV:</t>
  </si>
  <si>
    <t>Part Number:</t>
  </si>
  <si>
    <t>Description:</t>
  </si>
  <si>
    <t>Item</t>
  </si>
  <si>
    <t>Shape</t>
  </si>
  <si>
    <t>Color</t>
  </si>
  <si>
    <t>Coating</t>
  </si>
  <si>
    <t>Manufacture</t>
  </si>
  <si>
    <t>1-0262-5001</t>
  </si>
  <si>
    <t>SF Lens Clr ANSI HC Rg</t>
  </si>
  <si>
    <t>SF MTS Rg</t>
  </si>
  <si>
    <t>Clr</t>
  </si>
  <si>
    <t>HC</t>
  </si>
  <si>
    <t>Revision</t>
  </si>
  <si>
    <t>1-0262-5004</t>
  </si>
  <si>
    <t>SF Lens Smk ANSI HC Rg</t>
  </si>
  <si>
    <t>Smk</t>
  </si>
  <si>
    <t>1-0262-5009</t>
  </si>
  <si>
    <t>SF Lens Yel ANSI HC Rg</t>
  </si>
  <si>
    <t>Yel</t>
  </si>
  <si>
    <t>1-0262-5010</t>
  </si>
  <si>
    <t>SF Lens Ver ANSI HC Rg</t>
  </si>
  <si>
    <t>Ver</t>
  </si>
  <si>
    <t>1-0262-5011</t>
  </si>
  <si>
    <t>SF Lsr Lens E2-5 ANSI HC Rg</t>
  </si>
  <si>
    <t>E2-5</t>
  </si>
  <si>
    <t>1-0262-5024</t>
  </si>
  <si>
    <t>SF Lens 30-Mocha ANSI HC Rg</t>
  </si>
  <si>
    <t>Mocha</t>
  </si>
  <si>
    <t>1-0262-5025</t>
  </si>
  <si>
    <t>SF Lens Clr ANSI HC Rg MM</t>
  </si>
  <si>
    <t>1-0262-5026</t>
  </si>
  <si>
    <t>SF Lens Smk ANSI HC Rg MM</t>
  </si>
  <si>
    <t>1-0262-5027</t>
  </si>
  <si>
    <t>SF Lens Ver ANSI HC Rg MM</t>
  </si>
  <si>
    <t>1-0262-5028</t>
  </si>
  <si>
    <t>SF Lens 30-Mocha ANSI HC Rg MM</t>
  </si>
  <si>
    <t>1-0262-9001</t>
  </si>
  <si>
    <t>1-0262-9002</t>
  </si>
  <si>
    <t>1-0262-9003</t>
  </si>
  <si>
    <t>1-0263-5001</t>
  </si>
  <si>
    <t>SF Lens Clr ANSI HC Lg</t>
  </si>
  <si>
    <t>SF MTS Lg</t>
  </si>
  <si>
    <t>1-0263-5004</t>
  </si>
  <si>
    <t>SF Lens Smk ANSI HC Lg</t>
  </si>
  <si>
    <t>1-0263-5007</t>
  </si>
  <si>
    <t>SF Lens Yel ANSI HC Lg</t>
  </si>
  <si>
    <t>1-0263-5008</t>
  </si>
  <si>
    <t>SF Lens Ver ANSI HC Lg</t>
  </si>
  <si>
    <t>1-0263-5009</t>
  </si>
  <si>
    <t>SF Lsr Lens E2-5 ANSI HC Lg</t>
  </si>
  <si>
    <t>1-0263-5024</t>
  </si>
  <si>
    <t>SF Lens 30-Mocha ANSI HC Lg</t>
  </si>
  <si>
    <t>1-0263-5025</t>
  </si>
  <si>
    <t>SF Lens Clr ANSI HC Lg MM</t>
  </si>
  <si>
    <t>1-0263-5026</t>
  </si>
  <si>
    <t>SF Lens Smk ANSI HC Lg MM</t>
  </si>
  <si>
    <t>1-0263-5027</t>
  </si>
  <si>
    <t>SF Lens Ver ANSI HC Lg MM</t>
  </si>
  <si>
    <t>1-0263-5028</t>
  </si>
  <si>
    <t>SF Lens 30-Mocha ANSI HC Lg MM</t>
  </si>
  <si>
    <t>1-0263-9001</t>
  </si>
  <si>
    <t>1-0263-9002</t>
  </si>
  <si>
    <t>1-0263-9003</t>
  </si>
  <si>
    <t>1-0714-0100</t>
  </si>
  <si>
    <t>Base 5.5 Cyl Blank Clr AF</t>
  </si>
  <si>
    <t>Base 5.5</t>
  </si>
  <si>
    <t>AF</t>
  </si>
  <si>
    <t>1-0714-5001</t>
  </si>
  <si>
    <t>1-0714-5002</t>
  </si>
  <si>
    <t>Base 5.5 Cyl Blank Smk AF</t>
  </si>
  <si>
    <t>1-0714-5003</t>
  </si>
  <si>
    <t>Base 5.5 Cyl Blank Yel AF</t>
  </si>
  <si>
    <t>1-0714-5011</t>
  </si>
  <si>
    <t>Base 5.5 Cyl Blank NG AF</t>
  </si>
  <si>
    <t>NG</t>
  </si>
  <si>
    <t>1-0714-5014</t>
  </si>
  <si>
    <t>Base 5.5 Cyl Blank Ver AF</t>
  </si>
  <si>
    <t>1-0714-5017</t>
  </si>
  <si>
    <t>Base 5.5 Cyl Blank E2-5 Lsr AF</t>
  </si>
  <si>
    <t>1-0714-5022</t>
  </si>
  <si>
    <t>Base 5.5 Cyl Blank Clr Gel AF</t>
  </si>
  <si>
    <t>1-0714-5023</t>
  </si>
  <si>
    <t>Base 5.5 Cyl Blank Ver Gel AF</t>
  </si>
  <si>
    <t>1-0714-5024</t>
  </si>
  <si>
    <t>Base 5.5 Cyl Blank NG Gel AF</t>
  </si>
  <si>
    <t>1-0714-5028</t>
  </si>
  <si>
    <t>Base 5.5 Cyl Blank Clr AF Int'l</t>
  </si>
  <si>
    <t>Clr Int'l</t>
  </si>
  <si>
    <t>1-0714-5029</t>
  </si>
  <si>
    <t>Base 5.5 Cyl Blank Clr AF US</t>
  </si>
  <si>
    <t>1-0714-5030</t>
  </si>
  <si>
    <t>Base 5.5 Cyl Blank E2-5 AF</t>
  </si>
  <si>
    <t>1-0714-5031</t>
  </si>
  <si>
    <t>Base 5.5 Cyl Blank VER AF</t>
  </si>
  <si>
    <t>1-0714-5032</t>
  </si>
  <si>
    <t>Base 5.5 Cyl Blank YEL AF</t>
  </si>
  <si>
    <t>1-0714-5033</t>
  </si>
  <si>
    <t>1-0714-5034</t>
  </si>
  <si>
    <t>1-0725-0100</t>
  </si>
  <si>
    <t>Base 6 Sphr Blank PHC</t>
  </si>
  <si>
    <t>Base 6.0</t>
  </si>
  <si>
    <t>PHC</t>
  </si>
  <si>
    <t>1-0725-5001</t>
  </si>
  <si>
    <t>Base 6 Sphr Blank Clr HC</t>
  </si>
  <si>
    <t>1-0725-5002</t>
  </si>
  <si>
    <t>Base 6 Sphr Blank Smk HC</t>
  </si>
  <si>
    <t>1-0725-5003</t>
  </si>
  <si>
    <t>Base 6 Sphr Blank Yel HC</t>
  </si>
  <si>
    <t>Yek</t>
  </si>
  <si>
    <t>1-0725-5004</t>
  </si>
  <si>
    <t>Base 6 Sphr Blank FT-2 Lsr HC</t>
  </si>
  <si>
    <t>FT-2</t>
  </si>
  <si>
    <t>1-0725-5009</t>
  </si>
  <si>
    <t>Base 6 Sphr Blank NG HC</t>
  </si>
  <si>
    <t>1-0725-5011</t>
  </si>
  <si>
    <t>Base 6 Sphr Blank E2-5 Lsr HC DND</t>
  </si>
  <si>
    <t>1-0725-5019</t>
  </si>
  <si>
    <t>Base 6 Sphr Blank Clr AF</t>
  </si>
  <si>
    <t>1-0725-5021</t>
  </si>
  <si>
    <t>Base 6 Sphr Blank Smk AF</t>
  </si>
  <si>
    <t>1-0725-5023</t>
  </si>
  <si>
    <t>Base 6 Sphr Blank NG AF</t>
  </si>
  <si>
    <t>1-0725-5025</t>
  </si>
  <si>
    <t>Base 6 Sphr Blank Yel AF</t>
  </si>
  <si>
    <t>1-0725-5027</t>
  </si>
  <si>
    <t>Base 6 Sphr Blank Ver AF</t>
  </si>
  <si>
    <t>1-0725-5032</t>
  </si>
  <si>
    <t>Base 6 Sphr Blank T64 Lsr HC</t>
  </si>
  <si>
    <t>T64</t>
  </si>
  <si>
    <t>1-0725-5036</t>
  </si>
  <si>
    <t>Base 6 Sphr Blank Ver HC</t>
  </si>
  <si>
    <t>1-0725-5037</t>
  </si>
  <si>
    <t>Base 6 Sphr Blank E2-5 Lsr AF</t>
  </si>
  <si>
    <t>1-0725-5038</t>
  </si>
  <si>
    <t>Base 6 Sphr Blank FT-2 Lsr AF</t>
  </si>
  <si>
    <t>1-0725-5040</t>
  </si>
  <si>
    <t>Base 6 Sphr Blank C5-6-10 Lsr HC</t>
  </si>
  <si>
    <t>C-5-6-10</t>
  </si>
  <si>
    <t>1-0725-5043</t>
  </si>
  <si>
    <t>Base 6 Sphr Blank Clr HC DND</t>
  </si>
  <si>
    <t>1-0725-5044</t>
  </si>
  <si>
    <t>Base 6 Sphr Blank Smk HC DND</t>
  </si>
  <si>
    <t>1-0725-5045</t>
  </si>
  <si>
    <t>Base 6 Sphr Blank Clr Gel AF</t>
  </si>
  <si>
    <t>1-0725-5046</t>
  </si>
  <si>
    <t>Base 6 Sphr Blank Smk Gel AF</t>
  </si>
  <si>
    <t>1-0725-5047</t>
  </si>
  <si>
    <t>Base 6 Sphr Blank NG Gel AF</t>
  </si>
  <si>
    <t>1-0725-5048</t>
  </si>
  <si>
    <t>Base 6 Sphr Blank Yel Gel AF</t>
  </si>
  <si>
    <t>1-0725-5049</t>
  </si>
  <si>
    <t>Base 6 Sphr Blank Ver Gel AF</t>
  </si>
  <si>
    <t>1-0725-5052</t>
  </si>
  <si>
    <t>Base 6 Sphr Blank E2-5 Gel Lsr AF</t>
  </si>
  <si>
    <t>1-0725-5053</t>
  </si>
  <si>
    <t>Base 6 Sphr Blank Sng HC</t>
  </si>
  <si>
    <t>Sng</t>
  </si>
  <si>
    <t>1-0725-5055</t>
  </si>
  <si>
    <t>Base 6 Sphr Blank E2-5 UVS Lsr AF</t>
  </si>
  <si>
    <t>1-0725-5057</t>
  </si>
  <si>
    <t>Base 6 Sphr Blank E2-5 UVS Lsr HC</t>
  </si>
  <si>
    <t>1-0725-5058</t>
  </si>
  <si>
    <t>1-0725-5060</t>
  </si>
  <si>
    <t>Base 6 Sphr Blank Clr AF Int'l</t>
  </si>
  <si>
    <t>1-0725-5061</t>
  </si>
  <si>
    <t>Base 6 Sphr Blank Clr AF US</t>
  </si>
  <si>
    <t>Clr US</t>
  </si>
  <si>
    <t>1-0725-5062</t>
  </si>
  <si>
    <t>Base 6 Sphr Blank E25 AF</t>
  </si>
  <si>
    <t>1-0725-5063</t>
  </si>
  <si>
    <t>1-0725-5064</t>
  </si>
  <si>
    <t>1-0725-5065</t>
  </si>
  <si>
    <t>Base 6 Sphr Blank VER AF</t>
  </si>
  <si>
    <t>1-0725-5066</t>
  </si>
  <si>
    <t>Base 6 Sphr Blank YEL AF</t>
  </si>
  <si>
    <t>1-0868-0001</t>
  </si>
  <si>
    <t>Base 6.8 Blank Clr Gel HC</t>
  </si>
  <si>
    <t>Base 6.8</t>
  </si>
  <si>
    <t>1-0868-0002</t>
  </si>
  <si>
    <t>Base 6.8 Blank Smk Gel HC</t>
  </si>
  <si>
    <t>1-0868-0003</t>
  </si>
  <si>
    <t>Base 6.8 Blank Yel Gel HC</t>
  </si>
  <si>
    <t>1-0868-0004</t>
  </si>
  <si>
    <t>Base 6.8 Blank Ver Gel HC</t>
  </si>
  <si>
    <t>1-0868-0005</t>
  </si>
  <si>
    <t>Base 6.8 Blank NG Gel HC</t>
  </si>
  <si>
    <t>1-0868-0006</t>
  </si>
  <si>
    <t>Base 6.8 Blank Clr Gel-Vis AF</t>
  </si>
  <si>
    <t>1-0868-0007</t>
  </si>
  <si>
    <t>Base 6.8 Blank Smk Gel-Vis AF</t>
  </si>
  <si>
    <t>1-0868-0100</t>
  </si>
  <si>
    <t>Base 6.8 Blank PHC</t>
  </si>
  <si>
    <t>1-0868-5001</t>
  </si>
  <si>
    <t>Base 6.8 Sphr Blank Clr HC</t>
  </si>
  <si>
    <t>1-0868-5002</t>
  </si>
  <si>
    <t>Base 6.8 Sphr Blank Smk HC</t>
  </si>
  <si>
    <t>1-0868-5003</t>
  </si>
  <si>
    <t>Base 6.8 Sphr Blank NG HC</t>
  </si>
  <si>
    <t>1-0868-5004</t>
  </si>
  <si>
    <t>Base 6.8 Sphr Blank Yel HC</t>
  </si>
  <si>
    <t>1-0868-5005</t>
  </si>
  <si>
    <t>Base 6.8 Sphr Blank Ver HC</t>
  </si>
  <si>
    <t>1-0868-5006</t>
  </si>
  <si>
    <t>Base 6.8 Sphr Blank FT-2 Lsr HC</t>
  </si>
  <si>
    <t>1-0868-5007</t>
  </si>
  <si>
    <t>Base 6.8 Sphr Blank Clr AF</t>
  </si>
  <si>
    <t>1-0868-5008</t>
  </si>
  <si>
    <t>Base 6.8 Sphr Blank Smk AF</t>
  </si>
  <si>
    <t>1-0868-5009</t>
  </si>
  <si>
    <t>Base 6.8 Sphr Blank NG AF</t>
  </si>
  <si>
    <t>1-0868-5010</t>
  </si>
  <si>
    <t>Base 6.8 Sphr Blank Yel AF</t>
  </si>
  <si>
    <t>1-0868-5011</t>
  </si>
  <si>
    <t>Base 6.8 Sphr Blank Ver AF</t>
  </si>
  <si>
    <t>1-0868-5016</t>
  </si>
  <si>
    <t>Base 6.8 Sphr Blank E2-5 Gel Lsr AF</t>
  </si>
  <si>
    <t>1-0868-5018</t>
  </si>
  <si>
    <t>Base 6.8 Sphr Blank E2-5 Lsr HC</t>
  </si>
  <si>
    <t>1-0868-5019</t>
  </si>
  <si>
    <t>Base 6.8 Sphr Blank Clr Gel AF</t>
  </si>
  <si>
    <t>1-0868-5020</t>
  </si>
  <si>
    <t>Base 6.8 Sphr Blank NG Gel AF</t>
  </si>
  <si>
    <t>1-0868-5021</t>
  </si>
  <si>
    <t>Base 6.8 Sphr Blank Ver Gel AF</t>
  </si>
  <si>
    <t>1-0868-5023</t>
  </si>
  <si>
    <t>Base 6.8 Sphr Blank Smk Gel AF</t>
  </si>
  <si>
    <t>1-0868-5024</t>
  </si>
  <si>
    <t>Base 6.8 Sphr Blank 30-Mocha HC</t>
  </si>
  <si>
    <t>1-0868-5026</t>
  </si>
  <si>
    <t>Base 6.8 Sphr Blank E2-5 UVS Lsr AF</t>
  </si>
  <si>
    <t>1-0868-5041</t>
  </si>
  <si>
    <t>Base 6.8 Sphr Blank E2-5 AF</t>
  </si>
  <si>
    <t>1-0868-5042</t>
  </si>
  <si>
    <t>Base 6.8 Sphr Blank Clr Int'l AF</t>
  </si>
  <si>
    <t>1-0868-5043</t>
  </si>
  <si>
    <t>Base 6.8 Sphr Blank Clr AF US</t>
  </si>
  <si>
    <t>1-0868-5044</t>
  </si>
  <si>
    <t>smk</t>
  </si>
  <si>
    <t>1-0868-5045</t>
  </si>
  <si>
    <t>Base 6.8 Sphr Blank VER AF</t>
  </si>
  <si>
    <t>1-0868-5046</t>
  </si>
  <si>
    <t>Base 6.8 Sphr Blank YEL AF</t>
  </si>
  <si>
    <t>1-0868-5047</t>
  </si>
  <si>
    <t>1-0868-5048</t>
  </si>
  <si>
    <t>1-0868-5049</t>
  </si>
  <si>
    <t>1-0868-5050</t>
  </si>
  <si>
    <t>1-0868-5051</t>
  </si>
  <si>
    <t>1-0868-5052</t>
  </si>
  <si>
    <t>1-0868-5053</t>
  </si>
  <si>
    <t>Base 6.8 Sphr Blank Clr AF Int'l</t>
  </si>
  <si>
    <t>2-0279-0100</t>
  </si>
  <si>
    <t>BA Lens Pair Clr AF</t>
  </si>
  <si>
    <t>BA Pair</t>
  </si>
  <si>
    <t>2-0279-0101</t>
  </si>
  <si>
    <t>BA Lens Pair Clr AF EN</t>
  </si>
  <si>
    <t>2-0279-0102</t>
  </si>
  <si>
    <t>BA Lens Pair Clr HC/AF DC Nomk</t>
  </si>
  <si>
    <t>2-0279-0103</t>
  </si>
  <si>
    <t>BA Lens Pair Clr HC/AF Nomk</t>
  </si>
  <si>
    <t>2-0279-0107</t>
  </si>
  <si>
    <t>BA Lens Pair Clr HC2/AFNK50</t>
  </si>
  <si>
    <t>2-0279-0200</t>
  </si>
  <si>
    <t>BA Lens Pair NG AF</t>
  </si>
  <si>
    <t>2-0279-0201</t>
  </si>
  <si>
    <t>BA Lens Pair NG AF EN</t>
  </si>
  <si>
    <t>2-0279-0202</t>
  </si>
  <si>
    <t>BA Lens Pair NG HC/AF DC Nomk</t>
  </si>
  <si>
    <t>2-0279-0203</t>
  </si>
  <si>
    <t>BA Lens Pair Smk HC/AF Nomk</t>
  </si>
  <si>
    <t>2-0279-0207</t>
  </si>
  <si>
    <t>BA Lens Pair NG HC2/AFNK50</t>
  </si>
  <si>
    <t>2-0279-0300</t>
  </si>
  <si>
    <t>BA Lens Pair Yel AF</t>
  </si>
  <si>
    <t>2-0279-0301</t>
  </si>
  <si>
    <t>BA Lens Pair Yel AF EN</t>
  </si>
  <si>
    <t>2-0279-0307</t>
  </si>
  <si>
    <t>BA Lens Pair Yel HC2/AFNK50</t>
  </si>
  <si>
    <t>2-0279-0400</t>
  </si>
  <si>
    <t>BA Lens Pair Ver AF</t>
  </si>
  <si>
    <t>2-0279-0401</t>
  </si>
  <si>
    <t>BA Lens Pair Ver AF EN</t>
  </si>
  <si>
    <t>2-0279-0407</t>
  </si>
  <si>
    <t>BA Lens Pair Ver HC2/AFNK50</t>
  </si>
  <si>
    <t>2-0279-0500</t>
  </si>
  <si>
    <t>BA Lens Pair Smk AF</t>
  </si>
  <si>
    <t>2-0279-5100</t>
  </si>
  <si>
    <t>BA Lens Pair Clr AF ANSI-EN</t>
  </si>
  <si>
    <t>2-0279-5101</t>
  </si>
  <si>
    <t>BA Lens Pair Clr ANSI</t>
  </si>
  <si>
    <t>2-0279-5200</t>
  </si>
  <si>
    <t>BA Lens Pair NG AF ANSI-EN</t>
  </si>
  <si>
    <t>2-0279-5300</t>
  </si>
  <si>
    <t>BA Lens Pair Yel AF ANSI-EN</t>
  </si>
  <si>
    <t>2-0279-5501</t>
  </si>
  <si>
    <t>BA Lens Pair Smk ANSI</t>
  </si>
  <si>
    <t>1-0716-0005</t>
  </si>
  <si>
    <t>SF Lens Clr Max EN Rg</t>
  </si>
  <si>
    <t>SF Max Rg</t>
  </si>
  <si>
    <t>1-0716-0006</t>
  </si>
  <si>
    <t>SF Lens NG Max EN Rg</t>
  </si>
  <si>
    <t>1-0716-0007</t>
  </si>
  <si>
    <t>SF Lens Yel Max EN Rg</t>
  </si>
  <si>
    <t>1-0716-0008</t>
  </si>
  <si>
    <t>SF Lens Ver Max EN Rg</t>
  </si>
  <si>
    <t>1-0716-0009</t>
  </si>
  <si>
    <t>SF Lens Clr Max EN AF Rg</t>
  </si>
  <si>
    <t>1-0716-0010</t>
  </si>
  <si>
    <t>SF Lens NG Max EN AF Rg</t>
  </si>
  <si>
    <t>1-0716-0011</t>
  </si>
  <si>
    <t>SF Lens Yel Max EN AF Rg</t>
  </si>
  <si>
    <t>1-0716-0016</t>
  </si>
  <si>
    <t>SF Lens Clr Max Gel HC Rg</t>
  </si>
  <si>
    <t>1-0716-0017</t>
  </si>
  <si>
    <t>SF Lens NG Max Gel HC Rg</t>
  </si>
  <si>
    <t>1-0716-0018</t>
  </si>
  <si>
    <t>SF Lens Smk Max Gel HC Rg</t>
  </si>
  <si>
    <t>1-0716-0019</t>
  </si>
  <si>
    <t>SF Lens Yel Max Gel HC Rg</t>
  </si>
  <si>
    <t>1-0716-0020</t>
  </si>
  <si>
    <t>SF Lens Ver Max Gel HC Rg</t>
  </si>
  <si>
    <t>1-0716-0021</t>
  </si>
  <si>
    <t>SF Lens Smk Max EN Rg</t>
  </si>
  <si>
    <t>1-0716-0022</t>
  </si>
  <si>
    <t>SF Lens Smk Max EN AF Rg</t>
  </si>
  <si>
    <t>1-0716-0023</t>
  </si>
  <si>
    <t>SF Lens Clr Max EN Rg DE</t>
  </si>
  <si>
    <t>1-0716-0024</t>
  </si>
  <si>
    <t>SF Lens NG Max EN Rg DE</t>
  </si>
  <si>
    <t>1-0716-0025</t>
  </si>
  <si>
    <t>SF Lens Ver Max EN Rg DE</t>
  </si>
  <si>
    <t>1-0716-0026</t>
  </si>
  <si>
    <t>SF Lens Clr Max Nomk Rg</t>
  </si>
  <si>
    <t>1-0716-0027</t>
  </si>
  <si>
    <t>SF Lens Smk Max Nomk Rg</t>
  </si>
  <si>
    <t>1-0716-0028</t>
  </si>
  <si>
    <t>SF Lens Yel Max EN Rg DE</t>
  </si>
  <si>
    <t>1-0716-0033</t>
  </si>
  <si>
    <t>SF Lens Clr Max EN HC2/NK50 Rg DE</t>
  </si>
  <si>
    <t>1-0716-0034</t>
  </si>
  <si>
    <t>SF Lens NG Max EN HC2/NK50 Rg DE</t>
  </si>
  <si>
    <t>1-0716-0035</t>
  </si>
  <si>
    <t>SF Lens Yel Max EN HC2/NK50 Rg DE</t>
  </si>
  <si>
    <t>1-0716-0036</t>
  </si>
  <si>
    <t>SF Lens Ver Max EN HC2/NK50 Rg DE</t>
  </si>
  <si>
    <t>1-0716-0037</t>
  </si>
  <si>
    <t>SF Lens Smk Max EN HC2/NK50 Rg DE</t>
  </si>
  <si>
    <t>1-0716-0039</t>
  </si>
  <si>
    <t>SF Lens LT-Ver Max EN AF Rg</t>
  </si>
  <si>
    <t>1-0716-0041</t>
  </si>
  <si>
    <t>SF Lens Clr Max AF Rg CH</t>
  </si>
  <si>
    <t>1-0716-0100</t>
  </si>
  <si>
    <t>SF Lens Clr Max AF Rg Nomk</t>
  </si>
  <si>
    <t>1-0716-0101</t>
  </si>
  <si>
    <t>SF Lens Int'l Clr Max AF Rg Nomk</t>
  </si>
  <si>
    <t>1-0716-5001</t>
  </si>
  <si>
    <t>SF Lens Max FT-2 EN HC Rg</t>
  </si>
  <si>
    <t>1-0716-5003</t>
  </si>
  <si>
    <t>SF Lsr Lens E2-5 UVS Max HC Rg DE</t>
  </si>
  <si>
    <t>1-0716-5007</t>
  </si>
  <si>
    <t>SF Lens Yel Max Nomk AF Rg</t>
  </si>
  <si>
    <t>1-0716-5009</t>
  </si>
  <si>
    <t>SF Lens Clr Max EN AF Rg DE</t>
  </si>
  <si>
    <t>1-0716-5011</t>
  </si>
  <si>
    <t>SF Lens Ver Max EN AF Rg DE</t>
  </si>
  <si>
    <t>1-0716-5018</t>
  </si>
  <si>
    <t>SF Lens Smk Max EN AF Rg DE</t>
  </si>
  <si>
    <t>1-0716-5029</t>
  </si>
  <si>
    <t>SF Lsr Lens C5-6-10 Max EN AF Rg</t>
  </si>
  <si>
    <t>C5-6-10</t>
  </si>
  <si>
    <t>1-0716-5043</t>
  </si>
  <si>
    <t>SF Lens Clr Max EN HC Rg DE</t>
  </si>
  <si>
    <t>1-0716-5047</t>
  </si>
  <si>
    <t>SF Lens Smk Max EN Gel AF Rg DE</t>
  </si>
  <si>
    <t>1-0716-5051</t>
  </si>
  <si>
    <t>SF Lsr Lens E2-5 UVS Max EN AF Rg DE</t>
  </si>
  <si>
    <t>1-0716-5102</t>
  </si>
  <si>
    <t>SF Lens Clr Max AF Rg</t>
  </si>
  <si>
    <t>1-0716-5401</t>
  </si>
  <si>
    <t>SF Lens Ver Max AF Rg CH</t>
  </si>
  <si>
    <t>1-0715-0004</t>
  </si>
  <si>
    <t>SF Lens Ver Max Nomk Lg</t>
  </si>
  <si>
    <t>SF Max Lg</t>
  </si>
  <si>
    <t>1-0715-0005</t>
  </si>
  <si>
    <t>SF Lens Clr Max EN Lg</t>
  </si>
  <si>
    <t>1-0715-0006</t>
  </si>
  <si>
    <t>SF Lens NG Max EN Lg</t>
  </si>
  <si>
    <t>1-0715-0007</t>
  </si>
  <si>
    <t>SF Lens Yel Max EN Lg</t>
  </si>
  <si>
    <t>1-0715-0008</t>
  </si>
  <si>
    <t>SF Lens Ver Max EN Lg</t>
  </si>
  <si>
    <t>1-0715-0009</t>
  </si>
  <si>
    <t>SF Lens Clr Max EN AF Lg</t>
  </si>
  <si>
    <t>1-0715-0010</t>
  </si>
  <si>
    <t>SF Lens NG Max EN AF Lg</t>
  </si>
  <si>
    <t>1-0715-0011</t>
  </si>
  <si>
    <t>SF Lens Yel Max EN AF Lg</t>
  </si>
  <si>
    <t>1-0715-0016</t>
  </si>
  <si>
    <t>SF Lens Clr Max Gel HC Lg</t>
  </si>
  <si>
    <t>1-0715-0017</t>
  </si>
  <si>
    <t>SF Lens NG Max Gel HC Lg</t>
  </si>
  <si>
    <t>1-0715-0018</t>
  </si>
  <si>
    <t>SF Lens Smk Max Gel HC Lg</t>
  </si>
  <si>
    <t>1-0715-0019</t>
  </si>
  <si>
    <t>SF Lens Yel Max Gel HC Lg</t>
  </si>
  <si>
    <t>1-0715-0020</t>
  </si>
  <si>
    <t>SF Lens Ver Max Gel HC Lg</t>
  </si>
  <si>
    <t>1-0715-0021</t>
  </si>
  <si>
    <t>SF Lens Smk Max EN Lg</t>
  </si>
  <si>
    <t>1-0715-0022</t>
  </si>
  <si>
    <t>SF Lens Smk Max EN AF Lg</t>
  </si>
  <si>
    <t>1-0715-0023</t>
  </si>
  <si>
    <t>SF Lens Clr Max EN Lg DE</t>
  </si>
  <si>
    <t>1-0715-0024</t>
  </si>
  <si>
    <t>SF Lens NG Max EN Lg DE</t>
  </si>
  <si>
    <t>1-0715-0025</t>
  </si>
  <si>
    <t>SF Lens Ver Max EN Lg DE</t>
  </si>
  <si>
    <t>1-0715-0026</t>
  </si>
  <si>
    <t>SF Lens Clr Max Nomk Lg</t>
  </si>
  <si>
    <t>1-0715-0027</t>
  </si>
  <si>
    <t>SF Lens Smk Max Nomk Lg</t>
  </si>
  <si>
    <t>1-0715-0028</t>
  </si>
  <si>
    <t>SF Lens Yel Max EN Lg DE</t>
  </si>
  <si>
    <t>1-0715-0033</t>
  </si>
  <si>
    <t>SF Lens Clr Max EN HC2/NK50 Lg DE</t>
  </si>
  <si>
    <t>1-0715-0034</t>
  </si>
  <si>
    <t>SF Lens NG Max EN HC2/NK50 Lg DE</t>
  </si>
  <si>
    <t>1-0715-0035</t>
  </si>
  <si>
    <t>SF Lens Yel Max EN HC2/NK50 Lg DE</t>
  </si>
  <si>
    <t>1-0715-0036</t>
  </si>
  <si>
    <t>SF Lens Ver Max EN HC2/NK50 Lg DE</t>
  </si>
  <si>
    <t>1-0715-0037</t>
  </si>
  <si>
    <t>SF Lens Smk Max EN HC2/NK50 Lg DE</t>
  </si>
  <si>
    <t>1-0715-0039</t>
  </si>
  <si>
    <t>SF Lens LT-Ver Max EN AF Lg</t>
  </si>
  <si>
    <t>1-0715-0044</t>
  </si>
  <si>
    <t>SF Lens Smk Max AF Lg Nomk</t>
  </si>
  <si>
    <t>1-0715-0100</t>
  </si>
  <si>
    <t>SF Lens Clr Max AF Lg Nomk</t>
  </si>
  <si>
    <t>1-0715-0101</t>
  </si>
  <si>
    <t>SF Lens Int'l Clr Max AF Lg Nomk</t>
  </si>
  <si>
    <t>1-0715-5001</t>
  </si>
  <si>
    <t>SF Lsr Lens FT-2 Max HC Lg</t>
  </si>
  <si>
    <t>1-0715-5003</t>
  </si>
  <si>
    <t>SF Lsr Lens E2-5 UVS Max HC Lg DE</t>
  </si>
  <si>
    <t>1-0715-5011</t>
  </si>
  <si>
    <t>SF Lens Max Clr EN AF Lg DE</t>
  </si>
  <si>
    <t>1-0715-5013</t>
  </si>
  <si>
    <t>SF Lens Max Ver EN AF Lg DE</t>
  </si>
  <si>
    <t>1-0715-5015</t>
  </si>
  <si>
    <t>SF Lens Max Smk EN AF Lg DE</t>
  </si>
  <si>
    <t>1-0715-5016</t>
  </si>
  <si>
    <t>SF Lens Ver Max EN AF Lg</t>
  </si>
  <si>
    <t>1-0715-5029</t>
  </si>
  <si>
    <t>SF Lsr Lens  C5-6-10 Max EN AF Lg</t>
  </si>
  <si>
    <t>1-0715-5043</t>
  </si>
  <si>
    <t>SF Lens Clr Max EN HC Lg DE</t>
  </si>
  <si>
    <t>1-0715-5047</t>
  </si>
  <si>
    <t>SF Lens Smk Max EN Gel AF Lg DE</t>
  </si>
  <si>
    <t>1-0715-5051</t>
  </si>
  <si>
    <t>SF Lsr Lens E2-5 UVS Max EN AF Lg DE</t>
  </si>
  <si>
    <t>1-0715-5201</t>
  </si>
  <si>
    <t>SF Lens Smk Max AF Lg CH</t>
  </si>
  <si>
    <t>2-0490-0001</t>
  </si>
  <si>
    <t>HF SG Asm Blk/Clr</t>
  </si>
  <si>
    <t>Hell Fly</t>
  </si>
  <si>
    <t>2-0490-0002</t>
  </si>
  <si>
    <t>HF SG Asm Blk/Smk</t>
  </si>
  <si>
    <t>2-0490-0003</t>
  </si>
  <si>
    <t>HF SG Asm Blk/Midnight Mirror</t>
  </si>
  <si>
    <t>Mid Mir</t>
  </si>
  <si>
    <t>2-0490-0004</t>
  </si>
  <si>
    <t>HF SG Asm Blk/Y88 Blk-HCn</t>
  </si>
  <si>
    <t>Y88</t>
  </si>
  <si>
    <t>2-0490-0005</t>
  </si>
  <si>
    <t>HF SG Asm Taupe/Smk</t>
  </si>
  <si>
    <t>2-0490-0006</t>
  </si>
  <si>
    <t>HF SG Asm Steel Blue/Smk</t>
  </si>
  <si>
    <t>2-0490-0007</t>
  </si>
  <si>
    <t>HF SG Asm Silver/Ocean Mirror</t>
  </si>
  <si>
    <t>Omir</t>
  </si>
  <si>
    <t>2-0490-0008</t>
  </si>
  <si>
    <t>HF SG Asm White/Smk Mirror</t>
  </si>
  <si>
    <t>Smk Mir</t>
  </si>
  <si>
    <t>2-0490-0009</t>
  </si>
  <si>
    <t>HF SG Asm Khaki/Flame Mirror</t>
  </si>
  <si>
    <t>Flm Mir</t>
  </si>
  <si>
    <t>2-0490-0010</t>
  </si>
  <si>
    <t>HF SG Asm FG/Smk</t>
  </si>
  <si>
    <t>2-0490-0011</t>
  </si>
  <si>
    <t>HF SG Asm FG/Clr</t>
  </si>
  <si>
    <t>2-0490-0016-OS</t>
  </si>
  <si>
    <t>HF SG Asm Blk/PHC</t>
  </si>
  <si>
    <t>2-0490-0022</t>
  </si>
  <si>
    <t>HF SG Asm Black/Flame Mirror</t>
  </si>
  <si>
    <t>2-0490-0024</t>
  </si>
  <si>
    <t>HF SG Asm Blk/Plzd</t>
  </si>
  <si>
    <t>PLZD</t>
  </si>
  <si>
    <t>2-0490-0101</t>
  </si>
  <si>
    <t>HF SG Asm Blk-OM/Smk</t>
  </si>
  <si>
    <t>2-0490-0102</t>
  </si>
  <si>
    <t>HF SG Asm Blk-OM/Clr</t>
  </si>
  <si>
    <t>2-0490-0103</t>
  </si>
  <si>
    <t>HF SG Asm Blk-OM/Midnight Mirror</t>
  </si>
  <si>
    <t>2-0490-0104</t>
  </si>
  <si>
    <t>HF SG Asm Blk-OM/Flame Mirror</t>
  </si>
  <si>
    <t>2-0490-0111</t>
  </si>
  <si>
    <t>HF SG Asm Blk/Clr Rx</t>
  </si>
  <si>
    <t>2-0490-0111-OS</t>
  </si>
  <si>
    <t>2-0490-0112</t>
  </si>
  <si>
    <t>HF SG Asm Blk/Smk Rx</t>
  </si>
  <si>
    <t>2-0490-0112-OS</t>
  </si>
  <si>
    <t>2-0490-0113</t>
  </si>
  <si>
    <t>HF SG Asm Blk/Mid Mir Rx</t>
  </si>
  <si>
    <t>2-0490-0113-OS</t>
  </si>
  <si>
    <t>2-0490-0114</t>
  </si>
  <si>
    <t>HF SG Asm Blk/Y88 Blk-HCn Rx</t>
  </si>
  <si>
    <t>2-0490-0114-OS</t>
  </si>
  <si>
    <t>2-0490-0115</t>
  </si>
  <si>
    <t>HF SG Asm Taupe/Smk Rx</t>
  </si>
  <si>
    <t>2-0490-0115-OS</t>
  </si>
  <si>
    <t>2-0490-0116</t>
  </si>
  <si>
    <t>HF SG Asm Steel Blue/Smk Rx</t>
  </si>
  <si>
    <t>2-0490-0116-OS</t>
  </si>
  <si>
    <t>2-0490-0117</t>
  </si>
  <si>
    <t>HF SG Asm Silver/Omir Rx</t>
  </si>
  <si>
    <t>2-0490-0117-OS</t>
  </si>
  <si>
    <t>2-0490-0118</t>
  </si>
  <si>
    <t>HF SG Asm White/Smk Mirror Rx</t>
  </si>
  <si>
    <t>2-0490-0118-OS</t>
  </si>
  <si>
    <t>2-0490-0119</t>
  </si>
  <si>
    <t>HF SG Asm Khaki/Flm Mir Rx</t>
  </si>
  <si>
    <t>2-0490-0119-OS</t>
  </si>
  <si>
    <t>2-0490-0210</t>
  </si>
  <si>
    <t>HF SG Asm FG/Smk Rx</t>
  </si>
  <si>
    <t xml:space="preserve">Smk  </t>
  </si>
  <si>
    <t>2-0490-0210-OS</t>
  </si>
  <si>
    <t>2-0490-0211</t>
  </si>
  <si>
    <t>HF SG Asm FG/Clr Rx</t>
  </si>
  <si>
    <t>2-0490-0211-OS</t>
  </si>
  <si>
    <t>2-0490-0216</t>
  </si>
  <si>
    <t>HF SG Asm Blk/PHC Rx</t>
  </si>
  <si>
    <t>2-0490-0216-OS</t>
  </si>
  <si>
    <t>2-0490-0217</t>
  </si>
  <si>
    <t>HF SG Asm Blk/Plzd Rx</t>
  </si>
  <si>
    <t>2-0490-0217-OS</t>
  </si>
  <si>
    <t>2-0490-0222</t>
  </si>
  <si>
    <t>HF SG Asm Black/Flm Mir Rx</t>
  </si>
  <si>
    <t>2-0490-0222-OS</t>
  </si>
  <si>
    <t>2-0490-9001</t>
  </si>
  <si>
    <t>2-0490-9001-OS</t>
  </si>
  <si>
    <t>2-0490-9002</t>
  </si>
  <si>
    <t>2-0490-9002-OS</t>
  </si>
  <si>
    <t>1-0025-0001</t>
  </si>
  <si>
    <t>1-0025-5001</t>
  </si>
  <si>
    <t>1-0026-0001</t>
  </si>
  <si>
    <t>1-0026-5001</t>
  </si>
  <si>
    <t>1-0155-0000</t>
  </si>
  <si>
    <t>PHX Face Shield</t>
  </si>
  <si>
    <t>2-0491-0001</t>
  </si>
  <si>
    <t>HF SG Asm Blk No Lenses</t>
  </si>
  <si>
    <t>2-0491-0101</t>
  </si>
  <si>
    <t>HF SG Asm Blk-OM No Lenses</t>
  </si>
  <si>
    <t>Focus Systems</t>
  </si>
  <si>
    <t>1-0230-0001</t>
  </si>
  <si>
    <t>Base 6 Polarized Blank</t>
  </si>
  <si>
    <t>1-0714-5037</t>
  </si>
  <si>
    <t>Base 5.5 Cyl Blank Smk AF Intl</t>
  </si>
  <si>
    <t>Smk Int</t>
  </si>
  <si>
    <t>1-0737-0100</t>
  </si>
  <si>
    <t>TKO Sphr 7C/2.45 Blank Slvr Mirror AF</t>
  </si>
  <si>
    <t>7C/2.45</t>
  </si>
  <si>
    <t>Slvr Mir</t>
  </si>
  <si>
    <t>1-0737-0101</t>
  </si>
  <si>
    <t>TKO Sphr 7C/2.45 Blank Revo Mirror AF</t>
  </si>
  <si>
    <t>Revo Mir</t>
  </si>
  <si>
    <t>Notes</t>
  </si>
  <si>
    <t>Nose Piece Observation</t>
  </si>
  <si>
    <t>NPE</t>
  </si>
  <si>
    <t>Nose Piece Ejection</t>
  </si>
  <si>
    <t>NPF</t>
  </si>
  <si>
    <t>Nose Piece Fracture</t>
  </si>
  <si>
    <t>Toroidal Blank Visor Clr Sm/Md #104</t>
  </si>
  <si>
    <t>#104 Toroidal Blank</t>
  </si>
  <si>
    <t>MXL VV20294</t>
  </si>
  <si>
    <t>Toroidal Blank Visor Sm/Md #104</t>
  </si>
  <si>
    <t>Revision VI20197</t>
  </si>
  <si>
    <t>Toroidal Blank Visor Clr Lg/Xlg #109</t>
  </si>
  <si>
    <t>#109 Toroidal Blank</t>
  </si>
  <si>
    <t>Toroidal Blank Visor Lg/XL #109</t>
  </si>
  <si>
    <t>1-0026-5002</t>
  </si>
  <si>
    <t>1-0078-0001</t>
  </si>
  <si>
    <t>SF Lens Clr SC Lg</t>
  </si>
  <si>
    <t>Saw Fly</t>
  </si>
  <si>
    <t>Jiann Lih VV21234</t>
  </si>
  <si>
    <t>1-0078-0002</t>
  </si>
  <si>
    <t>SF Lens Smk SC Lg</t>
  </si>
  <si>
    <t>1-0078-0003</t>
  </si>
  <si>
    <t>SF Lens Yel SC Lg</t>
  </si>
  <si>
    <t>1-0078-0004</t>
  </si>
  <si>
    <t>SF Lens Amber SC Lg</t>
  </si>
  <si>
    <t>Amber</t>
  </si>
  <si>
    <t>1-0078-0005</t>
  </si>
  <si>
    <t>SF Lens Plzd SC Lg</t>
  </si>
  <si>
    <t>1-0078-0006</t>
  </si>
  <si>
    <t>SF Lens Clr SC AF Lg</t>
  </si>
  <si>
    <t>1-0078-0007</t>
  </si>
  <si>
    <t>SF Lens Smk SC AF Lg</t>
  </si>
  <si>
    <t>1-0078-0008</t>
  </si>
  <si>
    <t>SF Lens Yel SC AF Lg</t>
  </si>
  <si>
    <t>1-0078-0009</t>
  </si>
  <si>
    <t>SF Lens SC Lg Clr AF/AR</t>
  </si>
  <si>
    <t>1-0078-0010</t>
  </si>
  <si>
    <t>SF Lens SC Lg Smk AF/AR</t>
  </si>
  <si>
    <t>1-0078-0011</t>
  </si>
  <si>
    <t>SF Lens SC Lg Yel AF/AR</t>
  </si>
  <si>
    <t>1-0078-0012</t>
  </si>
  <si>
    <t>SF Lens NG SC Lg</t>
  </si>
  <si>
    <t>1-0078-0013</t>
  </si>
  <si>
    <t>SF Lens Ver SC Lg</t>
  </si>
  <si>
    <t>1-0078-0014</t>
  </si>
  <si>
    <t>SF-PHC Lens Clr SC Lg</t>
  </si>
  <si>
    <t>1-0078-0015</t>
  </si>
  <si>
    <t>SF Lens Clr SC Gel HC Lg</t>
  </si>
  <si>
    <t>1-0078-0016</t>
  </si>
  <si>
    <t>SF Lens NG SC Gel HC Lg</t>
  </si>
  <si>
    <t>1-0078-0017</t>
  </si>
  <si>
    <t>SF Lens Smk SC Gel HC Lg</t>
  </si>
  <si>
    <t>1-0078-0018</t>
  </si>
  <si>
    <t>SF Lens Yel SC Gel HC Lg</t>
  </si>
  <si>
    <t>1-0078-0019</t>
  </si>
  <si>
    <t>SF Lens Ver SC Gel HC Lg</t>
  </si>
  <si>
    <t>1-0078-0100</t>
  </si>
  <si>
    <t>SF Lens Clr SC Lg Nomk</t>
  </si>
  <si>
    <t>1-0078-0200</t>
  </si>
  <si>
    <t>SF Lens Smk SC Lg Nomk</t>
  </si>
  <si>
    <t>1-0078-0300</t>
  </si>
  <si>
    <t>SF Lens Ver SC Lg Nomk</t>
  </si>
  <si>
    <t>1-0078-0302</t>
  </si>
  <si>
    <t>SF Lens Ver SC Lg DND</t>
  </si>
  <si>
    <t>1-0079-0001</t>
  </si>
  <si>
    <t>SF Lens Clr SC Rg</t>
  </si>
  <si>
    <t>1-0079-0002</t>
  </si>
  <si>
    <t>SF Lens Smk SC Rg</t>
  </si>
  <si>
    <t>1-0079-0003</t>
  </si>
  <si>
    <t>SF Lens Yel SC Rg</t>
  </si>
  <si>
    <t>1-0079-0004</t>
  </si>
  <si>
    <t>SF Lens Amber SC Rg</t>
  </si>
  <si>
    <t>1-0079-0005</t>
  </si>
  <si>
    <t>SF Lens Plzd SC Rg</t>
  </si>
  <si>
    <t>1-0079-0006</t>
  </si>
  <si>
    <t>SF Lens Clr SC AF Rg</t>
  </si>
  <si>
    <t>1-0079-0007</t>
  </si>
  <si>
    <t>SF Lens Smk SC AF Rg</t>
  </si>
  <si>
    <t>1-0079-0008</t>
  </si>
  <si>
    <t>SF Lens Yel SC AF Rg</t>
  </si>
  <si>
    <t>1-0079-0009</t>
  </si>
  <si>
    <t>SF Lens SC Rg Clr AF/AR</t>
  </si>
  <si>
    <t>1-0079-0010</t>
  </si>
  <si>
    <t>SF Lens SC Rg Smk AF/AR</t>
  </si>
  <si>
    <t>1-0079-0011</t>
  </si>
  <si>
    <t>SF Lens SC Rg Yel AF/AR</t>
  </si>
  <si>
    <t>1-0079-0012</t>
  </si>
  <si>
    <t>SF Lens NG SC Rg</t>
  </si>
  <si>
    <t>1-0079-0013</t>
  </si>
  <si>
    <t>SF Lens Ver SC Rg</t>
  </si>
  <si>
    <t>1-0079-0017</t>
  </si>
  <si>
    <t>SF PHC Lens Clr SC Rg</t>
  </si>
  <si>
    <t>1-0079-0019</t>
  </si>
  <si>
    <t>SF Lens Clr SC Gel HC Rg</t>
  </si>
  <si>
    <t>1-0079-0020</t>
  </si>
  <si>
    <t>SF Lens NG SC Gel HC Rg</t>
  </si>
  <si>
    <t>1-0079-0021</t>
  </si>
  <si>
    <t>SF Lens Smk SC Gel HC Rg</t>
  </si>
  <si>
    <t>1-0079-0022</t>
  </si>
  <si>
    <t>SF Lens Yel SC Gel HC Rg</t>
  </si>
  <si>
    <t>1-0079-0023</t>
  </si>
  <si>
    <t>SF Lens Ver SC Gel HC Rg</t>
  </si>
  <si>
    <t>1-0079-0100</t>
  </si>
  <si>
    <t>SF Lens Clr SC Rg Nomk</t>
  </si>
  <si>
    <t>1-0079-0101</t>
  </si>
  <si>
    <t>SF Lens Clr SC Rg ANSI</t>
  </si>
  <si>
    <t>1-0079-0200</t>
  </si>
  <si>
    <t>SF Lens Smk SC Rg Nomk</t>
  </si>
  <si>
    <t>1-0079-0300</t>
  </si>
  <si>
    <t>SF Lens Ver SC Rg Nomk</t>
  </si>
  <si>
    <t>1-0079-0302</t>
  </si>
  <si>
    <t>SF Lens Ver SC Rg DND</t>
  </si>
  <si>
    <t>1-0079-0601</t>
  </si>
  <si>
    <t>SF Lens Plzd SC Rg ANSI</t>
  </si>
  <si>
    <t>1-0135-0100</t>
  </si>
  <si>
    <t>Saw Fly Max Lg</t>
  </si>
  <si>
    <t>Darwin VV20747</t>
  </si>
  <si>
    <t>Taroko VV21312</t>
  </si>
  <si>
    <t>Claxxon VV20580</t>
  </si>
  <si>
    <t>1-0600-5001</t>
  </si>
  <si>
    <t>AB Outsert Lens Smk HC S/M</t>
  </si>
  <si>
    <t>Air Boss Outsert</t>
  </si>
  <si>
    <t>Foresight VV20575</t>
  </si>
  <si>
    <t>1-0715-0041</t>
  </si>
  <si>
    <t>SF Lens Clr Max AF Lg CH</t>
  </si>
  <si>
    <t>SF Max Lg CH</t>
  </si>
  <si>
    <t>SF Max  Rg</t>
  </si>
  <si>
    <t>1-0725-5068</t>
  </si>
  <si>
    <t>Base 6 Sphr Blank C5-6-10 AF</t>
  </si>
  <si>
    <t>1-0728-0001</t>
  </si>
  <si>
    <t>Base 8 Darwin 85mm PHC Blank</t>
  </si>
  <si>
    <t>Base 8.0</t>
  </si>
  <si>
    <t>1-0732-0000</t>
  </si>
  <si>
    <t>WS Rx Lens Int'l Clr ANSI-EN</t>
  </si>
  <si>
    <t>WS Lens</t>
  </si>
  <si>
    <t>1-0732-0001</t>
  </si>
  <si>
    <t>WS Rx Lens Smk ANSI-EN</t>
  </si>
  <si>
    <t>1-0737-0000</t>
  </si>
  <si>
    <t>TKO 7C 2.45 Clr  AF</t>
  </si>
  <si>
    <t>1-0737-0001</t>
  </si>
  <si>
    <t>TKO 7C 2.45 Smk  AF</t>
  </si>
  <si>
    <t>1-0769-0103</t>
  </si>
  <si>
    <t>DL Lens MLL Clr AF ANSI</t>
  </si>
  <si>
    <t>DL Lens</t>
  </si>
  <si>
    <t>1-0769-0203</t>
  </si>
  <si>
    <t>DL Lens MLL Smk AF ANSI</t>
  </si>
  <si>
    <t>1-0769-0403</t>
  </si>
  <si>
    <t>DL Lens MLL Yel AF ANSI</t>
  </si>
  <si>
    <t>1-0790-0001</t>
  </si>
  <si>
    <t>SF Lens Clr Max Nomk Sm</t>
  </si>
  <si>
    <t>Saw Fly Max Sm</t>
  </si>
  <si>
    <t>1-0790-0041</t>
  </si>
  <si>
    <t>SF Lens Clr Max AF Sm CH</t>
  </si>
  <si>
    <t>1-0790-0043</t>
  </si>
  <si>
    <t>SF Lens Ver Max AF Sm CH</t>
  </si>
  <si>
    <t>1-0790-0100</t>
  </si>
  <si>
    <t>SF Lens Clr Max EN HC2/NK50 Sm DE</t>
  </si>
  <si>
    <t>SF Max Sm</t>
  </si>
  <si>
    <t>1-0790-0101</t>
  </si>
  <si>
    <t>SF Lens Clr Max EN AF Sm</t>
  </si>
  <si>
    <t>1-0790-0200</t>
  </si>
  <si>
    <t>SF Lens NG Max EN HC2/NK50 Sm DE</t>
  </si>
  <si>
    <t>1-0790-0201</t>
  </si>
  <si>
    <t>SF Lens NG Max EN AF Sm</t>
  </si>
  <si>
    <t>1-0790-0300</t>
  </si>
  <si>
    <t>SF Lens Yel Max EN HC2/NK50 Sm DE</t>
  </si>
  <si>
    <t>1-0790-0301</t>
  </si>
  <si>
    <t>SF Lens Yel Max EN AF Sm</t>
  </si>
  <si>
    <t>1-0790-0400</t>
  </si>
  <si>
    <t>SF Lens Ver Max EN HC2/NK50 Sm DE</t>
  </si>
  <si>
    <t>1-0790-0404</t>
  </si>
  <si>
    <t>SF Lens LT-Ver Max EN AF Sm</t>
  </si>
  <si>
    <t>1-0790-0407</t>
  </si>
  <si>
    <t>SF Lens Ver Max EN HC2/NK50 Sm</t>
  </si>
  <si>
    <t>1-0790-0500</t>
  </si>
  <si>
    <t>SF Lens Smk Max EN HC2/NK50 Sm DE</t>
  </si>
  <si>
    <t>1-0790-0507</t>
  </si>
  <si>
    <t>SF Lens Smk Max EN HC2/NK50 Sm</t>
  </si>
  <si>
    <t>1-0790-5009</t>
  </si>
  <si>
    <t>SF Lens Smk Max Nomk AF Sm</t>
  </si>
  <si>
    <t>1-0790-5021</t>
  </si>
  <si>
    <t>SF Lsr Lens E2-5 Max EN Gel AF Sm DE</t>
  </si>
  <si>
    <t>1-0790-5024</t>
  </si>
  <si>
    <t>SF Lens Ver Max EN Gel AF Sm DE</t>
  </si>
  <si>
    <t>1-0790-5025</t>
  </si>
  <si>
    <t>SF Lens Clr Max Nomk Gel AF Sm</t>
  </si>
  <si>
    <t>1-0790-5030</t>
  </si>
  <si>
    <t>SF Lens Clr Max EN AF Sm DE</t>
  </si>
  <si>
    <t>1-0790-5032</t>
  </si>
  <si>
    <t>SF Lens Ver Max EN AF Sm DE</t>
  </si>
  <si>
    <t>1-0790-5033</t>
  </si>
  <si>
    <t>SF Lsr Lens E2-5 Max EN HC Sm DE</t>
  </si>
  <si>
    <t>1-0790-5034</t>
  </si>
  <si>
    <t>SF Lens Clr Max EN Sm DE</t>
  </si>
  <si>
    <t>1-0790-5035</t>
  </si>
  <si>
    <t>SF Lens NG Max EN Sm DE</t>
  </si>
  <si>
    <t>1-0790-5045</t>
  </si>
  <si>
    <t>SF Lens Clr Max EN HC Sm</t>
  </si>
  <si>
    <t>1-0790-5046</t>
  </si>
  <si>
    <t>SF Lens NG Max EN HC Sm</t>
  </si>
  <si>
    <t>1-0790-5047</t>
  </si>
  <si>
    <t>SF Lens Smk Max EN EN HC Sm</t>
  </si>
  <si>
    <t>1-0790-5048</t>
  </si>
  <si>
    <t>SF Lens Ver Max EN HC Sm</t>
  </si>
  <si>
    <t>1-0790-5053</t>
  </si>
  <si>
    <t>SF Lens Smk Max EN Gel AF Sm DE</t>
  </si>
  <si>
    <t>1-0790-5055</t>
  </si>
  <si>
    <t>SF Lsr Lens E2-5 UVS Max EN AF Sm DE</t>
  </si>
  <si>
    <t>1-0790-5059</t>
  </si>
  <si>
    <t>SF Lens Smk Max EN AF Sm DE</t>
  </si>
  <si>
    <t>1-0790-5101</t>
  </si>
  <si>
    <t>1-0790-5102</t>
  </si>
  <si>
    <t>1-0790-5201</t>
  </si>
  <si>
    <t>SF Lens Smk Max AF Sm CH</t>
  </si>
  <si>
    <t>1-0790-5401</t>
  </si>
  <si>
    <t>1-0868-5039</t>
  </si>
  <si>
    <t>Base 6.8 Sphr Blank Ver UV400 HC</t>
  </si>
  <si>
    <t>1-0915-5000</t>
  </si>
  <si>
    <t>AB Prime Blank Clr AF S/M</t>
  </si>
  <si>
    <t>Air Boss Primary S/M</t>
  </si>
  <si>
    <t>1-0916-5000</t>
  </si>
  <si>
    <t>AB Prime Blank Clr AF Lg/XL</t>
  </si>
  <si>
    <t>Air Boss Primary Lg/XL</t>
  </si>
  <si>
    <t>1-1170-5000</t>
  </si>
  <si>
    <t>LION FFT Visor 4in Clr</t>
  </si>
  <si>
    <t>Lion Visor 4in</t>
  </si>
  <si>
    <t>2-0043-5003</t>
  </si>
  <si>
    <t>SF Lens Asm ANSI Lg PHC HC BNP</t>
  </si>
  <si>
    <t>2-0043-5010</t>
  </si>
  <si>
    <t>SF Lens Mold Asm ANSI Lg Clr HC CNP</t>
  </si>
  <si>
    <t>2-0043-5011</t>
  </si>
  <si>
    <t>SF Lens Mold Asm ANSI Lg Smk HC BNP</t>
  </si>
  <si>
    <t>2-0044-5003</t>
  </si>
  <si>
    <t>SF Lens Asm ANSI Rg PHC HC BNP</t>
  </si>
  <si>
    <t>2-0044-5010</t>
  </si>
  <si>
    <t>SF Lens Mold Asm ANSI Rg Clr HC CNP</t>
  </si>
  <si>
    <t>2-0044-5011</t>
  </si>
  <si>
    <t>SF Lens Mold Asm ANSI Rg Smk HC BNP</t>
  </si>
  <si>
    <t>2-0453-0001</t>
  </si>
  <si>
    <t>Alphawing SG Asm Plz</t>
  </si>
  <si>
    <t xml:space="preserve">Alphawing </t>
  </si>
  <si>
    <t>LUXOL SRL VV21319</t>
  </si>
  <si>
    <t>2-0453-0002</t>
  </si>
  <si>
    <t>Alphawing SG Asm Silver Mirror</t>
  </si>
  <si>
    <t>Silv Mirror</t>
  </si>
  <si>
    <t>2-0453-0003</t>
  </si>
  <si>
    <t>Alphawing SG Asm Gradient Grey</t>
  </si>
  <si>
    <t>Alphawing Gradient</t>
  </si>
  <si>
    <t>Gray</t>
  </si>
  <si>
    <t>2-0453-0004</t>
  </si>
  <si>
    <t>Alphawing SG Asm Solar</t>
  </si>
  <si>
    <t>Solar</t>
  </si>
  <si>
    <t>HWA Meei VV21759</t>
  </si>
  <si>
    <t>Lenco VV20129</t>
  </si>
  <si>
    <t>Pech VV21320</t>
  </si>
  <si>
    <t>2-0496-0003</t>
  </si>
  <si>
    <t>Deltawing SG Asm Plz</t>
  </si>
  <si>
    <t>Deltawing</t>
  </si>
  <si>
    <t>2-0496-0004</t>
  </si>
  <si>
    <t>Deltawing SG Asm Solar</t>
  </si>
  <si>
    <t>2-0749-9001</t>
  </si>
  <si>
    <t>Rx OLC Carrier + Lenses Fulfilled</t>
  </si>
  <si>
    <t>RX OLC</t>
  </si>
  <si>
    <t>2-0749-9001-OS</t>
  </si>
  <si>
    <t>1-0025-5002</t>
  </si>
  <si>
    <t>Toroidal Blank Visor Sm/Md HC/AF</t>
  </si>
  <si>
    <t>Bin # (record if fail)</t>
  </si>
  <si>
    <t>1-0601-5001</t>
  </si>
  <si>
    <t>AB Outsert Lens Smk HC L/XL</t>
  </si>
  <si>
    <t>AB Outsert</t>
  </si>
  <si>
    <t>1-0601-5002</t>
  </si>
  <si>
    <t>AB Outsert Lens Yel HC L/XL</t>
  </si>
  <si>
    <t>1-0600-5002</t>
  </si>
  <si>
    <t>AB Outsert Lens Yel HC S/M</t>
  </si>
  <si>
    <t xml:space="preserve"> </t>
  </si>
  <si>
    <r>
      <rPr>
        <b/>
        <sz val="10"/>
        <color theme="1"/>
        <rFont val="Arial"/>
        <family val="2"/>
      </rPr>
      <t>Ballistic fragmentation protection, Class 1:</t>
    </r>
    <r>
      <rPr>
        <sz val="10"/>
        <color theme="1"/>
        <rFont val="Arial"/>
        <family val="2"/>
      </rPr>
      <t xml:space="preserve"> Spectacles shall be hit once with a 0.15 caliber, 5.85 (+/- 0.15) grain, T37 shaped projectile at 640 to 660 ft./sec at normal incidence (0 degree obliquity) to the primary lens at a location within each the left and right critical areas. Impacts shall be alternated between the left and right sides during testing. The critical area is defined as a circle having a 20 mm radius centered on the horizontal centerline and 32 mm from the vertical centerline). A shot shall be considered valid if the projectile hits within the critical area, if the velocity requirements have been met for the shot, if obliquity requirements have been met for the shot, if the impact location is at least two projectile diameters away from the edge of a lens, and the projectile does not impact the frame. A failure is a punctured witness sheet,  a cracked lens , evidence that the projectile passed completely through the lens, or if one or more fragments or eyewear components, either along the inside of the eyewear or that is needed for proper retention, becomes separated upon impact.</t>
    </r>
  </si>
  <si>
    <r>
      <rPr>
        <b/>
        <sz val="10"/>
        <color theme="1"/>
        <rFont val="Arial"/>
        <family val="2"/>
      </rPr>
      <t>Ballistic fragmentation protection, Class 2 and Class 3:</t>
    </r>
    <r>
      <rPr>
        <sz val="10"/>
        <color theme="1"/>
        <rFont val="Arial"/>
        <family val="2"/>
      </rPr>
      <t xml:space="preserve"> Goggles shall be hit three times with a 0.22 caliber, 17 (+/- 0.5) grain, T37 shaped projectile at 550 to 560 ft./sec at normal incidence (0 degree obliquity) to the primary lens at a location within each the left and right critical areas. The third shot shall be in the center at the vertical center line at normal incidence (0 Impacts degree obliquity) to the primary lens. Class 3 shall be impacted in the same manner, with the exception that the center shot shall not be taken. The critical area is defined as a circle having a 20 mm radius centered on the horizontal centerline and 32 mm from the vertical centerline. A shot shall be considered valid if the projectile hits within the critical area, if the velocity requirements have been met for the shot, if obliquity requirements have been met for the shot, if the impact location is at least two projectile diameters away from the edge of a lens, and the projectile does not impact the frame. A failure is a punctured witness sheet,  a cracked lens , evidence that the projectile passed completely through the lens, or if one or more fragments or eyewear components, either along the inside of the eyewear or that is needed for proper retention, becomes separated upon impact.</t>
    </r>
  </si>
  <si>
    <t>1-1095-5001</t>
  </si>
  <si>
    <t>Reebok Visor Clr HC/AF</t>
  </si>
  <si>
    <t>ANSI High Velocity 300' / second, 1/4" Steel Ball</t>
  </si>
  <si>
    <t>Zero Degree shots</t>
  </si>
  <si>
    <t>Thirty Degree Shots</t>
  </si>
  <si>
    <t>Ninety Degree Shots</t>
  </si>
  <si>
    <t>Test:</t>
  </si>
  <si>
    <t xml:space="preserve">V50 </t>
  </si>
  <si>
    <t>Test Standard:</t>
  </si>
  <si>
    <t>STANAG 2920</t>
  </si>
  <si>
    <t>Requirement Paragraph:</t>
  </si>
  <si>
    <t>Test Paragraph:</t>
  </si>
  <si>
    <t>Product Name:</t>
  </si>
  <si>
    <t xml:space="preserve">v50 Value = </t>
  </si>
  <si>
    <t xml:space="preserve">Range = </t>
  </si>
  <si>
    <t>Projectile:</t>
  </si>
  <si>
    <t>Propellant:</t>
  </si>
  <si>
    <t>Helium</t>
  </si>
  <si>
    <t>Apparatus:</t>
  </si>
  <si>
    <t>CADEX, EN Medium Headform</t>
  </si>
  <si>
    <t>Lens Sample</t>
  </si>
  <si>
    <t>Left Ocular Velocity</t>
  </si>
  <si>
    <t>Impact</t>
  </si>
  <si>
    <t>Right Ocular Velocity</t>
  </si>
  <si>
    <t>P</t>
  </si>
  <si>
    <t>Penetration</t>
  </si>
  <si>
    <t>NP</t>
  </si>
  <si>
    <t>Non-Penetration</t>
  </si>
  <si>
    <t>Non-Penetration Tumble</t>
  </si>
  <si>
    <t>5 Highest Velocity  Non-Penetrations</t>
  </si>
  <si>
    <t>5 Lowest Velocities -Complete Penetrations</t>
  </si>
  <si>
    <t xml:space="preserve">Average = </t>
  </si>
  <si>
    <t>Average =</t>
  </si>
  <si>
    <t>v50 Value = Average of 5 Highest Velocity Non-Penetrations and 5 Lowest Velocity Penetrations</t>
  </si>
  <si>
    <t>v50 Value =</t>
  </si>
  <si>
    <t>Range=</t>
  </si>
  <si>
    <t>Partial or Complete fractures are not taken into consideration when determining partial or complete penetrations.</t>
  </si>
  <si>
    <t>If the witness foil is not pierced the impact is considered a partial penetration, if the witness foil is pierced</t>
  </si>
  <si>
    <t>the impact is considered a complete penetration</t>
  </si>
  <si>
    <t>Unfair Impacts are excluded from all calculations.</t>
  </si>
  <si>
    <t>ANSI Z87.1 2010</t>
  </si>
  <si>
    <t>Test Para : 9.12.3</t>
  </si>
  <si>
    <t>Target Velocity:</t>
  </si>
  <si>
    <t>300 ft/sec</t>
  </si>
  <si>
    <t>Orientation:</t>
  </si>
  <si>
    <t>Various</t>
  </si>
  <si>
    <t>+/- 2 % Spec Limit</t>
  </si>
  <si>
    <t>Lens Condition:</t>
  </si>
  <si>
    <t>Ambient</t>
  </si>
  <si>
    <t>Left Occular</t>
  </si>
  <si>
    <t>Right Occular</t>
  </si>
  <si>
    <t>0° Velocity</t>
  </si>
  <si>
    <t>0 ° Obs.</t>
  </si>
  <si>
    <t>30 ° Velocity</t>
  </si>
  <si>
    <t>30 ° Obs.</t>
  </si>
  <si>
    <t>90 ° Velocity -10mm</t>
  </si>
  <si>
    <t>90 ° Velocity -10mm Obs.</t>
  </si>
  <si>
    <t>0 ° Velocity</t>
  </si>
  <si>
    <t>90 ° Velocity +10mm</t>
  </si>
  <si>
    <t>90 ° Velocity +10mm Obs.</t>
  </si>
  <si>
    <t>NFPA 1971 2013</t>
  </si>
  <si>
    <t>Test Para :</t>
  </si>
  <si>
    <t>250 ft/sec</t>
  </si>
  <si>
    <t>-32 °C</t>
  </si>
  <si>
    <t>-15 ° Nasal Velocity</t>
  </si>
  <si>
    <t>-15 ° Obs.°</t>
  </si>
  <si>
    <t>30° Velocity +10mm</t>
  </si>
  <si>
    <t>30° Velocity +10mm Obs.</t>
  </si>
  <si>
    <t>75 ° Velocity -10mm</t>
  </si>
  <si>
    <t>75 ° Velocity -10mm Obs.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</si>
</sst>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mmm\ d\,\ yyyy;@"/>
    <numFmt numFmtId="165" formatCode="0.0"/>
  </numFmts>
  <fonts count="19"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b/>
      <sz val="11"/>
      <color theme="1"/>
      <name val="Arial"/>
      <family val="2"/>
    </font>
    <font>
      <sz val="11"/>
      <color theme="1"/>
      <name val="Arial"/>
      <family val="2"/>
    </font>
    <font>
      <sz val="11"/>
      <color theme="1"/>
      <name val="Calibri"/>
      <family val="2"/>
      <scheme val="minor"/>
    </font>
    <font>
      <sz val="10"/>
      <color theme="1"/>
      <name val="Arial"/>
      <family val="2"/>
    </font>
    <font>
      <b/>
      <sz val="12"/>
      <color theme="1"/>
      <name val="Calibri"/>
      <family val="2"/>
    </font>
    <font>
      <sz val="12"/>
      <color theme="1"/>
      <name val="Calibri"/>
      <family val="2"/>
    </font>
    <font>
      <sz val="10"/>
      <name val="Arial"/>
      <family val="2"/>
    </font>
    <font>
      <sz val="11"/>
      <color rgb="FF000000"/>
      <name val="Calibri"/>
      <family val="2"/>
    </font>
    <font>
      <sz val="8"/>
      <color theme="1"/>
      <name val="Arial"/>
      <family val="2"/>
    </font>
    <font>
      <b/>
      <sz val="10"/>
      <color theme="1"/>
      <name val="Arial"/>
      <family val="2"/>
    </font>
    <font>
      <b/>
      <sz val="10"/>
      <color rgb="FF339966"/>
      <name val="Arial"/>
      <family val="2"/>
    </font>
    <font>
      <sz val="10"/>
      <color rgb="FF000000"/>
      <name val="Arial"/>
      <family val="2"/>
    </font>
    <font>
      <u/>
      <sz val="11"/>
      <color theme="10"/>
      <name val="Calibri"/>
      <family val="2"/>
    </font>
    <font>
      <u/>
      <sz val="10"/>
      <color theme="10"/>
      <name val="Arial"/>
      <family val="2"/>
    </font>
  </fonts>
  <fills count="2">
    <fill>
      <patternFill patternType="none"/>
    </fill>
    <fill>
      <patternFill patternType="gray125"/>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top style="thin">
        <color indexed="64"/>
      </top>
      <bottom/>
      <diagonal/>
    </border>
  </borders>
  <cellStyleXfs count="90">
    <xf numFmtId="0" fontId="0" fillId="0" borderId="0"/>
    <xf numFmtId="0" fontId="7" fillId="0" borderId="0"/>
    <xf numFmtId="164" fontId="8" fillId="0" borderId="0"/>
    <xf numFmtId="164" fontId="11" fillId="0" borderId="0"/>
    <xf numFmtId="164" fontId="11" fillId="0" borderId="0"/>
    <xf numFmtId="164" fontId="11" fillId="0" borderId="0"/>
    <xf numFmtId="0" fontId="11" fillId="0" borderId="0"/>
    <xf numFmtId="164" fontId="11" fillId="0" borderId="0"/>
    <xf numFmtId="0" fontId="11" fillId="0" borderId="0"/>
    <xf numFmtId="164" fontId="11" fillId="0" borderId="0"/>
    <xf numFmtId="164" fontId="11" fillId="0" borderId="0"/>
    <xf numFmtId="0" fontId="11" fillId="0" borderId="0"/>
    <xf numFmtId="164" fontId="7" fillId="0" borderId="0"/>
    <xf numFmtId="164" fontId="7" fillId="0" borderId="0"/>
    <xf numFmtId="0" fontId="7" fillId="0" borderId="0"/>
    <xf numFmtId="164" fontId="11" fillId="0" borderId="0"/>
    <xf numFmtId="164" fontId="11" fillId="0" borderId="0"/>
    <xf numFmtId="0" fontId="11" fillId="0" borderId="0"/>
    <xf numFmtId="164" fontId="8" fillId="0" borderId="0"/>
    <xf numFmtId="164" fontId="8" fillId="0" borderId="0"/>
    <xf numFmtId="0" fontId="8" fillId="0" borderId="0"/>
    <xf numFmtId="164" fontId="8" fillId="0" borderId="0"/>
    <xf numFmtId="164" fontId="8" fillId="0" borderId="0"/>
    <xf numFmtId="164" fontId="8" fillId="0" borderId="0"/>
    <xf numFmtId="0" fontId="8" fillId="0" borderId="0"/>
    <xf numFmtId="0" fontId="7" fillId="0" borderId="0"/>
    <xf numFmtId="164" fontId="7" fillId="0" borderId="0"/>
    <xf numFmtId="164" fontId="7" fillId="0" borderId="0"/>
    <xf numFmtId="0" fontId="7" fillId="0" borderId="0"/>
    <xf numFmtId="164" fontId="11" fillId="0" borderId="0"/>
    <xf numFmtId="164" fontId="11" fillId="0" borderId="0"/>
    <xf numFmtId="0" fontId="11" fillId="0" borderId="0"/>
    <xf numFmtId="164" fontId="11" fillId="0" borderId="0"/>
    <xf numFmtId="164" fontId="11" fillId="0" borderId="0"/>
    <xf numFmtId="0" fontId="11" fillId="0" borderId="0"/>
    <xf numFmtId="164" fontId="11" fillId="0" borderId="0"/>
    <xf numFmtId="164" fontId="11" fillId="0" borderId="0"/>
    <xf numFmtId="0" fontId="11" fillId="0" borderId="0"/>
    <xf numFmtId="164" fontId="12" fillId="0" borderId="0"/>
    <xf numFmtId="164" fontId="12" fillId="0" borderId="0"/>
    <xf numFmtId="0" fontId="12" fillId="0" borderId="0"/>
    <xf numFmtId="164" fontId="11" fillId="0" borderId="0"/>
    <xf numFmtId="164" fontId="11" fillId="0" borderId="0"/>
    <xf numFmtId="0" fontId="11" fillId="0" borderId="0"/>
    <xf numFmtId="164" fontId="11" fillId="0" borderId="0"/>
    <xf numFmtId="164" fontId="11" fillId="0" borderId="0"/>
    <xf numFmtId="0" fontId="11" fillId="0" borderId="0"/>
    <xf numFmtId="164" fontId="7" fillId="0" borderId="0"/>
    <xf numFmtId="164" fontId="7" fillId="0" borderId="0"/>
    <xf numFmtId="0" fontId="7" fillId="0" borderId="0"/>
    <xf numFmtId="164" fontId="11" fillId="0" borderId="0"/>
    <xf numFmtId="164" fontId="11" fillId="0" borderId="0"/>
    <xf numFmtId="0" fontId="11" fillId="0" borderId="0"/>
    <xf numFmtId="164" fontId="11" fillId="0" borderId="0"/>
    <xf numFmtId="164" fontId="11" fillId="0" borderId="0"/>
    <xf numFmtId="164" fontId="11" fillId="0" borderId="0"/>
    <xf numFmtId="0" fontId="11" fillId="0" borderId="0"/>
    <xf numFmtId="164" fontId="11" fillId="0" borderId="0"/>
    <xf numFmtId="164" fontId="11" fillId="0" borderId="0"/>
    <xf numFmtId="0" fontId="11" fillId="0" borderId="0"/>
    <xf numFmtId="164" fontId="12" fillId="0" borderId="0"/>
    <xf numFmtId="164" fontId="12" fillId="0" borderId="0"/>
    <xf numFmtId="0" fontId="12" fillId="0" borderId="0"/>
    <xf numFmtId="164" fontId="11" fillId="0" borderId="0"/>
    <xf numFmtId="0" fontId="11" fillId="0" borderId="0"/>
    <xf numFmtId="164" fontId="11" fillId="0" borderId="0"/>
    <xf numFmtId="164" fontId="11" fillId="0" borderId="0"/>
    <xf numFmtId="164" fontId="11" fillId="0" borderId="0"/>
    <xf numFmtId="0" fontId="11" fillId="0" borderId="0"/>
    <xf numFmtId="164" fontId="11" fillId="0" borderId="0"/>
    <xf numFmtId="0" fontId="11" fillId="0" borderId="0"/>
    <xf numFmtId="164" fontId="11" fillId="0" borderId="0"/>
    <xf numFmtId="164" fontId="11" fillId="0" borderId="0"/>
    <xf numFmtId="164" fontId="11" fillId="0" borderId="0"/>
    <xf numFmtId="0" fontId="11" fillId="0" borderId="0"/>
    <xf numFmtId="164" fontId="11" fillId="0" borderId="0"/>
    <xf numFmtId="0" fontId="11" fillId="0" borderId="0"/>
    <xf numFmtId="164" fontId="11" fillId="0" borderId="0"/>
    <xf numFmtId="164" fontId="11" fillId="0" borderId="0"/>
    <xf numFmtId="0" fontId="11" fillId="0" borderId="0"/>
    <xf numFmtId="164" fontId="7" fillId="0" borderId="0"/>
    <xf numFmtId="164" fontId="7" fillId="0" borderId="0"/>
    <xf numFmtId="0" fontId="7" fillId="0" borderId="0"/>
    <xf numFmtId="164" fontId="13" fillId="0" borderId="0"/>
    <xf numFmtId="164" fontId="13" fillId="0" borderId="0"/>
    <xf numFmtId="0" fontId="13" fillId="0" borderId="0"/>
    <xf numFmtId="164" fontId="8" fillId="0" borderId="0"/>
    <xf numFmtId="164" fontId="8" fillId="0" borderId="0"/>
    <xf numFmtId="0" fontId="8" fillId="0" borderId="0"/>
    <xf numFmtId="0" fontId="17" fillId="0" borderId="0" applyNumberFormat="0" applyFill="0" applyBorder="0" applyAlignment="0" applyProtection="0">
      <alignment vertical="top"/>
      <protection locked="0"/>
    </xf>
  </cellStyleXfs>
  <cellXfs count="137">
    <xf numFmtId="0" fontId="0" fillId="0" borderId="0" xfId="0"/>
    <xf numFmtId="0" fontId="6" fillId="0" borderId="18" xfId="0" applyFont="1" applyBorder="1" applyAlignment="1">
      <alignment vertical="center" wrapText="1"/>
    </xf>
    <xf numFmtId="0" fontId="6" fillId="0" borderId="19" xfId="0" applyFont="1" applyBorder="1" applyAlignment="1">
      <alignment vertical="center" wrapText="1"/>
    </xf>
    <xf numFmtId="0" fontId="5" fillId="0" borderId="20" xfId="0" applyFont="1" applyBorder="1" applyAlignment="1">
      <alignment vertical="center" wrapText="1"/>
    </xf>
    <xf numFmtId="0" fontId="5" fillId="0" borderId="21" xfId="0" applyFont="1" applyBorder="1" applyAlignment="1">
      <alignment vertical="center" wrapText="1"/>
    </xf>
    <xf numFmtId="0" fontId="6" fillId="0" borderId="17" xfId="0" applyFont="1" applyBorder="1" applyAlignment="1">
      <alignment vertical="center" wrapText="1"/>
    </xf>
    <xf numFmtId="0" fontId="6" fillId="0" borderId="16" xfId="0" applyFont="1" applyBorder="1" applyAlignment="1">
      <alignment vertical="center" wrapText="1"/>
    </xf>
    <xf numFmtId="0" fontId="5" fillId="0" borderId="22" xfId="0" applyFont="1" applyBorder="1" applyAlignment="1">
      <alignment horizontal="center" vertical="center" wrapText="1"/>
    </xf>
    <xf numFmtId="0" fontId="5" fillId="0" borderId="23"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9" xfId="0" applyFont="1" applyBorder="1" applyAlignment="1">
      <alignment vertical="center" wrapText="1"/>
    </xf>
    <xf numFmtId="0" fontId="7" fillId="0" borderId="0" xfId="1"/>
    <xf numFmtId="2" fontId="9" fillId="0" borderId="1" xfId="2" applyNumberFormat="1" applyFont="1" applyBorder="1" applyAlignment="1">
      <alignment horizontal="center" vertical="center" wrapText="1"/>
    </xf>
    <xf numFmtId="0" fontId="7" fillId="0" borderId="0" xfId="1" applyFont="1"/>
    <xf numFmtId="164" fontId="8" fillId="0" borderId="0" xfId="2"/>
    <xf numFmtId="164" fontId="0" fillId="0" borderId="0" xfId="2" applyFont="1"/>
    <xf numFmtId="0" fontId="7" fillId="0" borderId="0" xfId="25"/>
    <xf numFmtId="164" fontId="0" fillId="0" borderId="0" xfId="2" applyFont="1" applyFill="1"/>
    <xf numFmtId="2" fontId="10" fillId="0" borderId="0" xfId="0" applyNumberFormat="1" applyFont="1" applyBorder="1" applyAlignment="1"/>
    <xf numFmtId="0" fontId="7" fillId="0" borderId="1" xfId="1" applyBorder="1"/>
    <xf numFmtId="2" fontId="10" fillId="0" borderId="0" xfId="0" applyNumberFormat="1" applyFont="1" applyFill="1" applyBorder="1" applyAlignment="1"/>
    <xf numFmtId="0" fontId="7" fillId="0" borderId="0" xfId="1" applyBorder="1"/>
    <xf numFmtId="0" fontId="0" fillId="0" borderId="0" xfId="1" applyFont="1"/>
    <xf numFmtId="0" fontId="7" fillId="0" borderId="0" xfId="1" applyFont="1" applyAlignment="1">
      <alignment horizontal="left" vertical="top"/>
    </xf>
    <xf numFmtId="0" fontId="4" fillId="0" borderId="0" xfId="0" applyFont="1"/>
    <xf numFmtId="0" fontId="4" fillId="0" borderId="0" xfId="0" applyFont="1" applyAlignment="1">
      <alignment horizontal="right"/>
    </xf>
    <xf numFmtId="0" fontId="4" fillId="0" borderId="0" xfId="0" applyFont="1" applyAlignment="1">
      <alignment horizontal="left"/>
    </xf>
    <xf numFmtId="0" fontId="4" fillId="0" borderId="0" xfId="0" applyFont="1" applyAlignment="1">
      <alignment wrapText="1"/>
    </xf>
    <xf numFmtId="0" fontId="4" fillId="0" borderId="0" xfId="0" applyFont="1" applyAlignment="1">
      <alignment vertical="center" wrapText="1"/>
    </xf>
    <xf numFmtId="0" fontId="14" fillId="0" borderId="1" xfId="0" applyFont="1" applyBorder="1" applyAlignment="1">
      <alignment horizontal="center" vertical="center" wrapText="1"/>
    </xf>
    <xf numFmtId="0" fontId="14" fillId="0" borderId="1" xfId="0" applyFont="1" applyBorder="1" applyAlignment="1">
      <alignment vertical="center" wrapText="1"/>
    </xf>
    <xf numFmtId="0" fontId="4" fillId="0" borderId="1" xfId="0" applyFont="1" applyBorder="1" applyAlignment="1">
      <alignment horizontal="center" vertical="center" wrapText="1"/>
    </xf>
    <xf numFmtId="0" fontId="4" fillId="0" borderId="0" xfId="0" applyFont="1" applyAlignment="1">
      <alignment horizontal="center"/>
    </xf>
    <xf numFmtId="0" fontId="4" fillId="0" borderId="0" xfId="0" applyFont="1" applyAlignment="1">
      <alignment vertical="center"/>
    </xf>
    <xf numFmtId="0" fontId="4" fillId="0" borderId="0" xfId="0" applyFont="1" applyAlignment="1">
      <alignment horizontal="right" vertical="center"/>
    </xf>
    <xf numFmtId="0" fontId="4" fillId="0" borderId="0" xfId="0" applyFont="1" applyAlignment="1">
      <alignment horizontal="left" vertical="center"/>
    </xf>
    <xf numFmtId="0" fontId="4" fillId="0" borderId="0" xfId="0" applyFont="1" applyBorder="1" applyAlignment="1">
      <alignment horizontal="left" vertical="center" wrapText="1"/>
    </xf>
    <xf numFmtId="0" fontId="4" fillId="0" borderId="0" xfId="0" applyFont="1" applyAlignment="1">
      <alignment horizontal="left" vertical="center" wrapText="1"/>
    </xf>
    <xf numFmtId="0" fontId="14" fillId="0" borderId="1" xfId="0" applyFont="1" applyFill="1" applyBorder="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vertical="center"/>
    </xf>
    <xf numFmtId="0" fontId="4" fillId="0" borderId="0" xfId="0" applyFont="1" applyBorder="1" applyAlignment="1">
      <alignment horizontal="center" vertical="top" wrapText="1"/>
    </xf>
    <xf numFmtId="0" fontId="14" fillId="0" borderId="10" xfId="0" applyFont="1" applyBorder="1" applyAlignment="1">
      <alignment horizontal="center" vertical="center" wrapText="1"/>
    </xf>
    <xf numFmtId="0" fontId="4" fillId="0" borderId="13"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0" xfId="0" applyFont="1" applyBorder="1" applyAlignment="1">
      <alignment horizontal="center" vertical="center" wrapText="1"/>
    </xf>
    <xf numFmtId="14" fontId="4" fillId="0" borderId="0" xfId="0" applyNumberFormat="1" applyFont="1" applyAlignment="1">
      <alignment horizontal="left"/>
    </xf>
    <xf numFmtId="0" fontId="3" fillId="0" borderId="0" xfId="28" applyFont="1" applyAlignment="1">
      <alignment horizontal="right"/>
    </xf>
    <xf numFmtId="0" fontId="3" fillId="0" borderId="0" xfId="28" applyFont="1"/>
    <xf numFmtId="0" fontId="3" fillId="0" borderId="0" xfId="28" applyFont="1" applyBorder="1" applyAlignment="1">
      <alignment horizontal="left"/>
    </xf>
    <xf numFmtId="0" fontId="3" fillId="0" borderId="0" xfId="28" applyFont="1" applyAlignment="1">
      <alignment horizontal="left"/>
    </xf>
    <xf numFmtId="0" fontId="3" fillId="0" borderId="0" xfId="28" applyFont="1" applyAlignment="1">
      <alignment horizontal="center"/>
    </xf>
    <xf numFmtId="14" fontId="3" fillId="0" borderId="0" xfId="28" applyNumberFormat="1" applyFont="1" applyAlignment="1">
      <alignment horizontal="right"/>
    </xf>
    <xf numFmtId="14" fontId="3" fillId="0" borderId="0" xfId="28" applyNumberFormat="1" applyFont="1" applyBorder="1" applyAlignment="1">
      <alignment horizontal="left"/>
    </xf>
    <xf numFmtId="165" fontId="3" fillId="0" borderId="12" xfId="28" applyNumberFormat="1" applyFont="1" applyBorder="1" applyAlignment="1">
      <alignment horizontal="left"/>
    </xf>
    <xf numFmtId="14" fontId="3" fillId="0" borderId="0" xfId="28" applyNumberFormat="1" applyFont="1" applyAlignment="1">
      <alignment horizontal="left"/>
    </xf>
    <xf numFmtId="14" fontId="3" fillId="0" borderId="0" xfId="28" applyNumberFormat="1" applyFont="1" applyAlignment="1">
      <alignment horizontal="center"/>
    </xf>
    <xf numFmtId="0" fontId="3" fillId="0" borderId="26" xfId="28" applyFont="1" applyBorder="1" applyAlignment="1">
      <alignment horizontal="left"/>
    </xf>
    <xf numFmtId="0" fontId="3" fillId="0" borderId="0" xfId="28" applyFont="1" applyBorder="1"/>
    <xf numFmtId="0" fontId="3" fillId="0" borderId="0" xfId="28" applyFont="1" applyFill="1" applyBorder="1" applyAlignment="1">
      <alignment horizontal="right"/>
    </xf>
    <xf numFmtId="0" fontId="3" fillId="0" borderId="0" xfId="28" applyFont="1" applyFill="1" applyBorder="1" applyAlignment="1"/>
    <xf numFmtId="0" fontId="3" fillId="0" borderId="0" xfId="28" applyFont="1" applyFill="1" applyAlignment="1">
      <alignment horizontal="left"/>
    </xf>
    <xf numFmtId="0" fontId="3" fillId="0" borderId="0" xfId="28" applyFont="1" applyFill="1" applyBorder="1"/>
    <xf numFmtId="0" fontId="14" fillId="0" borderId="1" xfId="28" applyFont="1" applyBorder="1" applyAlignment="1">
      <alignment horizontal="center"/>
    </xf>
    <xf numFmtId="0" fontId="3" fillId="0" borderId="1" xfId="28" applyFont="1" applyFill="1" applyBorder="1" applyAlignment="1">
      <alignment horizontal="center"/>
    </xf>
    <xf numFmtId="0" fontId="3" fillId="0" borderId="1" xfId="28" applyFont="1" applyBorder="1"/>
    <xf numFmtId="0" fontId="16" fillId="0" borderId="1" xfId="28" applyFont="1" applyFill="1" applyBorder="1" applyAlignment="1">
      <alignment horizontal="center"/>
    </xf>
    <xf numFmtId="0" fontId="16" fillId="0" borderId="0" xfId="28" applyFont="1" applyFill="1" applyBorder="1" applyAlignment="1">
      <alignment horizontal="center"/>
    </xf>
    <xf numFmtId="0" fontId="3" fillId="0" borderId="0" xfId="28" applyFont="1" applyFill="1" applyBorder="1" applyAlignment="1">
      <alignment horizontal="center"/>
    </xf>
    <xf numFmtId="0" fontId="3" fillId="0" borderId="0" xfId="28" applyFont="1" applyAlignment="1"/>
    <xf numFmtId="0" fontId="3" fillId="0" borderId="0" xfId="28" applyFont="1" applyFill="1" applyAlignment="1">
      <alignment horizontal="center"/>
    </xf>
    <xf numFmtId="165" fontId="3" fillId="0" borderId="1" xfId="28" applyNumberFormat="1" applyFont="1" applyFill="1" applyBorder="1" applyAlignment="1">
      <alignment horizontal="center"/>
    </xf>
    <xf numFmtId="2" fontId="3" fillId="0" borderId="0" xfId="28" applyNumberFormat="1" applyFont="1" applyFill="1" applyBorder="1" applyAlignment="1"/>
    <xf numFmtId="0" fontId="3" fillId="0" borderId="0" xfId="28" applyFont="1" applyBorder="1" applyAlignment="1">
      <alignment horizontal="center"/>
    </xf>
    <xf numFmtId="0" fontId="3" fillId="0" borderId="8" xfId="28" applyFont="1" applyBorder="1" applyAlignment="1"/>
    <xf numFmtId="0" fontId="3" fillId="0" borderId="7" xfId="28" applyFont="1" applyFill="1" applyBorder="1" applyAlignment="1">
      <alignment horizontal="center"/>
    </xf>
    <xf numFmtId="0" fontId="3" fillId="0" borderId="8" xfId="28" applyFont="1" applyFill="1" applyBorder="1" applyAlignment="1">
      <alignment horizontal="center"/>
    </xf>
    <xf numFmtId="165" fontId="3" fillId="0" borderId="8" xfId="28" applyNumberFormat="1" applyFont="1" applyFill="1" applyBorder="1" applyAlignment="1">
      <alignment horizontal="center"/>
    </xf>
    <xf numFmtId="2" fontId="18" fillId="0" borderId="8" xfId="89" applyNumberFormat="1" applyFont="1" applyFill="1" applyBorder="1" applyAlignment="1" applyProtection="1">
      <alignment horizontal="center"/>
    </xf>
    <xf numFmtId="0" fontId="3" fillId="0" borderId="9" xfId="28" applyFont="1" applyFill="1" applyBorder="1" applyAlignment="1">
      <alignment horizontal="center"/>
    </xf>
    <xf numFmtId="0" fontId="18" fillId="0" borderId="0" xfId="89" applyFont="1" applyAlignment="1" applyProtection="1">
      <alignment horizontal="center"/>
    </xf>
    <xf numFmtId="0" fontId="3" fillId="0" borderId="27" xfId="28" applyFont="1" applyBorder="1" applyAlignment="1"/>
    <xf numFmtId="0" fontId="3" fillId="0" borderId="28" xfId="28" applyFont="1" applyBorder="1" applyAlignment="1"/>
    <xf numFmtId="0" fontId="3" fillId="0" borderId="0" xfId="28" applyFont="1" applyFill="1"/>
    <xf numFmtId="0" fontId="3" fillId="0" borderId="10" xfId="28" applyFont="1" applyBorder="1" applyAlignment="1">
      <alignment horizontal="right"/>
    </xf>
    <xf numFmtId="0" fontId="3" fillId="0" borderId="15" xfId="28" applyFont="1" applyBorder="1" applyAlignment="1">
      <alignment horizontal="right"/>
    </xf>
    <xf numFmtId="0" fontId="3" fillId="0" borderId="1" xfId="28" applyFont="1" applyBorder="1" applyAlignment="1">
      <alignment horizontal="right"/>
    </xf>
    <xf numFmtId="2" fontId="11" fillId="0" borderId="0" xfId="89" applyNumberFormat="1" applyFont="1" applyFill="1" applyBorder="1" applyAlignment="1" applyProtection="1">
      <alignment horizontal="center"/>
    </xf>
    <xf numFmtId="0" fontId="4" fillId="0" borderId="0" xfId="0" applyFont="1" applyAlignment="1">
      <alignment horizontal="center" vertical="center"/>
    </xf>
    <xf numFmtId="0" fontId="2" fillId="0" borderId="0" xfId="0" applyFont="1"/>
    <xf numFmtId="0" fontId="2" fillId="0" borderId="0" xfId="0" applyFont="1" applyAlignment="1">
      <alignment horizontal="right"/>
    </xf>
    <xf numFmtId="0" fontId="2" fillId="0" borderId="0" xfId="0" applyFont="1" applyAlignment="1">
      <alignment horizontal="left"/>
    </xf>
    <xf numFmtId="0" fontId="2" fillId="0" borderId="0" xfId="0" quotePrefix="1" applyFont="1"/>
    <xf numFmtId="0" fontId="2" fillId="0" borderId="0" xfId="0" applyFont="1" applyBorder="1" applyAlignment="1">
      <alignment horizontal="left" vertical="top" wrapText="1"/>
    </xf>
    <xf numFmtId="0" fontId="2" fillId="0" borderId="0" xfId="0" applyFont="1" applyAlignment="1">
      <alignment vertical="top" wrapText="1"/>
    </xf>
    <xf numFmtId="0" fontId="2" fillId="0" borderId="0" xfId="0" applyFont="1" applyBorder="1" applyAlignment="1">
      <alignment horizontal="center" vertical="center" wrapText="1"/>
    </xf>
    <xf numFmtId="0" fontId="2" fillId="0" borderId="0" xfId="0" applyFont="1" applyBorder="1" applyAlignment="1">
      <alignment vertical="top" wrapText="1"/>
    </xf>
    <xf numFmtId="0" fontId="2" fillId="0" borderId="1" xfId="0" applyFont="1" applyBorder="1" applyAlignment="1">
      <alignment horizontal="center" vertical="center" wrapText="1"/>
    </xf>
    <xf numFmtId="0" fontId="2" fillId="0" borderId="1" xfId="0" applyFont="1" applyBorder="1" applyAlignment="1">
      <alignment horizontal="center" vertical="center"/>
    </xf>
    <xf numFmtId="0" fontId="2" fillId="0" borderId="1" xfId="0" applyFont="1" applyFill="1" applyBorder="1" applyAlignment="1">
      <alignment horizontal="center" vertical="center" wrapText="1"/>
    </xf>
    <xf numFmtId="2" fontId="2" fillId="0" borderId="0" xfId="0" applyNumberFormat="1" applyFont="1" applyAlignment="1">
      <alignment horizontal="left"/>
    </xf>
    <xf numFmtId="49" fontId="2" fillId="0" borderId="0" xfId="0" applyNumberFormat="1" applyFont="1"/>
    <xf numFmtId="49" fontId="14" fillId="0" borderId="1" xfId="0" applyNumberFormat="1" applyFont="1" applyBorder="1" applyAlignment="1">
      <alignment horizontal="center" wrapText="1"/>
    </xf>
    <xf numFmtId="49" fontId="14" fillId="0" borderId="1" xfId="0" applyNumberFormat="1" applyFont="1" applyBorder="1" applyAlignment="1">
      <alignment horizontal="center" vertical="center"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4" fillId="0" borderId="1" xfId="0" applyFont="1" applyBorder="1" applyAlignment="1">
      <alignment horizontal="left" vertical="center" wrapText="1"/>
    </xf>
    <xf numFmtId="0" fontId="4" fillId="0" borderId="2" xfId="0" applyFont="1" applyBorder="1" applyAlignment="1">
      <alignment horizontal="left" vertical="center" wrapText="1"/>
    </xf>
    <xf numFmtId="0" fontId="4" fillId="0" borderId="3" xfId="0" applyFont="1" applyBorder="1" applyAlignment="1">
      <alignment horizontal="left" vertical="center" wrapText="1"/>
    </xf>
    <xf numFmtId="0" fontId="4" fillId="0" borderId="4" xfId="0" applyFont="1" applyBorder="1" applyAlignment="1">
      <alignment horizontal="left" vertical="center" wrapText="1"/>
    </xf>
    <xf numFmtId="0" fontId="4" fillId="0" borderId="5" xfId="0" applyFont="1" applyBorder="1" applyAlignment="1">
      <alignment horizontal="left" vertical="center" wrapText="1"/>
    </xf>
    <xf numFmtId="0" fontId="4" fillId="0" borderId="0" xfId="0" applyFont="1" applyBorder="1" applyAlignment="1">
      <alignment horizontal="left" vertical="center" wrapText="1"/>
    </xf>
    <xf numFmtId="0" fontId="4" fillId="0" borderId="6" xfId="0" applyFont="1" applyBorder="1" applyAlignment="1">
      <alignment horizontal="left" vertical="center" wrapText="1"/>
    </xf>
    <xf numFmtId="0" fontId="4" fillId="0" borderId="7" xfId="0" applyFont="1" applyBorder="1" applyAlignment="1">
      <alignment horizontal="left" vertical="center" wrapText="1"/>
    </xf>
    <xf numFmtId="0" fontId="4" fillId="0" borderId="8" xfId="0" applyFont="1" applyBorder="1" applyAlignment="1">
      <alignment horizontal="left" vertical="center" wrapText="1"/>
    </xf>
    <xf numFmtId="0" fontId="4" fillId="0" borderId="9" xfId="0" applyFont="1" applyBorder="1" applyAlignment="1">
      <alignment horizontal="left" vertical="center" wrapText="1"/>
    </xf>
    <xf numFmtId="0" fontId="4" fillId="0" borderId="1" xfId="0" applyFont="1" applyBorder="1" applyAlignment="1">
      <alignment horizontal="center" vertical="center" wrapText="1"/>
    </xf>
    <xf numFmtId="0" fontId="4" fillId="0" borderId="14" xfId="0" applyFont="1" applyBorder="1" applyAlignment="1">
      <alignment horizontal="center" vertical="center" wrapText="1"/>
    </xf>
    <xf numFmtId="0" fontId="4" fillId="0" borderId="25"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4" xfId="0" applyFont="1" applyBorder="1" applyAlignment="1">
      <alignment horizontal="left" vertical="top" wrapText="1"/>
    </xf>
    <xf numFmtId="0" fontId="4" fillId="0" borderId="5" xfId="0" applyFont="1" applyBorder="1" applyAlignment="1">
      <alignment horizontal="left" vertical="top" wrapText="1"/>
    </xf>
    <xf numFmtId="0" fontId="4" fillId="0" borderId="0"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top" wrapText="1"/>
    </xf>
    <xf numFmtId="0" fontId="4" fillId="0" borderId="8" xfId="0" applyFont="1" applyBorder="1" applyAlignment="1">
      <alignment horizontal="left" vertical="top" wrapText="1"/>
    </xf>
    <xf numFmtId="0" fontId="4" fillId="0" borderId="9" xfId="0" applyFont="1" applyBorder="1" applyAlignment="1">
      <alignment horizontal="left" vertical="top" wrapText="1"/>
    </xf>
    <xf numFmtId="0" fontId="14" fillId="0" borderId="11" xfId="0" applyFont="1" applyBorder="1" applyAlignment="1">
      <alignment horizontal="center" vertical="center" wrapText="1"/>
    </xf>
    <xf numFmtId="0" fontId="14" fillId="0" borderId="12" xfId="0" applyFont="1" applyBorder="1" applyAlignment="1">
      <alignment horizontal="center" vertical="center" wrapText="1"/>
    </xf>
    <xf numFmtId="0" fontId="3" fillId="0" borderId="1" xfId="28" applyFont="1" applyFill="1" applyBorder="1" applyAlignment="1">
      <alignment horizontal="center"/>
    </xf>
    <xf numFmtId="0" fontId="3" fillId="0" borderId="2" xfId="28" applyFont="1" applyFill="1" applyBorder="1" applyAlignment="1">
      <alignment horizontal="center" vertical="top" wrapText="1"/>
    </xf>
    <xf numFmtId="0" fontId="3" fillId="0" borderId="3" xfId="28" applyFont="1" applyFill="1" applyBorder="1" applyAlignment="1">
      <alignment horizontal="center" vertical="top" wrapText="1"/>
    </xf>
    <xf numFmtId="0" fontId="3" fillId="0" borderId="4" xfId="28" applyFont="1" applyFill="1" applyBorder="1" applyAlignment="1">
      <alignment horizontal="center" vertical="top" wrapText="1"/>
    </xf>
    <xf numFmtId="0" fontId="2" fillId="0" borderId="1" xfId="0" applyFont="1" applyBorder="1" applyAlignment="1">
      <alignment horizontal="center" vertical="center" wrapText="1"/>
    </xf>
    <xf numFmtId="0" fontId="2" fillId="0" borderId="1" xfId="0" applyFont="1" applyBorder="1" applyAlignment="1">
      <alignment horizontal="center" vertical="top" wrapText="1"/>
    </xf>
  </cellXfs>
  <cellStyles count="90">
    <cellStyle name="Hyperlink" xfId="89" builtinId="8"/>
    <cellStyle name="Normal" xfId="0" builtinId="0"/>
    <cellStyle name="Normal 10" xfId="3"/>
    <cellStyle name="Normal 10 2" xfId="4"/>
    <cellStyle name="Normal 10 2 2" xfId="5"/>
    <cellStyle name="Normal 10 2 3" xfId="6"/>
    <cellStyle name="Normal 10 3" xfId="7"/>
    <cellStyle name="Normal 10 4" xfId="8"/>
    <cellStyle name="Normal 11" xfId="9"/>
    <cellStyle name="Normal 11 2" xfId="10"/>
    <cellStyle name="Normal 11 3" xfId="11"/>
    <cellStyle name="Normal 12" xfId="12"/>
    <cellStyle name="Normal 12 2" xfId="13"/>
    <cellStyle name="Normal 12 3" xfId="14"/>
    <cellStyle name="Normal 13" xfId="15"/>
    <cellStyle name="Normal 13 2" xfId="16"/>
    <cellStyle name="Normal 13 3" xfId="17"/>
    <cellStyle name="Normal 14" xfId="18"/>
    <cellStyle name="Normal 14 2" xfId="19"/>
    <cellStyle name="Normal 14 3" xfId="20"/>
    <cellStyle name="Normal 15" xfId="21"/>
    <cellStyle name="Normal 16" xfId="22"/>
    <cellStyle name="Normal 17" xfId="23"/>
    <cellStyle name="Normal 18" xfId="24"/>
    <cellStyle name="Normal 19" xfId="25"/>
    <cellStyle name="Normal 19 2" xfId="1"/>
    <cellStyle name="Normal 2" xfId="26"/>
    <cellStyle name="Normal 2 10" xfId="27"/>
    <cellStyle name="Normal 2 11" xfId="28"/>
    <cellStyle name="Normal 2 12" xfId="2"/>
    <cellStyle name="Normal 2 2" xfId="29"/>
    <cellStyle name="Normal 2 2 2" xfId="30"/>
    <cellStyle name="Normal 2 2 3" xfId="31"/>
    <cellStyle name="Normal 2 3" xfId="32"/>
    <cellStyle name="Normal 2 3 2" xfId="33"/>
    <cellStyle name="Normal 2 3 3" xfId="34"/>
    <cellStyle name="Normal 2 4" xfId="35"/>
    <cellStyle name="Normal 2 4 2" xfId="36"/>
    <cellStyle name="Normal 2 4 3" xfId="37"/>
    <cellStyle name="Normal 2 5" xfId="38"/>
    <cellStyle name="Normal 2 5 2" xfId="39"/>
    <cellStyle name="Normal 2 5 3" xfId="40"/>
    <cellStyle name="Normal 2 6" xfId="41"/>
    <cellStyle name="Normal 2 6 2" xfId="42"/>
    <cellStyle name="Normal 2 6 3" xfId="43"/>
    <cellStyle name="Normal 2 7" xfId="44"/>
    <cellStyle name="Normal 2 7 2" xfId="45"/>
    <cellStyle name="Normal 2 7 3" xfId="46"/>
    <cellStyle name="Normal 2 8" xfId="47"/>
    <cellStyle name="Normal 2 8 2" xfId="48"/>
    <cellStyle name="Normal 2 8 3" xfId="49"/>
    <cellStyle name="Normal 2 9" xfId="50"/>
    <cellStyle name="Normal 2 9 2" xfId="51"/>
    <cellStyle name="Normal 2 9 3" xfId="52"/>
    <cellStyle name="Normal 3" xfId="53"/>
    <cellStyle name="Normal 3 2" xfId="54"/>
    <cellStyle name="Normal 3 2 2" xfId="55"/>
    <cellStyle name="Normal 3 2 3" xfId="56"/>
    <cellStyle name="Normal 3 3" xfId="57"/>
    <cellStyle name="Normal 3 3 2" xfId="58"/>
    <cellStyle name="Normal 3 3 3" xfId="59"/>
    <cellStyle name="Normal 3 4" xfId="60"/>
    <cellStyle name="Normal 3 4 2" xfId="61"/>
    <cellStyle name="Normal 3 4 3" xfId="62"/>
    <cellStyle name="Normal 3 5" xfId="63"/>
    <cellStyle name="Normal 3 6" xfId="64"/>
    <cellStyle name="Normal 4" xfId="65"/>
    <cellStyle name="Normal 4 2" xfId="66"/>
    <cellStyle name="Normal 4 2 2" xfId="67"/>
    <cellStyle name="Normal 4 2 3" xfId="68"/>
    <cellStyle name="Normal 4 3" xfId="69"/>
    <cellStyle name="Normal 4 4" xfId="70"/>
    <cellStyle name="Normal 5" xfId="71"/>
    <cellStyle name="Normal 5 2" xfId="72"/>
    <cellStyle name="Normal 5 2 2" xfId="73"/>
    <cellStyle name="Normal 5 2 3" xfId="74"/>
    <cellStyle name="Normal 5 3" xfId="75"/>
    <cellStyle name="Normal 5 4" xfId="76"/>
    <cellStyle name="Normal 6" xfId="77"/>
    <cellStyle name="Normal 6 2" xfId="78"/>
    <cellStyle name="Normal 6 3" xfId="79"/>
    <cellStyle name="Normal 7" xfId="80"/>
    <cellStyle name="Normal 7 2" xfId="81"/>
    <cellStyle name="Normal 7 3" xfId="82"/>
    <cellStyle name="Normal 8" xfId="83"/>
    <cellStyle name="Normal 8 2" xfId="84"/>
    <cellStyle name="Normal 8 3" xfId="85"/>
    <cellStyle name="Normal 9" xfId="86"/>
    <cellStyle name="Normal 9 2" xfId="87"/>
    <cellStyle name="Normal 9 3" xfId="8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xdr:row>
          <xdr:rowOff>9525</xdr:rowOff>
        </xdr:from>
        <xdr:to>
          <xdr:col>4</xdr:col>
          <xdr:colOff>0</xdr:colOff>
          <xdr:row>2</xdr:row>
          <xdr:rowOff>180975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339966"/>
                  </a:solidFill>
                  <a:latin typeface="Arial"/>
                  <a:cs typeface="Arial"/>
                </a:rPr>
                <a:t>Calculate V50</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21"/>
  <sheetViews>
    <sheetView tabSelected="1" zoomScaleNormal="100" workbookViewId="0">
      <selection activeCell="B5" sqref="B5"/>
    </sheetView>
  </sheetViews>
  <sheetFormatPr defaultRowHeight="12.75" x14ac:dyDescent="0.25"/>
  <cols>
    <col min="1" max="1" width="8.7109375" style="33" customWidth="1"/>
    <col min="2" max="2" width="19.5703125" style="33" customWidth="1"/>
    <col min="3" max="3" width="20.85546875" style="33" customWidth="1"/>
    <col min="4" max="4" width="13.5703125" style="33" customWidth="1"/>
    <col min="5" max="6" width="11.7109375" style="33" customWidth="1"/>
    <col min="7" max="7" width="9" style="33" customWidth="1"/>
    <col min="8" max="8" width="12" style="33" customWidth="1"/>
    <col min="9" max="9" width="10.5703125" style="33" customWidth="1"/>
    <col min="10" max="10" width="44.7109375" style="33" customWidth="1"/>
    <col min="11" max="11" width="7.5703125" style="33" customWidth="1"/>
    <col min="12" max="12" width="11.42578125" style="33" customWidth="1"/>
    <col min="13" max="13" width="2.7109375" style="33" customWidth="1"/>
    <col min="14" max="14" width="7.85546875" style="33" customWidth="1"/>
    <col min="15" max="15" width="14.42578125" style="33" customWidth="1"/>
    <col min="16" max="16" width="7.5703125" style="33" customWidth="1"/>
    <col min="17" max="17" width="11.5703125" style="33" customWidth="1"/>
    <col min="18" max="18" width="5.140625" style="33" customWidth="1"/>
    <col min="19" max="19" width="8.85546875" style="33" customWidth="1"/>
    <col min="20" max="20" width="14.42578125" style="33" customWidth="1"/>
    <col min="21" max="21" width="7.42578125" style="33" customWidth="1"/>
    <col min="22" max="22" width="11.5703125" style="33" customWidth="1"/>
    <col min="23" max="23" width="2.7109375" style="33" customWidth="1"/>
    <col min="24" max="24" width="9.140625" style="33"/>
    <col min="25" max="25" width="14.7109375" style="33" customWidth="1"/>
    <col min="26" max="26" width="7.28515625" style="33" customWidth="1"/>
    <col min="27" max="27" width="11.85546875" style="33" customWidth="1"/>
    <col min="28" max="16384" width="9.140625" style="33"/>
  </cols>
  <sheetData>
    <row r="1" spans="1:16" x14ac:dyDescent="0.25">
      <c r="B1" s="34" t="s">
        <v>0</v>
      </c>
      <c r="C1" s="35" t="s">
        <v>903</v>
      </c>
    </row>
    <row r="2" spans="1:16" x14ac:dyDescent="0.25">
      <c r="B2" s="34" t="s">
        <v>5</v>
      </c>
      <c r="C2" s="35"/>
    </row>
    <row r="3" spans="1:16" x14ac:dyDescent="0.25">
      <c r="B3" s="34" t="s">
        <v>53</v>
      </c>
      <c r="C3" s="35"/>
    </row>
    <row r="4" spans="1:16" x14ac:dyDescent="0.25">
      <c r="B4" s="34" t="s">
        <v>54</v>
      </c>
      <c r="C4" s="35"/>
    </row>
    <row r="5" spans="1:16" x14ac:dyDescent="0.25">
      <c r="B5" s="34" t="s">
        <v>55</v>
      </c>
      <c r="C5" s="35" t="e">
        <f>VLOOKUP(C4,'Product List'!A2:F487,2,FALSE)</f>
        <v>#N/A</v>
      </c>
    </row>
    <row r="6" spans="1:16" x14ac:dyDescent="0.25">
      <c r="B6" s="34"/>
      <c r="C6" s="35"/>
    </row>
    <row r="7" spans="1:16" x14ac:dyDescent="0.25">
      <c r="B7" s="34" t="s">
        <v>1</v>
      </c>
      <c r="C7" s="33" t="s">
        <v>12</v>
      </c>
      <c r="D7" s="33" t="s">
        <v>13</v>
      </c>
    </row>
    <row r="8" spans="1:16" ht="9" customHeight="1" thickBot="1" x14ac:dyDescent="0.3">
      <c r="A8" s="34"/>
    </row>
    <row r="9" spans="1:16" ht="15" customHeight="1" x14ac:dyDescent="0.25">
      <c r="A9" s="107" t="s">
        <v>904</v>
      </c>
      <c r="B9" s="108"/>
      <c r="C9" s="108"/>
      <c r="D9" s="108"/>
      <c r="E9" s="108"/>
      <c r="F9" s="108"/>
      <c r="G9" s="109"/>
      <c r="H9" s="28"/>
      <c r="K9" s="28"/>
      <c r="L9" s="28"/>
      <c r="M9" s="28"/>
      <c r="N9" s="28"/>
      <c r="O9" s="28"/>
      <c r="P9" s="28"/>
    </row>
    <row r="10" spans="1:16" ht="18" customHeight="1" x14ac:dyDescent="0.25">
      <c r="A10" s="110"/>
      <c r="B10" s="111"/>
      <c r="C10" s="111"/>
      <c r="D10" s="111"/>
      <c r="E10" s="111"/>
      <c r="F10" s="111"/>
      <c r="G10" s="112"/>
      <c r="H10" s="28"/>
      <c r="K10" s="28"/>
      <c r="L10" s="28"/>
      <c r="M10" s="28"/>
      <c r="N10" s="28"/>
      <c r="O10" s="28"/>
      <c r="P10" s="28"/>
    </row>
    <row r="11" spans="1:16" ht="29.25" customHeight="1" x14ac:dyDescent="0.25">
      <c r="A11" s="110"/>
      <c r="B11" s="111"/>
      <c r="C11" s="111"/>
      <c r="D11" s="111"/>
      <c r="E11" s="111"/>
      <c r="F11" s="111"/>
      <c r="G11" s="112"/>
      <c r="H11" s="28"/>
      <c r="I11" s="28"/>
      <c r="J11" s="28"/>
      <c r="K11" s="28"/>
      <c r="L11" s="28"/>
      <c r="M11" s="28"/>
      <c r="N11" s="28"/>
      <c r="O11" s="28"/>
      <c r="P11" s="28"/>
    </row>
    <row r="12" spans="1:16" ht="27.75" customHeight="1" x14ac:dyDescent="0.25">
      <c r="A12" s="110"/>
      <c r="B12" s="111"/>
      <c r="C12" s="111"/>
      <c r="D12" s="111"/>
      <c r="E12" s="111"/>
      <c r="F12" s="111"/>
      <c r="G12" s="112"/>
      <c r="H12" s="28"/>
      <c r="I12" s="28"/>
      <c r="J12" s="28"/>
      <c r="K12" s="28"/>
      <c r="L12" s="28"/>
      <c r="M12" s="28"/>
      <c r="N12" s="28"/>
      <c r="O12" s="28"/>
      <c r="P12" s="28"/>
    </row>
    <row r="13" spans="1:16" ht="11.25" customHeight="1" x14ac:dyDescent="0.25">
      <c r="A13" s="110"/>
      <c r="B13" s="111"/>
      <c r="C13" s="111"/>
      <c r="D13" s="111"/>
      <c r="E13" s="111"/>
      <c r="F13" s="111"/>
      <c r="G13" s="112"/>
      <c r="H13" s="28"/>
      <c r="I13" s="28"/>
      <c r="J13" s="28"/>
      <c r="K13" s="28"/>
      <c r="L13" s="28"/>
      <c r="M13" s="28"/>
      <c r="N13" s="28"/>
      <c r="O13" s="28"/>
      <c r="P13" s="28"/>
    </row>
    <row r="14" spans="1:16" ht="12" customHeight="1" x14ac:dyDescent="0.25">
      <c r="A14" s="110"/>
      <c r="B14" s="111"/>
      <c r="C14" s="111"/>
      <c r="D14" s="111"/>
      <c r="E14" s="111"/>
      <c r="F14" s="111"/>
      <c r="G14" s="112"/>
      <c r="H14" s="28"/>
      <c r="I14" s="28"/>
      <c r="J14" s="28"/>
      <c r="K14" s="28"/>
      <c r="L14" s="28"/>
      <c r="M14" s="28"/>
      <c r="N14" s="28"/>
      <c r="O14" s="28"/>
      <c r="P14" s="28"/>
    </row>
    <row r="15" spans="1:16" ht="15.75" customHeight="1" thickBot="1" x14ac:dyDescent="0.3">
      <c r="A15" s="113"/>
      <c r="B15" s="114"/>
      <c r="C15" s="114"/>
      <c r="D15" s="114"/>
      <c r="E15" s="114"/>
      <c r="F15" s="114"/>
      <c r="G15" s="115"/>
      <c r="H15" s="28"/>
      <c r="I15" s="28"/>
      <c r="J15" s="28"/>
      <c r="K15" s="28"/>
      <c r="L15" s="28"/>
      <c r="M15" s="28"/>
      <c r="N15" s="28"/>
      <c r="O15" s="28"/>
      <c r="P15" s="28"/>
    </row>
    <row r="16" spans="1:16" ht="12" customHeight="1" x14ac:dyDescent="0.25">
      <c r="A16" s="36"/>
      <c r="B16" s="36"/>
      <c r="C16" s="36"/>
      <c r="D16" s="36"/>
      <c r="E16" s="36"/>
      <c r="F16" s="28"/>
      <c r="G16" s="28"/>
      <c r="H16" s="28"/>
      <c r="I16" s="28"/>
      <c r="J16" s="28"/>
      <c r="K16" s="28"/>
      <c r="L16" s="28"/>
      <c r="M16" s="28"/>
      <c r="N16" s="28"/>
      <c r="O16" s="28"/>
      <c r="P16" s="28"/>
    </row>
    <row r="17" spans="1:16" ht="15" customHeight="1" thickBot="1" x14ac:dyDescent="0.3">
      <c r="A17" s="34" t="s">
        <v>1</v>
      </c>
      <c r="B17" s="33" t="s">
        <v>12</v>
      </c>
      <c r="C17" s="33" t="s">
        <v>14</v>
      </c>
      <c r="D17" s="37"/>
      <c r="E17" s="37"/>
      <c r="F17" s="28"/>
      <c r="G17" s="28"/>
      <c r="H17" s="28"/>
      <c r="I17" s="28"/>
      <c r="J17" s="28"/>
      <c r="K17" s="28"/>
      <c r="L17" s="28"/>
      <c r="M17" s="28"/>
      <c r="N17" s="28"/>
      <c r="O17" s="28"/>
      <c r="P17" s="28"/>
    </row>
    <row r="18" spans="1:16" ht="27" customHeight="1" x14ac:dyDescent="0.25">
      <c r="A18" s="107" t="s">
        <v>905</v>
      </c>
      <c r="B18" s="108"/>
      <c r="C18" s="108"/>
      <c r="D18" s="108"/>
      <c r="E18" s="108"/>
      <c r="F18" s="108"/>
      <c r="G18" s="109"/>
      <c r="H18" s="28"/>
      <c r="I18" s="28"/>
      <c r="J18" s="28"/>
      <c r="K18" s="28"/>
      <c r="L18" s="28"/>
      <c r="M18" s="28"/>
      <c r="N18" s="28"/>
      <c r="O18" s="28"/>
      <c r="P18" s="28"/>
    </row>
    <row r="19" spans="1:16" ht="27.75" customHeight="1" x14ac:dyDescent="0.25">
      <c r="A19" s="110"/>
      <c r="B19" s="111"/>
      <c r="C19" s="111"/>
      <c r="D19" s="111"/>
      <c r="E19" s="111"/>
      <c r="F19" s="111"/>
      <c r="G19" s="112"/>
      <c r="H19" s="28"/>
      <c r="I19" s="28"/>
      <c r="J19" s="28"/>
      <c r="K19" s="28"/>
      <c r="L19" s="28"/>
      <c r="M19" s="28"/>
      <c r="N19" s="28"/>
      <c r="O19" s="28"/>
      <c r="P19" s="28"/>
    </row>
    <row r="20" spans="1:16" ht="27" customHeight="1" x14ac:dyDescent="0.25">
      <c r="A20" s="110"/>
      <c r="B20" s="111"/>
      <c r="C20" s="111"/>
      <c r="D20" s="111"/>
      <c r="E20" s="111"/>
      <c r="F20" s="111"/>
      <c r="G20" s="112"/>
      <c r="H20" s="28"/>
      <c r="I20" s="28"/>
      <c r="J20" s="28"/>
      <c r="K20" s="28"/>
      <c r="L20" s="28"/>
      <c r="M20" s="28"/>
      <c r="N20" s="28"/>
      <c r="O20" s="28"/>
      <c r="P20" s="28"/>
    </row>
    <row r="21" spans="1:16" ht="27" customHeight="1" x14ac:dyDescent="0.25">
      <c r="A21" s="110"/>
      <c r="B21" s="111"/>
      <c r="C21" s="111"/>
      <c r="D21" s="111"/>
      <c r="E21" s="111"/>
      <c r="F21" s="111"/>
      <c r="G21" s="112"/>
      <c r="H21" s="28"/>
      <c r="I21" s="28"/>
      <c r="J21" s="28"/>
      <c r="K21" s="28"/>
      <c r="L21" s="28"/>
      <c r="M21" s="28"/>
      <c r="N21" s="28"/>
      <c r="O21" s="28"/>
      <c r="P21" s="28"/>
    </row>
    <row r="22" spans="1:16" ht="21" customHeight="1" x14ac:dyDescent="0.25">
      <c r="A22" s="110"/>
      <c r="B22" s="111"/>
      <c r="C22" s="111"/>
      <c r="D22" s="111"/>
      <c r="E22" s="111"/>
      <c r="F22" s="111"/>
      <c r="G22" s="112"/>
      <c r="H22" s="28"/>
      <c r="I22" s="28"/>
      <c r="J22" s="28"/>
      <c r="K22" s="28"/>
      <c r="L22" s="28"/>
      <c r="M22" s="28"/>
      <c r="N22" s="28"/>
      <c r="O22" s="28"/>
      <c r="P22" s="28"/>
    </row>
    <row r="23" spans="1:16" ht="27.75" hidden="1" customHeight="1" x14ac:dyDescent="0.25">
      <c r="A23" s="110"/>
      <c r="B23" s="111"/>
      <c r="C23" s="111"/>
      <c r="D23" s="111"/>
      <c r="E23" s="111"/>
      <c r="F23" s="111"/>
      <c r="G23" s="112"/>
      <c r="H23" s="28"/>
      <c r="I23" s="28"/>
      <c r="J23" s="28"/>
      <c r="K23" s="28"/>
      <c r="L23" s="28"/>
      <c r="M23" s="28"/>
      <c r="N23" s="28"/>
      <c r="O23" s="28"/>
      <c r="P23" s="28"/>
    </row>
    <row r="24" spans="1:16" ht="30.75" customHeight="1" thickBot="1" x14ac:dyDescent="0.3">
      <c r="A24" s="113"/>
      <c r="B24" s="114"/>
      <c r="C24" s="114"/>
      <c r="D24" s="114"/>
      <c r="E24" s="114"/>
      <c r="F24" s="114"/>
      <c r="G24" s="115"/>
      <c r="H24" s="28"/>
      <c r="I24" s="28"/>
      <c r="J24" s="28"/>
      <c r="K24" s="28"/>
      <c r="L24" s="28"/>
      <c r="M24" s="28"/>
    </row>
    <row r="25" spans="1:16" ht="16.5" customHeight="1" x14ac:dyDescent="0.25">
      <c r="A25" s="36"/>
      <c r="B25" s="36"/>
      <c r="C25" s="36"/>
      <c r="D25" s="36"/>
      <c r="E25" s="36"/>
      <c r="F25" s="36"/>
      <c r="G25" s="36"/>
      <c r="H25" s="28"/>
      <c r="I25" s="28"/>
      <c r="J25" s="28"/>
      <c r="K25" s="28"/>
      <c r="L25" s="28"/>
      <c r="M25" s="28"/>
    </row>
    <row r="26" spans="1:16" ht="12" customHeight="1" x14ac:dyDescent="0.25">
      <c r="A26" s="29" t="s">
        <v>16</v>
      </c>
      <c r="B26" s="29" t="s">
        <v>40</v>
      </c>
      <c r="C26" s="30"/>
      <c r="D26" s="30"/>
      <c r="E26" s="36"/>
      <c r="F26" s="36"/>
      <c r="G26" s="36"/>
      <c r="H26" s="28"/>
      <c r="I26" s="28"/>
      <c r="J26" s="28"/>
      <c r="K26" s="28"/>
      <c r="L26" s="28"/>
      <c r="M26" s="28"/>
    </row>
    <row r="27" spans="1:16" ht="12.75" customHeight="1" x14ac:dyDescent="0.25">
      <c r="A27" s="31" t="s">
        <v>17</v>
      </c>
      <c r="B27" s="106" t="s">
        <v>41</v>
      </c>
      <c r="C27" s="106"/>
      <c r="D27" s="106"/>
      <c r="E27" s="36"/>
      <c r="F27" s="36"/>
      <c r="G27" s="36"/>
      <c r="H27" s="28"/>
      <c r="I27" s="28"/>
      <c r="J27" s="28"/>
      <c r="K27" s="28"/>
      <c r="L27" s="28"/>
      <c r="M27" s="28"/>
    </row>
    <row r="28" spans="1:16" ht="13.5" customHeight="1" x14ac:dyDescent="0.25">
      <c r="A28" s="31" t="s">
        <v>19</v>
      </c>
      <c r="B28" s="106" t="s">
        <v>42</v>
      </c>
      <c r="C28" s="106"/>
      <c r="D28" s="106"/>
      <c r="E28" s="36"/>
      <c r="F28" s="36"/>
      <c r="G28" s="36"/>
      <c r="H28" s="28"/>
      <c r="I28" s="28"/>
      <c r="J28" s="28"/>
      <c r="K28" s="28"/>
      <c r="L28" s="28"/>
      <c r="M28" s="28"/>
    </row>
    <row r="29" spans="1:16" ht="12" customHeight="1" x14ac:dyDescent="0.25">
      <c r="A29" s="31" t="s">
        <v>21</v>
      </c>
      <c r="B29" s="106" t="s">
        <v>43</v>
      </c>
      <c r="C29" s="106"/>
      <c r="D29" s="106"/>
      <c r="E29" s="36"/>
      <c r="F29" s="36"/>
      <c r="G29" s="36"/>
      <c r="H29" s="28"/>
      <c r="I29" s="28"/>
      <c r="J29" s="28"/>
      <c r="K29" s="28"/>
      <c r="L29" s="28"/>
      <c r="M29" s="28"/>
    </row>
    <row r="30" spans="1:16" ht="12" customHeight="1" x14ac:dyDescent="0.25">
      <c r="A30" s="31" t="s">
        <v>23</v>
      </c>
      <c r="B30" s="106" t="s">
        <v>44</v>
      </c>
      <c r="C30" s="106"/>
      <c r="D30" s="106"/>
      <c r="E30" s="36"/>
      <c r="F30" s="36"/>
      <c r="G30" s="36"/>
      <c r="H30" s="28"/>
      <c r="I30" s="28"/>
      <c r="J30" s="28"/>
      <c r="K30" s="28"/>
      <c r="L30" s="28"/>
      <c r="M30" s="28"/>
    </row>
    <row r="31" spans="1:16" ht="12" customHeight="1" x14ac:dyDescent="0.25">
      <c r="A31" s="31" t="s">
        <v>25</v>
      </c>
      <c r="B31" s="106" t="s">
        <v>26</v>
      </c>
      <c r="C31" s="106"/>
      <c r="D31" s="106"/>
      <c r="E31" s="36"/>
      <c r="F31" s="36"/>
      <c r="G31" s="36"/>
      <c r="H31" s="28"/>
      <c r="I31" s="28"/>
      <c r="J31" s="28"/>
      <c r="K31" s="28"/>
      <c r="L31" s="28"/>
      <c r="M31" s="28"/>
    </row>
    <row r="32" spans="1:16" ht="12" customHeight="1" x14ac:dyDescent="0.25">
      <c r="A32" s="31" t="s">
        <v>27</v>
      </c>
      <c r="B32" s="106" t="s">
        <v>45</v>
      </c>
      <c r="C32" s="106"/>
      <c r="D32" s="106"/>
      <c r="E32" s="36"/>
      <c r="F32" s="36"/>
      <c r="G32" s="36"/>
      <c r="H32" s="28"/>
      <c r="I32" s="28"/>
      <c r="J32" s="28"/>
      <c r="K32" s="28"/>
      <c r="L32" s="28"/>
      <c r="M32" s="28"/>
    </row>
    <row r="33" spans="1:13" ht="12" customHeight="1" x14ac:dyDescent="0.25">
      <c r="A33" s="31" t="s">
        <v>29</v>
      </c>
      <c r="B33" s="106" t="s">
        <v>30</v>
      </c>
      <c r="C33" s="106"/>
      <c r="D33" s="106"/>
      <c r="E33" s="36"/>
      <c r="F33" s="36"/>
      <c r="G33" s="36"/>
      <c r="H33" s="28"/>
      <c r="I33" s="28"/>
      <c r="J33" s="28"/>
      <c r="K33" s="28"/>
      <c r="L33" s="28"/>
      <c r="M33" s="28"/>
    </row>
    <row r="34" spans="1:13" ht="12" customHeight="1" x14ac:dyDescent="0.25">
      <c r="A34" s="31" t="s">
        <v>31</v>
      </c>
      <c r="B34" s="106" t="s">
        <v>32</v>
      </c>
      <c r="C34" s="106"/>
      <c r="D34" s="106"/>
      <c r="E34" s="36"/>
      <c r="F34" s="36"/>
      <c r="G34" s="36"/>
      <c r="H34" s="28"/>
      <c r="I34" s="28"/>
      <c r="J34" s="28"/>
      <c r="K34" s="28"/>
      <c r="L34" s="28"/>
      <c r="M34" s="28"/>
    </row>
    <row r="35" spans="1:13" ht="12" customHeight="1" x14ac:dyDescent="0.25">
      <c r="A35" s="31" t="s">
        <v>33</v>
      </c>
      <c r="B35" s="106" t="s">
        <v>34</v>
      </c>
      <c r="C35" s="106"/>
      <c r="D35" s="106"/>
      <c r="E35" s="36"/>
      <c r="F35" s="36"/>
      <c r="G35" s="36"/>
      <c r="H35" s="28"/>
      <c r="I35" s="28"/>
      <c r="J35" s="28"/>
      <c r="K35" s="28"/>
      <c r="L35" s="28"/>
      <c r="M35" s="28"/>
    </row>
    <row r="36" spans="1:13" ht="33.75" customHeight="1" x14ac:dyDescent="0.25">
      <c r="A36" s="31" t="s">
        <v>35</v>
      </c>
      <c r="B36" s="106" t="s">
        <v>46</v>
      </c>
      <c r="C36" s="106"/>
      <c r="D36" s="106"/>
      <c r="E36" s="36"/>
      <c r="F36" s="36"/>
      <c r="G36" s="36"/>
      <c r="H36" s="28"/>
      <c r="I36" s="28"/>
      <c r="J36" s="28"/>
      <c r="K36" s="28"/>
      <c r="L36" s="28"/>
      <c r="M36" s="28"/>
    </row>
    <row r="37" spans="1:13" ht="12" customHeight="1" x14ac:dyDescent="0.25">
      <c r="A37" s="31" t="s">
        <v>37</v>
      </c>
      <c r="B37" s="106" t="s">
        <v>38</v>
      </c>
      <c r="C37" s="106"/>
      <c r="D37" s="106"/>
      <c r="E37" s="36"/>
      <c r="F37" s="36"/>
      <c r="G37" s="36"/>
      <c r="H37" s="28"/>
      <c r="I37" s="28"/>
      <c r="J37" s="28"/>
      <c r="K37" s="28"/>
      <c r="L37" s="28"/>
      <c r="M37" s="28"/>
    </row>
    <row r="38" spans="1:13" ht="12" customHeight="1" x14ac:dyDescent="0.25">
      <c r="A38" s="31" t="s">
        <v>631</v>
      </c>
      <c r="B38" s="106" t="s">
        <v>632</v>
      </c>
      <c r="C38" s="106"/>
      <c r="D38" s="106"/>
      <c r="E38" s="36"/>
      <c r="F38" s="36"/>
      <c r="G38" s="36"/>
      <c r="H38" s="28"/>
      <c r="I38" s="28"/>
      <c r="J38" s="28"/>
      <c r="K38" s="28"/>
      <c r="L38" s="28"/>
      <c r="M38" s="28"/>
    </row>
    <row r="39" spans="1:13" ht="12" customHeight="1" x14ac:dyDescent="0.25">
      <c r="A39" s="31" t="s">
        <v>633</v>
      </c>
      <c r="B39" s="106" t="s">
        <v>634</v>
      </c>
      <c r="C39" s="106"/>
      <c r="D39" s="106"/>
      <c r="E39" s="36"/>
      <c r="F39" s="36"/>
      <c r="G39" s="36"/>
      <c r="H39" s="28"/>
      <c r="I39" s="28"/>
      <c r="J39" s="28"/>
      <c r="K39" s="28"/>
      <c r="L39" s="28"/>
      <c r="M39" s="28"/>
    </row>
    <row r="40" spans="1:13" ht="8.25" customHeight="1" x14ac:dyDescent="0.25">
      <c r="A40" s="36"/>
      <c r="B40" s="36"/>
      <c r="C40" s="36"/>
      <c r="D40" s="36"/>
      <c r="E40" s="36"/>
      <c r="F40" s="36"/>
      <c r="G40" s="36"/>
      <c r="H40" s="28"/>
      <c r="I40" s="28"/>
      <c r="J40" s="28"/>
      <c r="K40" s="28"/>
      <c r="L40" s="28"/>
      <c r="M40" s="28"/>
    </row>
    <row r="41" spans="1:13" ht="36" customHeight="1" x14ac:dyDescent="0.25">
      <c r="A41" s="29" t="s">
        <v>2</v>
      </c>
      <c r="B41" s="29" t="s">
        <v>3</v>
      </c>
      <c r="C41" s="29" t="s">
        <v>4</v>
      </c>
      <c r="D41" s="29" t="s">
        <v>9</v>
      </c>
      <c r="E41" s="29" t="s">
        <v>10</v>
      </c>
      <c r="F41" s="29" t="s">
        <v>630</v>
      </c>
      <c r="G41" s="29" t="s">
        <v>15</v>
      </c>
      <c r="H41" s="38" t="s">
        <v>895</v>
      </c>
    </row>
    <row r="42" spans="1:13" x14ac:dyDescent="0.25">
      <c r="A42" s="39">
        <v>1</v>
      </c>
      <c r="B42" s="39"/>
      <c r="C42" s="39"/>
      <c r="D42" s="39"/>
      <c r="E42" s="39"/>
      <c r="F42" s="39"/>
      <c r="G42" s="39"/>
      <c r="H42" s="40"/>
    </row>
    <row r="43" spans="1:13" x14ac:dyDescent="0.25">
      <c r="A43" s="39">
        <f>A42+1</f>
        <v>2</v>
      </c>
      <c r="B43" s="39"/>
      <c r="C43" s="39"/>
      <c r="D43" s="39"/>
      <c r="E43" s="39"/>
      <c r="F43" s="39"/>
      <c r="G43" s="39"/>
      <c r="H43" s="40"/>
    </row>
    <row r="44" spans="1:13" x14ac:dyDescent="0.25">
      <c r="A44" s="39">
        <f t="shared" ref="A44:A107" si="0">A43+1</f>
        <v>3</v>
      </c>
      <c r="B44" s="39"/>
      <c r="C44" s="39"/>
      <c r="D44" s="39"/>
      <c r="E44" s="39"/>
      <c r="F44" s="39"/>
      <c r="G44" s="39"/>
      <c r="H44" s="40"/>
    </row>
    <row r="45" spans="1:13" x14ac:dyDescent="0.25">
      <c r="A45" s="39">
        <f t="shared" si="0"/>
        <v>4</v>
      </c>
      <c r="B45" s="39"/>
      <c r="C45" s="39"/>
      <c r="D45" s="39"/>
      <c r="E45" s="39"/>
      <c r="F45" s="39"/>
      <c r="G45" s="39"/>
      <c r="H45" s="40"/>
    </row>
    <row r="46" spans="1:13" x14ac:dyDescent="0.25">
      <c r="A46" s="39">
        <f t="shared" si="0"/>
        <v>5</v>
      </c>
      <c r="B46" s="39"/>
      <c r="C46" s="39"/>
      <c r="D46" s="39"/>
      <c r="E46" s="39"/>
      <c r="F46" s="39"/>
      <c r="G46" s="39"/>
      <c r="H46" s="40"/>
    </row>
    <row r="47" spans="1:13" x14ac:dyDescent="0.25">
      <c r="A47" s="39">
        <f t="shared" si="0"/>
        <v>6</v>
      </c>
      <c r="B47" s="39"/>
      <c r="C47" s="39"/>
      <c r="D47" s="39"/>
      <c r="E47" s="39"/>
      <c r="F47" s="39"/>
      <c r="G47" s="39"/>
      <c r="H47" s="40"/>
    </row>
    <row r="48" spans="1:13" x14ac:dyDescent="0.25">
      <c r="A48" s="39">
        <f t="shared" si="0"/>
        <v>7</v>
      </c>
      <c r="B48" s="39"/>
      <c r="C48" s="39"/>
      <c r="D48" s="39"/>
      <c r="E48" s="39"/>
      <c r="F48" s="39"/>
      <c r="G48" s="39"/>
      <c r="H48" s="40"/>
    </row>
    <row r="49" spans="1:8" x14ac:dyDescent="0.25">
      <c r="A49" s="39">
        <f t="shared" si="0"/>
        <v>8</v>
      </c>
      <c r="B49" s="39"/>
      <c r="C49" s="39"/>
      <c r="D49" s="39"/>
      <c r="E49" s="39"/>
      <c r="F49" s="39"/>
      <c r="G49" s="39"/>
      <c r="H49" s="40"/>
    </row>
    <row r="50" spans="1:8" x14ac:dyDescent="0.25">
      <c r="A50" s="39">
        <f t="shared" si="0"/>
        <v>9</v>
      </c>
      <c r="B50" s="39"/>
      <c r="C50" s="39"/>
      <c r="D50" s="39"/>
      <c r="E50" s="39"/>
      <c r="F50" s="39"/>
      <c r="G50" s="39"/>
      <c r="H50" s="40"/>
    </row>
    <row r="51" spans="1:8" x14ac:dyDescent="0.25">
      <c r="A51" s="39">
        <f t="shared" si="0"/>
        <v>10</v>
      </c>
      <c r="B51" s="39"/>
      <c r="C51" s="39"/>
      <c r="D51" s="39"/>
      <c r="E51" s="39"/>
      <c r="F51" s="39"/>
      <c r="G51" s="39"/>
      <c r="H51" s="40"/>
    </row>
    <row r="52" spans="1:8" x14ac:dyDescent="0.25">
      <c r="A52" s="39">
        <f t="shared" si="0"/>
        <v>11</v>
      </c>
      <c r="B52" s="39"/>
      <c r="C52" s="39"/>
      <c r="D52" s="39"/>
      <c r="E52" s="39"/>
      <c r="F52" s="39"/>
      <c r="G52" s="39"/>
      <c r="H52" s="40"/>
    </row>
    <row r="53" spans="1:8" x14ac:dyDescent="0.25">
      <c r="A53" s="39">
        <f t="shared" si="0"/>
        <v>12</v>
      </c>
      <c r="B53" s="39"/>
      <c r="C53" s="39"/>
      <c r="D53" s="39"/>
      <c r="E53" s="39"/>
      <c r="F53" s="39"/>
      <c r="G53" s="39"/>
      <c r="H53" s="40"/>
    </row>
    <row r="54" spans="1:8" x14ac:dyDescent="0.25">
      <c r="A54" s="39">
        <f t="shared" si="0"/>
        <v>13</v>
      </c>
      <c r="B54" s="39"/>
      <c r="C54" s="39"/>
      <c r="D54" s="39"/>
      <c r="E54" s="39"/>
      <c r="F54" s="39"/>
      <c r="G54" s="39"/>
      <c r="H54" s="40"/>
    </row>
    <row r="55" spans="1:8" x14ac:dyDescent="0.25">
      <c r="A55" s="39">
        <f t="shared" si="0"/>
        <v>14</v>
      </c>
      <c r="B55" s="39"/>
      <c r="C55" s="39"/>
      <c r="D55" s="39"/>
      <c r="E55" s="39"/>
      <c r="F55" s="39"/>
      <c r="G55" s="39"/>
      <c r="H55" s="40"/>
    </row>
    <row r="56" spans="1:8" x14ac:dyDescent="0.25">
      <c r="A56" s="39">
        <f t="shared" si="0"/>
        <v>15</v>
      </c>
      <c r="B56" s="39"/>
      <c r="C56" s="39"/>
      <c r="D56" s="39"/>
      <c r="E56" s="39"/>
      <c r="F56" s="39"/>
      <c r="G56" s="39"/>
      <c r="H56" s="40"/>
    </row>
    <row r="57" spans="1:8" x14ac:dyDescent="0.25">
      <c r="A57" s="39">
        <f t="shared" si="0"/>
        <v>16</v>
      </c>
      <c r="B57" s="39"/>
      <c r="C57" s="39"/>
      <c r="D57" s="39"/>
      <c r="E57" s="39"/>
      <c r="F57" s="39"/>
      <c r="G57" s="39"/>
      <c r="H57" s="40"/>
    </row>
    <row r="58" spans="1:8" x14ac:dyDescent="0.25">
      <c r="A58" s="39">
        <f t="shared" si="0"/>
        <v>17</v>
      </c>
      <c r="B58" s="39"/>
      <c r="C58" s="39"/>
      <c r="D58" s="39"/>
      <c r="E58" s="39"/>
      <c r="F58" s="39"/>
      <c r="G58" s="39"/>
      <c r="H58" s="40"/>
    </row>
    <row r="59" spans="1:8" x14ac:dyDescent="0.25">
      <c r="A59" s="39">
        <f t="shared" si="0"/>
        <v>18</v>
      </c>
      <c r="B59" s="39"/>
      <c r="C59" s="39"/>
      <c r="D59" s="39"/>
      <c r="E59" s="39"/>
      <c r="F59" s="39"/>
      <c r="G59" s="39"/>
      <c r="H59" s="40"/>
    </row>
    <row r="60" spans="1:8" x14ac:dyDescent="0.25">
      <c r="A60" s="39">
        <f t="shared" si="0"/>
        <v>19</v>
      </c>
      <c r="B60" s="39"/>
      <c r="C60" s="39"/>
      <c r="D60" s="39"/>
      <c r="E60" s="39"/>
      <c r="F60" s="39"/>
      <c r="G60" s="39"/>
      <c r="H60" s="40"/>
    </row>
    <row r="61" spans="1:8" x14ac:dyDescent="0.25">
      <c r="A61" s="39">
        <f t="shared" si="0"/>
        <v>20</v>
      </c>
      <c r="B61" s="39"/>
      <c r="C61" s="39"/>
      <c r="D61" s="39"/>
      <c r="E61" s="39"/>
      <c r="F61" s="39"/>
      <c r="G61" s="39"/>
      <c r="H61" s="40"/>
    </row>
    <row r="62" spans="1:8" x14ac:dyDescent="0.25">
      <c r="A62" s="39">
        <f t="shared" si="0"/>
        <v>21</v>
      </c>
      <c r="B62" s="39"/>
      <c r="C62" s="39"/>
      <c r="D62" s="39"/>
      <c r="E62" s="39"/>
      <c r="F62" s="39"/>
      <c r="G62" s="39"/>
      <c r="H62" s="40"/>
    </row>
    <row r="63" spans="1:8" x14ac:dyDescent="0.25">
      <c r="A63" s="39">
        <f t="shared" si="0"/>
        <v>22</v>
      </c>
      <c r="B63" s="39"/>
      <c r="C63" s="39"/>
      <c r="D63" s="39"/>
      <c r="E63" s="39"/>
      <c r="F63" s="39"/>
      <c r="G63" s="39"/>
      <c r="H63" s="40"/>
    </row>
    <row r="64" spans="1:8" x14ac:dyDescent="0.25">
      <c r="A64" s="39">
        <f t="shared" si="0"/>
        <v>23</v>
      </c>
      <c r="B64" s="39"/>
      <c r="C64" s="39"/>
      <c r="D64" s="39"/>
      <c r="E64" s="39"/>
      <c r="F64" s="39"/>
      <c r="G64" s="39"/>
      <c r="H64" s="40"/>
    </row>
    <row r="65" spans="1:8" x14ac:dyDescent="0.25">
      <c r="A65" s="39">
        <f t="shared" si="0"/>
        <v>24</v>
      </c>
      <c r="B65" s="39"/>
      <c r="C65" s="39"/>
      <c r="D65" s="39"/>
      <c r="E65" s="39"/>
      <c r="F65" s="39"/>
      <c r="G65" s="39"/>
      <c r="H65" s="40"/>
    </row>
    <row r="66" spans="1:8" x14ac:dyDescent="0.25">
      <c r="A66" s="39">
        <f t="shared" si="0"/>
        <v>25</v>
      </c>
      <c r="B66" s="39"/>
      <c r="C66" s="39"/>
      <c r="D66" s="39"/>
      <c r="E66" s="39"/>
      <c r="F66" s="39"/>
      <c r="G66" s="39"/>
      <c r="H66" s="40"/>
    </row>
    <row r="67" spans="1:8" x14ac:dyDescent="0.25">
      <c r="A67" s="39">
        <f t="shared" si="0"/>
        <v>26</v>
      </c>
      <c r="B67" s="39"/>
      <c r="C67" s="39"/>
      <c r="D67" s="39"/>
      <c r="E67" s="39"/>
      <c r="F67" s="39"/>
      <c r="G67" s="39"/>
      <c r="H67" s="40"/>
    </row>
    <row r="68" spans="1:8" x14ac:dyDescent="0.25">
      <c r="A68" s="39">
        <f t="shared" si="0"/>
        <v>27</v>
      </c>
      <c r="B68" s="39"/>
      <c r="C68" s="39"/>
      <c r="D68" s="39"/>
      <c r="E68" s="39"/>
      <c r="F68" s="39"/>
      <c r="G68" s="39"/>
      <c r="H68" s="40"/>
    </row>
    <row r="69" spans="1:8" x14ac:dyDescent="0.25">
      <c r="A69" s="39">
        <f t="shared" si="0"/>
        <v>28</v>
      </c>
      <c r="B69" s="39"/>
      <c r="C69" s="39"/>
      <c r="D69" s="39"/>
      <c r="E69" s="39"/>
      <c r="F69" s="39"/>
      <c r="G69" s="39"/>
      <c r="H69" s="40"/>
    </row>
    <row r="70" spans="1:8" x14ac:dyDescent="0.25">
      <c r="A70" s="39">
        <f t="shared" si="0"/>
        <v>29</v>
      </c>
      <c r="B70" s="39"/>
      <c r="C70" s="39"/>
      <c r="D70" s="39"/>
      <c r="E70" s="39"/>
      <c r="F70" s="39"/>
      <c r="G70" s="39"/>
      <c r="H70" s="40"/>
    </row>
    <row r="71" spans="1:8" x14ac:dyDescent="0.25">
      <c r="A71" s="39">
        <f t="shared" si="0"/>
        <v>30</v>
      </c>
      <c r="B71" s="39"/>
      <c r="C71" s="39"/>
      <c r="D71" s="39"/>
      <c r="E71" s="39"/>
      <c r="F71" s="39"/>
      <c r="G71" s="39"/>
      <c r="H71" s="40"/>
    </row>
    <row r="72" spans="1:8" x14ac:dyDescent="0.25">
      <c r="A72" s="39">
        <f t="shared" si="0"/>
        <v>31</v>
      </c>
      <c r="B72" s="39"/>
      <c r="C72" s="39"/>
      <c r="D72" s="39"/>
      <c r="E72" s="39"/>
      <c r="F72" s="39"/>
      <c r="G72" s="39"/>
      <c r="H72" s="40"/>
    </row>
    <row r="73" spans="1:8" x14ac:dyDescent="0.25">
      <c r="A73" s="39">
        <f t="shared" si="0"/>
        <v>32</v>
      </c>
      <c r="B73" s="39"/>
      <c r="C73" s="39"/>
      <c r="D73" s="39"/>
      <c r="E73" s="39"/>
      <c r="F73" s="39"/>
      <c r="G73" s="39"/>
      <c r="H73" s="40"/>
    </row>
    <row r="74" spans="1:8" x14ac:dyDescent="0.25">
      <c r="A74" s="39">
        <f t="shared" si="0"/>
        <v>33</v>
      </c>
      <c r="B74" s="39"/>
      <c r="C74" s="39"/>
      <c r="D74" s="39"/>
      <c r="E74" s="39"/>
      <c r="F74" s="39"/>
      <c r="G74" s="39"/>
      <c r="H74" s="40"/>
    </row>
    <row r="75" spans="1:8" x14ac:dyDescent="0.25">
      <c r="A75" s="39">
        <f t="shared" si="0"/>
        <v>34</v>
      </c>
      <c r="B75" s="39"/>
      <c r="C75" s="39"/>
      <c r="D75" s="39"/>
      <c r="E75" s="39"/>
      <c r="F75" s="39"/>
      <c r="G75" s="39"/>
      <c r="H75" s="40"/>
    </row>
    <row r="76" spans="1:8" x14ac:dyDescent="0.25">
      <c r="A76" s="39">
        <f t="shared" si="0"/>
        <v>35</v>
      </c>
      <c r="B76" s="39"/>
      <c r="C76" s="39"/>
      <c r="D76" s="39"/>
      <c r="E76" s="39"/>
      <c r="F76" s="39"/>
      <c r="G76" s="39"/>
      <c r="H76" s="40"/>
    </row>
    <row r="77" spans="1:8" x14ac:dyDescent="0.25">
      <c r="A77" s="39">
        <f t="shared" si="0"/>
        <v>36</v>
      </c>
      <c r="B77" s="39"/>
      <c r="C77" s="39"/>
      <c r="D77" s="39"/>
      <c r="E77" s="39"/>
      <c r="F77" s="39"/>
      <c r="G77" s="39"/>
      <c r="H77" s="40"/>
    </row>
    <row r="78" spans="1:8" x14ac:dyDescent="0.25">
      <c r="A78" s="39">
        <f t="shared" si="0"/>
        <v>37</v>
      </c>
      <c r="B78" s="39"/>
      <c r="C78" s="39"/>
      <c r="D78" s="39"/>
      <c r="E78" s="39"/>
      <c r="F78" s="39"/>
      <c r="G78" s="39"/>
      <c r="H78" s="40"/>
    </row>
    <row r="79" spans="1:8" x14ac:dyDescent="0.25">
      <c r="A79" s="39">
        <f t="shared" si="0"/>
        <v>38</v>
      </c>
      <c r="B79" s="39"/>
      <c r="C79" s="39"/>
      <c r="D79" s="39"/>
      <c r="E79" s="39"/>
      <c r="F79" s="39"/>
      <c r="G79" s="39"/>
      <c r="H79" s="40"/>
    </row>
    <row r="80" spans="1:8" x14ac:dyDescent="0.25">
      <c r="A80" s="39">
        <f t="shared" si="0"/>
        <v>39</v>
      </c>
      <c r="B80" s="39"/>
      <c r="C80" s="39"/>
      <c r="D80" s="39"/>
      <c r="E80" s="39"/>
      <c r="F80" s="39"/>
      <c r="G80" s="39"/>
      <c r="H80" s="40"/>
    </row>
    <row r="81" spans="1:8" x14ac:dyDescent="0.25">
      <c r="A81" s="39">
        <f t="shared" si="0"/>
        <v>40</v>
      </c>
      <c r="B81" s="39"/>
      <c r="C81" s="39"/>
      <c r="D81" s="39"/>
      <c r="E81" s="39"/>
      <c r="F81" s="39"/>
      <c r="G81" s="39"/>
      <c r="H81" s="40"/>
    </row>
    <row r="82" spans="1:8" x14ac:dyDescent="0.25">
      <c r="A82" s="39">
        <f t="shared" si="0"/>
        <v>41</v>
      </c>
      <c r="B82" s="39"/>
      <c r="C82" s="39"/>
      <c r="D82" s="39"/>
      <c r="E82" s="39"/>
      <c r="F82" s="39"/>
      <c r="G82" s="39"/>
      <c r="H82" s="40"/>
    </row>
    <row r="83" spans="1:8" x14ac:dyDescent="0.25">
      <c r="A83" s="39">
        <f t="shared" si="0"/>
        <v>42</v>
      </c>
      <c r="B83" s="39"/>
      <c r="C83" s="39"/>
      <c r="D83" s="39"/>
      <c r="E83" s="39"/>
      <c r="F83" s="39"/>
      <c r="G83" s="39"/>
      <c r="H83" s="40"/>
    </row>
    <row r="84" spans="1:8" x14ac:dyDescent="0.25">
      <c r="A84" s="39">
        <f t="shared" si="0"/>
        <v>43</v>
      </c>
      <c r="B84" s="39"/>
      <c r="C84" s="39"/>
      <c r="D84" s="39"/>
      <c r="E84" s="39"/>
      <c r="F84" s="39"/>
      <c r="G84" s="39"/>
      <c r="H84" s="40"/>
    </row>
    <row r="85" spans="1:8" x14ac:dyDescent="0.25">
      <c r="A85" s="39">
        <f t="shared" si="0"/>
        <v>44</v>
      </c>
      <c r="B85" s="39"/>
      <c r="C85" s="39"/>
      <c r="D85" s="39"/>
      <c r="E85" s="39"/>
      <c r="F85" s="39"/>
      <c r="G85" s="39"/>
      <c r="H85" s="40"/>
    </row>
    <row r="86" spans="1:8" x14ac:dyDescent="0.25">
      <c r="A86" s="39">
        <f t="shared" si="0"/>
        <v>45</v>
      </c>
      <c r="B86" s="39"/>
      <c r="C86" s="39"/>
      <c r="D86" s="39"/>
      <c r="E86" s="39"/>
      <c r="F86" s="39"/>
      <c r="G86" s="39"/>
      <c r="H86" s="40"/>
    </row>
    <row r="87" spans="1:8" x14ac:dyDescent="0.25">
      <c r="A87" s="39">
        <f t="shared" si="0"/>
        <v>46</v>
      </c>
      <c r="B87" s="39"/>
      <c r="C87" s="39"/>
      <c r="D87" s="39"/>
      <c r="E87" s="39"/>
      <c r="F87" s="39"/>
      <c r="G87" s="39"/>
      <c r="H87" s="40"/>
    </row>
    <row r="88" spans="1:8" x14ac:dyDescent="0.25">
      <c r="A88" s="39">
        <f t="shared" si="0"/>
        <v>47</v>
      </c>
      <c r="B88" s="39"/>
      <c r="C88" s="39"/>
      <c r="D88" s="39"/>
      <c r="E88" s="39"/>
      <c r="F88" s="39"/>
      <c r="G88" s="39"/>
      <c r="H88" s="40"/>
    </row>
    <row r="89" spans="1:8" x14ac:dyDescent="0.25">
      <c r="A89" s="39">
        <f t="shared" si="0"/>
        <v>48</v>
      </c>
      <c r="B89" s="39"/>
      <c r="C89" s="39"/>
      <c r="D89" s="39"/>
      <c r="E89" s="39"/>
      <c r="F89" s="39"/>
      <c r="G89" s="39"/>
      <c r="H89" s="40"/>
    </row>
    <row r="90" spans="1:8" x14ac:dyDescent="0.25">
      <c r="A90" s="39">
        <f t="shared" si="0"/>
        <v>49</v>
      </c>
      <c r="B90" s="39"/>
      <c r="C90" s="39"/>
      <c r="D90" s="39"/>
      <c r="E90" s="39"/>
      <c r="F90" s="39"/>
      <c r="G90" s="39"/>
      <c r="H90" s="40"/>
    </row>
    <row r="91" spans="1:8" x14ac:dyDescent="0.25">
      <c r="A91" s="39">
        <f t="shared" si="0"/>
        <v>50</v>
      </c>
      <c r="B91" s="39"/>
      <c r="C91" s="39"/>
      <c r="D91" s="39"/>
      <c r="E91" s="39"/>
      <c r="F91" s="39"/>
      <c r="G91" s="39"/>
      <c r="H91" s="40"/>
    </row>
    <row r="92" spans="1:8" x14ac:dyDescent="0.25">
      <c r="A92" s="39">
        <f t="shared" si="0"/>
        <v>51</v>
      </c>
      <c r="B92" s="39"/>
      <c r="C92" s="39"/>
      <c r="D92" s="39"/>
      <c r="E92" s="39"/>
      <c r="F92" s="39"/>
      <c r="G92" s="39"/>
      <c r="H92" s="40"/>
    </row>
    <row r="93" spans="1:8" x14ac:dyDescent="0.25">
      <c r="A93" s="39">
        <f t="shared" si="0"/>
        <v>52</v>
      </c>
      <c r="B93" s="39"/>
      <c r="C93" s="39"/>
      <c r="D93" s="39"/>
      <c r="E93" s="39"/>
      <c r="F93" s="39"/>
      <c r="G93" s="39"/>
      <c r="H93" s="40"/>
    </row>
    <row r="94" spans="1:8" x14ac:dyDescent="0.25">
      <c r="A94" s="39">
        <f t="shared" si="0"/>
        <v>53</v>
      </c>
      <c r="B94" s="39"/>
      <c r="C94" s="39"/>
      <c r="D94" s="39"/>
      <c r="E94" s="39"/>
      <c r="F94" s="39"/>
      <c r="G94" s="39"/>
      <c r="H94" s="40"/>
    </row>
    <row r="95" spans="1:8" x14ac:dyDescent="0.25">
      <c r="A95" s="39">
        <f t="shared" si="0"/>
        <v>54</v>
      </c>
      <c r="B95" s="39"/>
      <c r="C95" s="39"/>
      <c r="D95" s="39"/>
      <c r="E95" s="39"/>
      <c r="F95" s="39"/>
      <c r="G95" s="39"/>
      <c r="H95" s="40"/>
    </row>
    <row r="96" spans="1:8" x14ac:dyDescent="0.25">
      <c r="A96" s="39">
        <f t="shared" si="0"/>
        <v>55</v>
      </c>
      <c r="B96" s="39"/>
      <c r="C96" s="39"/>
      <c r="D96" s="39"/>
      <c r="E96" s="39"/>
      <c r="F96" s="39"/>
      <c r="G96" s="39"/>
      <c r="H96" s="40"/>
    </row>
    <row r="97" spans="1:8" x14ac:dyDescent="0.25">
      <c r="A97" s="39">
        <f t="shared" si="0"/>
        <v>56</v>
      </c>
      <c r="B97" s="39"/>
      <c r="C97" s="39"/>
      <c r="D97" s="39"/>
      <c r="E97" s="39"/>
      <c r="F97" s="39"/>
      <c r="G97" s="39"/>
      <c r="H97" s="40"/>
    </row>
    <row r="98" spans="1:8" x14ac:dyDescent="0.25">
      <c r="A98" s="39">
        <f t="shared" si="0"/>
        <v>57</v>
      </c>
      <c r="B98" s="39"/>
      <c r="C98" s="39"/>
      <c r="D98" s="39"/>
      <c r="E98" s="39"/>
      <c r="F98" s="39"/>
      <c r="G98" s="39"/>
      <c r="H98" s="40"/>
    </row>
    <row r="99" spans="1:8" x14ac:dyDescent="0.25">
      <c r="A99" s="39">
        <f t="shared" si="0"/>
        <v>58</v>
      </c>
      <c r="B99" s="39"/>
      <c r="C99" s="39"/>
      <c r="D99" s="39"/>
      <c r="E99" s="39"/>
      <c r="F99" s="39"/>
      <c r="G99" s="39"/>
      <c r="H99" s="40"/>
    </row>
    <row r="100" spans="1:8" x14ac:dyDescent="0.25">
      <c r="A100" s="39">
        <f t="shared" si="0"/>
        <v>59</v>
      </c>
      <c r="B100" s="39"/>
      <c r="C100" s="39"/>
      <c r="D100" s="39"/>
      <c r="E100" s="39"/>
      <c r="F100" s="39"/>
      <c r="G100" s="39"/>
      <c r="H100" s="40"/>
    </row>
    <row r="101" spans="1:8" x14ac:dyDescent="0.25">
      <c r="A101" s="39">
        <f t="shared" si="0"/>
        <v>60</v>
      </c>
      <c r="B101" s="39"/>
      <c r="C101" s="39"/>
      <c r="D101" s="39"/>
      <c r="E101" s="39"/>
      <c r="F101" s="39"/>
      <c r="G101" s="39"/>
      <c r="H101" s="40"/>
    </row>
    <row r="102" spans="1:8" x14ac:dyDescent="0.25">
      <c r="A102" s="39">
        <f t="shared" si="0"/>
        <v>61</v>
      </c>
      <c r="B102" s="39"/>
      <c r="C102" s="39"/>
      <c r="D102" s="39"/>
      <c r="E102" s="39"/>
      <c r="F102" s="39"/>
      <c r="G102" s="39"/>
      <c r="H102" s="40"/>
    </row>
    <row r="103" spans="1:8" x14ac:dyDescent="0.25">
      <c r="A103" s="39">
        <f t="shared" si="0"/>
        <v>62</v>
      </c>
      <c r="B103" s="39"/>
      <c r="C103" s="39"/>
      <c r="D103" s="39"/>
      <c r="E103" s="39"/>
      <c r="F103" s="39"/>
      <c r="G103" s="39"/>
      <c r="H103" s="40"/>
    </row>
    <row r="104" spans="1:8" x14ac:dyDescent="0.25">
      <c r="A104" s="39">
        <f t="shared" si="0"/>
        <v>63</v>
      </c>
      <c r="B104" s="39"/>
      <c r="C104" s="39"/>
      <c r="D104" s="39"/>
      <c r="E104" s="39"/>
      <c r="F104" s="39"/>
      <c r="G104" s="39"/>
      <c r="H104" s="40"/>
    </row>
    <row r="105" spans="1:8" x14ac:dyDescent="0.25">
      <c r="A105" s="39">
        <f t="shared" si="0"/>
        <v>64</v>
      </c>
      <c r="B105" s="39"/>
      <c r="C105" s="39"/>
      <c r="D105" s="39"/>
      <c r="E105" s="39"/>
      <c r="F105" s="39"/>
      <c r="G105" s="39"/>
      <c r="H105" s="40"/>
    </row>
    <row r="106" spans="1:8" x14ac:dyDescent="0.25">
      <c r="A106" s="39">
        <f t="shared" si="0"/>
        <v>65</v>
      </c>
      <c r="B106" s="39"/>
      <c r="C106" s="39"/>
      <c r="D106" s="39"/>
      <c r="E106" s="39"/>
      <c r="F106" s="39"/>
      <c r="G106" s="39"/>
      <c r="H106" s="40"/>
    </row>
    <row r="107" spans="1:8" x14ac:dyDescent="0.25">
      <c r="A107" s="39">
        <f t="shared" si="0"/>
        <v>66</v>
      </c>
      <c r="B107" s="39"/>
      <c r="C107" s="39"/>
      <c r="D107" s="39"/>
      <c r="E107" s="39"/>
      <c r="F107" s="39"/>
      <c r="G107" s="39"/>
      <c r="H107" s="40"/>
    </row>
    <row r="108" spans="1:8" x14ac:dyDescent="0.25">
      <c r="A108" s="39">
        <f t="shared" ref="A108:A171" si="1">A107+1</f>
        <v>67</v>
      </c>
      <c r="B108" s="39"/>
      <c r="C108" s="39"/>
      <c r="D108" s="39"/>
      <c r="E108" s="39"/>
      <c r="F108" s="39"/>
      <c r="G108" s="39"/>
      <c r="H108" s="40"/>
    </row>
    <row r="109" spans="1:8" x14ac:dyDescent="0.25">
      <c r="A109" s="39">
        <f t="shared" si="1"/>
        <v>68</v>
      </c>
      <c r="B109" s="39"/>
      <c r="C109" s="39"/>
      <c r="D109" s="39"/>
      <c r="E109" s="39"/>
      <c r="F109" s="39"/>
      <c r="G109" s="39"/>
      <c r="H109" s="40"/>
    </row>
    <row r="110" spans="1:8" x14ac:dyDescent="0.25">
      <c r="A110" s="39">
        <f t="shared" si="1"/>
        <v>69</v>
      </c>
      <c r="B110" s="39"/>
      <c r="C110" s="39"/>
      <c r="D110" s="39"/>
      <c r="E110" s="39"/>
      <c r="F110" s="39"/>
      <c r="G110" s="39"/>
      <c r="H110" s="40"/>
    </row>
    <row r="111" spans="1:8" x14ac:dyDescent="0.25">
      <c r="A111" s="39">
        <f t="shared" si="1"/>
        <v>70</v>
      </c>
      <c r="B111" s="39"/>
      <c r="C111" s="39"/>
      <c r="D111" s="39"/>
      <c r="E111" s="39"/>
      <c r="F111" s="39"/>
      <c r="G111" s="39"/>
      <c r="H111" s="40"/>
    </row>
    <row r="112" spans="1:8" x14ac:dyDescent="0.25">
      <c r="A112" s="39">
        <f t="shared" si="1"/>
        <v>71</v>
      </c>
      <c r="B112" s="39"/>
      <c r="C112" s="39"/>
      <c r="D112" s="39"/>
      <c r="E112" s="39"/>
      <c r="F112" s="39"/>
      <c r="G112" s="39"/>
      <c r="H112" s="40"/>
    </row>
    <row r="113" spans="1:8" x14ac:dyDescent="0.25">
      <c r="A113" s="39">
        <f t="shared" si="1"/>
        <v>72</v>
      </c>
      <c r="B113" s="39"/>
      <c r="C113" s="39"/>
      <c r="D113" s="39"/>
      <c r="E113" s="39"/>
      <c r="F113" s="39"/>
      <c r="G113" s="39"/>
      <c r="H113" s="40"/>
    </row>
    <row r="114" spans="1:8" x14ac:dyDescent="0.25">
      <c r="A114" s="39">
        <f t="shared" si="1"/>
        <v>73</v>
      </c>
      <c r="B114" s="39"/>
      <c r="C114" s="39"/>
      <c r="D114" s="39"/>
      <c r="E114" s="39"/>
      <c r="F114" s="39"/>
      <c r="G114" s="39"/>
      <c r="H114" s="40"/>
    </row>
    <row r="115" spans="1:8" x14ac:dyDescent="0.25">
      <c r="A115" s="39">
        <f t="shared" si="1"/>
        <v>74</v>
      </c>
      <c r="B115" s="39"/>
      <c r="C115" s="39"/>
      <c r="D115" s="39"/>
      <c r="E115" s="39"/>
      <c r="F115" s="39"/>
      <c r="G115" s="39"/>
      <c r="H115" s="40"/>
    </row>
    <row r="116" spans="1:8" x14ac:dyDescent="0.25">
      <c r="A116" s="39">
        <f t="shared" si="1"/>
        <v>75</v>
      </c>
      <c r="B116" s="39"/>
      <c r="C116" s="39"/>
      <c r="D116" s="39"/>
      <c r="E116" s="39"/>
      <c r="F116" s="39"/>
      <c r="G116" s="39"/>
      <c r="H116" s="40"/>
    </row>
    <row r="117" spans="1:8" x14ac:dyDescent="0.25">
      <c r="A117" s="39">
        <f t="shared" si="1"/>
        <v>76</v>
      </c>
      <c r="B117" s="39"/>
      <c r="C117" s="39"/>
      <c r="D117" s="39"/>
      <c r="E117" s="39"/>
      <c r="F117" s="39"/>
      <c r="G117" s="39"/>
      <c r="H117" s="40"/>
    </row>
    <row r="118" spans="1:8" x14ac:dyDescent="0.25">
      <c r="A118" s="39">
        <f t="shared" si="1"/>
        <v>77</v>
      </c>
      <c r="B118" s="39"/>
      <c r="C118" s="39"/>
      <c r="D118" s="39"/>
      <c r="E118" s="39"/>
      <c r="F118" s="39"/>
      <c r="G118" s="39"/>
      <c r="H118" s="40"/>
    </row>
    <row r="119" spans="1:8" x14ac:dyDescent="0.25">
      <c r="A119" s="39">
        <f t="shared" si="1"/>
        <v>78</v>
      </c>
      <c r="B119" s="39"/>
      <c r="C119" s="39"/>
      <c r="D119" s="39"/>
      <c r="E119" s="39"/>
      <c r="F119" s="39"/>
      <c r="G119" s="39"/>
      <c r="H119" s="40"/>
    </row>
    <row r="120" spans="1:8" x14ac:dyDescent="0.25">
      <c r="A120" s="39">
        <f t="shared" si="1"/>
        <v>79</v>
      </c>
      <c r="B120" s="39"/>
      <c r="C120" s="39"/>
      <c r="D120" s="39"/>
      <c r="E120" s="39"/>
      <c r="F120" s="39"/>
      <c r="G120" s="39"/>
      <c r="H120" s="40"/>
    </row>
    <row r="121" spans="1:8" x14ac:dyDescent="0.25">
      <c r="A121" s="39">
        <f t="shared" si="1"/>
        <v>80</v>
      </c>
      <c r="B121" s="39"/>
      <c r="C121" s="39"/>
      <c r="D121" s="39"/>
      <c r="E121" s="39"/>
      <c r="F121" s="39"/>
      <c r="G121" s="39"/>
      <c r="H121" s="40"/>
    </row>
    <row r="122" spans="1:8" x14ac:dyDescent="0.25">
      <c r="A122" s="39">
        <f t="shared" si="1"/>
        <v>81</v>
      </c>
      <c r="B122" s="39"/>
      <c r="C122" s="39"/>
      <c r="D122" s="39"/>
      <c r="E122" s="39"/>
      <c r="F122" s="39"/>
      <c r="G122" s="39"/>
      <c r="H122" s="40"/>
    </row>
    <row r="123" spans="1:8" x14ac:dyDescent="0.25">
      <c r="A123" s="39">
        <f t="shared" si="1"/>
        <v>82</v>
      </c>
      <c r="B123" s="39"/>
      <c r="C123" s="39"/>
      <c r="D123" s="39"/>
      <c r="E123" s="39"/>
      <c r="F123" s="39"/>
      <c r="G123" s="39"/>
      <c r="H123" s="40"/>
    </row>
    <row r="124" spans="1:8" x14ac:dyDescent="0.25">
      <c r="A124" s="39">
        <f t="shared" si="1"/>
        <v>83</v>
      </c>
      <c r="B124" s="39"/>
      <c r="C124" s="39"/>
      <c r="D124" s="39"/>
      <c r="E124" s="39"/>
      <c r="F124" s="39"/>
      <c r="G124" s="39"/>
      <c r="H124" s="40"/>
    </row>
    <row r="125" spans="1:8" x14ac:dyDescent="0.25">
      <c r="A125" s="39">
        <f t="shared" si="1"/>
        <v>84</v>
      </c>
      <c r="B125" s="39"/>
      <c r="C125" s="39"/>
      <c r="D125" s="39"/>
      <c r="E125" s="39"/>
      <c r="F125" s="39"/>
      <c r="G125" s="39"/>
      <c r="H125" s="40"/>
    </row>
    <row r="126" spans="1:8" x14ac:dyDescent="0.25">
      <c r="A126" s="39">
        <f t="shared" si="1"/>
        <v>85</v>
      </c>
      <c r="B126" s="39"/>
      <c r="C126" s="39"/>
      <c r="D126" s="39"/>
      <c r="E126" s="39"/>
      <c r="F126" s="39"/>
      <c r="G126" s="39"/>
      <c r="H126" s="40"/>
    </row>
    <row r="127" spans="1:8" x14ac:dyDescent="0.25">
      <c r="A127" s="39">
        <f t="shared" si="1"/>
        <v>86</v>
      </c>
      <c r="B127" s="39"/>
      <c r="C127" s="39"/>
      <c r="D127" s="39"/>
      <c r="E127" s="39"/>
      <c r="F127" s="39"/>
      <c r="G127" s="39"/>
      <c r="H127" s="40"/>
    </row>
    <row r="128" spans="1:8" x14ac:dyDescent="0.25">
      <c r="A128" s="39">
        <f t="shared" si="1"/>
        <v>87</v>
      </c>
      <c r="B128" s="39"/>
      <c r="C128" s="39"/>
      <c r="D128" s="39"/>
      <c r="E128" s="39"/>
      <c r="F128" s="39"/>
      <c r="G128" s="39"/>
      <c r="H128" s="40"/>
    </row>
    <row r="129" spans="1:8" x14ac:dyDescent="0.25">
      <c r="A129" s="39">
        <f t="shared" si="1"/>
        <v>88</v>
      </c>
      <c r="B129" s="39"/>
      <c r="C129" s="39"/>
      <c r="D129" s="39"/>
      <c r="E129" s="39"/>
      <c r="F129" s="39"/>
      <c r="G129" s="39"/>
      <c r="H129" s="40"/>
    </row>
    <row r="130" spans="1:8" x14ac:dyDescent="0.25">
      <c r="A130" s="39">
        <f t="shared" si="1"/>
        <v>89</v>
      </c>
      <c r="B130" s="39"/>
      <c r="C130" s="39"/>
      <c r="D130" s="39"/>
      <c r="E130" s="39"/>
      <c r="F130" s="39"/>
      <c r="G130" s="39"/>
      <c r="H130" s="40"/>
    </row>
    <row r="131" spans="1:8" x14ac:dyDescent="0.25">
      <c r="A131" s="39">
        <f t="shared" si="1"/>
        <v>90</v>
      </c>
      <c r="B131" s="39"/>
      <c r="C131" s="39"/>
      <c r="D131" s="39"/>
      <c r="E131" s="39"/>
      <c r="F131" s="39"/>
      <c r="G131" s="39"/>
      <c r="H131" s="40"/>
    </row>
    <row r="132" spans="1:8" x14ac:dyDescent="0.25">
      <c r="A132" s="39">
        <f t="shared" si="1"/>
        <v>91</v>
      </c>
      <c r="B132" s="39"/>
      <c r="C132" s="39"/>
      <c r="D132" s="39"/>
      <c r="E132" s="39"/>
      <c r="F132" s="39"/>
      <c r="G132" s="39"/>
      <c r="H132" s="40"/>
    </row>
    <row r="133" spans="1:8" x14ac:dyDescent="0.25">
      <c r="A133" s="39">
        <f t="shared" si="1"/>
        <v>92</v>
      </c>
      <c r="B133" s="39"/>
      <c r="C133" s="39"/>
      <c r="D133" s="39"/>
      <c r="E133" s="39"/>
      <c r="F133" s="39"/>
      <c r="G133" s="39"/>
      <c r="H133" s="40"/>
    </row>
    <row r="134" spans="1:8" x14ac:dyDescent="0.25">
      <c r="A134" s="39">
        <f t="shared" si="1"/>
        <v>93</v>
      </c>
      <c r="B134" s="39"/>
      <c r="C134" s="39"/>
      <c r="D134" s="39"/>
      <c r="E134" s="39"/>
      <c r="F134" s="39"/>
      <c r="G134" s="39"/>
      <c r="H134" s="40"/>
    </row>
    <row r="135" spans="1:8" x14ac:dyDescent="0.25">
      <c r="A135" s="39">
        <f t="shared" si="1"/>
        <v>94</v>
      </c>
      <c r="B135" s="39"/>
      <c r="C135" s="39"/>
      <c r="D135" s="39"/>
      <c r="E135" s="39"/>
      <c r="F135" s="39"/>
      <c r="G135" s="39"/>
      <c r="H135" s="40"/>
    </row>
    <row r="136" spans="1:8" x14ac:dyDescent="0.25">
      <c r="A136" s="39">
        <f t="shared" si="1"/>
        <v>95</v>
      </c>
      <c r="B136" s="39"/>
      <c r="C136" s="39"/>
      <c r="D136" s="39"/>
      <c r="E136" s="39"/>
      <c r="F136" s="39"/>
      <c r="G136" s="39"/>
      <c r="H136" s="40"/>
    </row>
    <row r="137" spans="1:8" x14ac:dyDescent="0.25">
      <c r="A137" s="39">
        <f t="shared" si="1"/>
        <v>96</v>
      </c>
      <c r="B137" s="39"/>
      <c r="C137" s="39"/>
      <c r="D137" s="39"/>
      <c r="E137" s="39"/>
      <c r="F137" s="39"/>
      <c r="G137" s="39"/>
      <c r="H137" s="40"/>
    </row>
    <row r="138" spans="1:8" x14ac:dyDescent="0.25">
      <c r="A138" s="39">
        <f t="shared" si="1"/>
        <v>97</v>
      </c>
      <c r="B138" s="39"/>
      <c r="C138" s="39"/>
      <c r="D138" s="39"/>
      <c r="E138" s="39"/>
      <c r="F138" s="39"/>
      <c r="G138" s="39"/>
      <c r="H138" s="40"/>
    </row>
    <row r="139" spans="1:8" x14ac:dyDescent="0.25">
      <c r="A139" s="39">
        <f t="shared" si="1"/>
        <v>98</v>
      </c>
      <c r="B139" s="39"/>
      <c r="C139" s="39"/>
      <c r="D139" s="39"/>
      <c r="E139" s="39"/>
      <c r="F139" s="39"/>
      <c r="G139" s="39"/>
      <c r="H139" s="40"/>
    </row>
    <row r="140" spans="1:8" x14ac:dyDescent="0.25">
      <c r="A140" s="39">
        <f t="shared" si="1"/>
        <v>99</v>
      </c>
      <c r="B140" s="39"/>
      <c r="C140" s="39"/>
      <c r="D140" s="39"/>
      <c r="E140" s="39"/>
      <c r="F140" s="39"/>
      <c r="G140" s="39"/>
      <c r="H140" s="40"/>
    </row>
    <row r="141" spans="1:8" x14ac:dyDescent="0.25">
      <c r="A141" s="39">
        <f t="shared" si="1"/>
        <v>100</v>
      </c>
      <c r="B141" s="39"/>
      <c r="C141" s="39"/>
      <c r="D141" s="39"/>
      <c r="E141" s="39"/>
      <c r="F141" s="39"/>
      <c r="G141" s="39"/>
      <c r="H141" s="40"/>
    </row>
    <row r="142" spans="1:8" x14ac:dyDescent="0.25">
      <c r="A142" s="39">
        <f t="shared" si="1"/>
        <v>101</v>
      </c>
      <c r="B142" s="39"/>
      <c r="C142" s="39"/>
      <c r="D142" s="39"/>
      <c r="E142" s="39"/>
      <c r="F142" s="39"/>
      <c r="G142" s="39"/>
      <c r="H142" s="40"/>
    </row>
    <row r="143" spans="1:8" x14ac:dyDescent="0.25">
      <c r="A143" s="39">
        <f t="shared" si="1"/>
        <v>102</v>
      </c>
      <c r="B143" s="39"/>
      <c r="C143" s="39"/>
      <c r="D143" s="39"/>
      <c r="E143" s="39"/>
      <c r="F143" s="39"/>
      <c r="G143" s="39"/>
      <c r="H143" s="40"/>
    </row>
    <row r="144" spans="1:8" x14ac:dyDescent="0.25">
      <c r="A144" s="39">
        <f t="shared" si="1"/>
        <v>103</v>
      </c>
      <c r="B144" s="39"/>
      <c r="C144" s="39"/>
      <c r="D144" s="39"/>
      <c r="E144" s="39"/>
      <c r="F144" s="39"/>
      <c r="G144" s="39"/>
      <c r="H144" s="40"/>
    </row>
    <row r="145" spans="1:8" x14ac:dyDescent="0.25">
      <c r="A145" s="39">
        <f t="shared" si="1"/>
        <v>104</v>
      </c>
      <c r="B145" s="39"/>
      <c r="C145" s="39"/>
      <c r="D145" s="39"/>
      <c r="E145" s="39"/>
      <c r="F145" s="39"/>
      <c r="G145" s="39"/>
      <c r="H145" s="40"/>
    </row>
    <row r="146" spans="1:8" x14ac:dyDescent="0.25">
      <c r="A146" s="39">
        <f t="shared" si="1"/>
        <v>105</v>
      </c>
      <c r="B146" s="39"/>
      <c r="C146" s="39"/>
      <c r="D146" s="39"/>
      <c r="E146" s="39"/>
      <c r="F146" s="39"/>
      <c r="G146" s="39"/>
      <c r="H146" s="40"/>
    </row>
    <row r="147" spans="1:8" x14ac:dyDescent="0.25">
      <c r="A147" s="39">
        <f t="shared" si="1"/>
        <v>106</v>
      </c>
      <c r="B147" s="39"/>
      <c r="C147" s="39"/>
      <c r="D147" s="39"/>
      <c r="E147" s="39"/>
      <c r="F147" s="39"/>
      <c r="G147" s="39"/>
      <c r="H147" s="40"/>
    </row>
    <row r="148" spans="1:8" x14ac:dyDescent="0.25">
      <c r="A148" s="39">
        <f t="shared" si="1"/>
        <v>107</v>
      </c>
      <c r="B148" s="39"/>
      <c r="C148" s="39"/>
      <c r="D148" s="39"/>
      <c r="E148" s="39"/>
      <c r="F148" s="39"/>
      <c r="G148" s="39"/>
      <c r="H148" s="40"/>
    </row>
    <row r="149" spans="1:8" x14ac:dyDescent="0.25">
      <c r="A149" s="39">
        <f t="shared" si="1"/>
        <v>108</v>
      </c>
      <c r="B149" s="39"/>
      <c r="C149" s="39"/>
      <c r="D149" s="39"/>
      <c r="E149" s="39"/>
      <c r="F149" s="39"/>
      <c r="G149" s="39"/>
      <c r="H149" s="40"/>
    </row>
    <row r="150" spans="1:8" x14ac:dyDescent="0.25">
      <c r="A150" s="39">
        <f t="shared" si="1"/>
        <v>109</v>
      </c>
      <c r="B150" s="39"/>
      <c r="C150" s="39"/>
      <c r="D150" s="39"/>
      <c r="E150" s="39"/>
      <c r="F150" s="39"/>
      <c r="G150" s="39"/>
      <c r="H150" s="40"/>
    </row>
    <row r="151" spans="1:8" x14ac:dyDescent="0.25">
      <c r="A151" s="39">
        <f t="shared" si="1"/>
        <v>110</v>
      </c>
      <c r="B151" s="39"/>
      <c r="C151" s="39"/>
      <c r="D151" s="39"/>
      <c r="E151" s="39"/>
      <c r="F151" s="39"/>
      <c r="G151" s="39"/>
      <c r="H151" s="40"/>
    </row>
    <row r="152" spans="1:8" x14ac:dyDescent="0.25">
      <c r="A152" s="39">
        <f t="shared" si="1"/>
        <v>111</v>
      </c>
      <c r="B152" s="39"/>
      <c r="C152" s="39"/>
      <c r="D152" s="39"/>
      <c r="E152" s="39"/>
      <c r="F152" s="39"/>
      <c r="G152" s="39"/>
      <c r="H152" s="40"/>
    </row>
    <row r="153" spans="1:8" x14ac:dyDescent="0.25">
      <c r="A153" s="39">
        <f t="shared" si="1"/>
        <v>112</v>
      </c>
      <c r="B153" s="39"/>
      <c r="C153" s="39"/>
      <c r="D153" s="39"/>
      <c r="E153" s="39"/>
      <c r="F153" s="39"/>
      <c r="G153" s="39"/>
      <c r="H153" s="40"/>
    </row>
    <row r="154" spans="1:8" x14ac:dyDescent="0.25">
      <c r="A154" s="39">
        <f t="shared" si="1"/>
        <v>113</v>
      </c>
      <c r="B154" s="39"/>
      <c r="C154" s="39"/>
      <c r="D154" s="39"/>
      <c r="E154" s="39"/>
      <c r="F154" s="39"/>
      <c r="G154" s="39"/>
      <c r="H154" s="40"/>
    </row>
    <row r="155" spans="1:8" x14ac:dyDescent="0.25">
      <c r="A155" s="39">
        <f t="shared" si="1"/>
        <v>114</v>
      </c>
      <c r="B155" s="39"/>
      <c r="C155" s="39"/>
      <c r="D155" s="39"/>
      <c r="E155" s="39"/>
      <c r="F155" s="39"/>
      <c r="G155" s="39"/>
      <c r="H155" s="40"/>
    </row>
    <row r="156" spans="1:8" x14ac:dyDescent="0.25">
      <c r="A156" s="39">
        <f t="shared" si="1"/>
        <v>115</v>
      </c>
      <c r="B156" s="39"/>
      <c r="C156" s="39"/>
      <c r="D156" s="39"/>
      <c r="E156" s="39"/>
      <c r="F156" s="39"/>
      <c r="G156" s="39"/>
      <c r="H156" s="40"/>
    </row>
    <row r="157" spans="1:8" x14ac:dyDescent="0.25">
      <c r="A157" s="39">
        <f t="shared" si="1"/>
        <v>116</v>
      </c>
      <c r="B157" s="39"/>
      <c r="C157" s="39"/>
      <c r="D157" s="39"/>
      <c r="E157" s="39"/>
      <c r="F157" s="39"/>
      <c r="G157" s="39"/>
      <c r="H157" s="40"/>
    </row>
    <row r="158" spans="1:8" x14ac:dyDescent="0.25">
      <c r="A158" s="39">
        <f t="shared" si="1"/>
        <v>117</v>
      </c>
      <c r="B158" s="39"/>
      <c r="C158" s="39"/>
      <c r="D158" s="39"/>
      <c r="E158" s="39"/>
      <c r="F158" s="39"/>
      <c r="G158" s="39"/>
      <c r="H158" s="40"/>
    </row>
    <row r="159" spans="1:8" x14ac:dyDescent="0.25">
      <c r="A159" s="39">
        <f t="shared" si="1"/>
        <v>118</v>
      </c>
      <c r="B159" s="39"/>
      <c r="C159" s="39"/>
      <c r="D159" s="39"/>
      <c r="E159" s="39"/>
      <c r="F159" s="39"/>
      <c r="G159" s="39"/>
      <c r="H159" s="40"/>
    </row>
    <row r="160" spans="1:8" x14ac:dyDescent="0.25">
      <c r="A160" s="39">
        <f t="shared" si="1"/>
        <v>119</v>
      </c>
      <c r="B160" s="39"/>
      <c r="C160" s="39"/>
      <c r="D160" s="39"/>
      <c r="E160" s="39"/>
      <c r="F160" s="39"/>
      <c r="G160" s="39"/>
      <c r="H160" s="40"/>
    </row>
    <row r="161" spans="1:8" x14ac:dyDescent="0.25">
      <c r="A161" s="39">
        <f t="shared" si="1"/>
        <v>120</v>
      </c>
      <c r="B161" s="39"/>
      <c r="C161" s="39"/>
      <c r="D161" s="39"/>
      <c r="E161" s="39"/>
      <c r="F161" s="39"/>
      <c r="G161" s="39"/>
      <c r="H161" s="40"/>
    </row>
    <row r="162" spans="1:8" x14ac:dyDescent="0.25">
      <c r="A162" s="39">
        <f t="shared" si="1"/>
        <v>121</v>
      </c>
      <c r="B162" s="39"/>
      <c r="C162" s="39"/>
      <c r="D162" s="39"/>
      <c r="E162" s="39"/>
      <c r="F162" s="39"/>
      <c r="G162" s="39"/>
      <c r="H162" s="40"/>
    </row>
    <row r="163" spans="1:8" x14ac:dyDescent="0.25">
      <c r="A163" s="39">
        <f t="shared" si="1"/>
        <v>122</v>
      </c>
      <c r="B163" s="39"/>
      <c r="C163" s="39"/>
      <c r="D163" s="39"/>
      <c r="E163" s="39"/>
      <c r="F163" s="39"/>
      <c r="G163" s="39"/>
      <c r="H163" s="40"/>
    </row>
    <row r="164" spans="1:8" x14ac:dyDescent="0.25">
      <c r="A164" s="39">
        <f t="shared" si="1"/>
        <v>123</v>
      </c>
      <c r="B164" s="39"/>
      <c r="C164" s="39"/>
      <c r="D164" s="39"/>
      <c r="E164" s="39"/>
      <c r="F164" s="39"/>
      <c r="G164" s="39"/>
      <c r="H164" s="40"/>
    </row>
    <row r="165" spans="1:8" x14ac:dyDescent="0.25">
      <c r="A165" s="39">
        <f t="shared" si="1"/>
        <v>124</v>
      </c>
      <c r="B165" s="39"/>
      <c r="C165" s="39"/>
      <c r="D165" s="39"/>
      <c r="E165" s="39"/>
      <c r="F165" s="39"/>
      <c r="G165" s="39"/>
      <c r="H165" s="40"/>
    </row>
    <row r="166" spans="1:8" x14ac:dyDescent="0.25">
      <c r="A166" s="39">
        <f t="shared" si="1"/>
        <v>125</v>
      </c>
      <c r="B166" s="39"/>
      <c r="C166" s="39"/>
      <c r="D166" s="39"/>
      <c r="E166" s="39"/>
      <c r="F166" s="39"/>
      <c r="G166" s="39"/>
      <c r="H166" s="40"/>
    </row>
    <row r="167" spans="1:8" x14ac:dyDescent="0.25">
      <c r="A167" s="39">
        <f t="shared" si="1"/>
        <v>126</v>
      </c>
      <c r="B167" s="39"/>
      <c r="C167" s="39"/>
      <c r="D167" s="39"/>
      <c r="E167" s="39"/>
      <c r="F167" s="39"/>
      <c r="G167" s="39"/>
      <c r="H167" s="40"/>
    </row>
    <row r="168" spans="1:8" x14ac:dyDescent="0.25">
      <c r="A168" s="39">
        <f t="shared" si="1"/>
        <v>127</v>
      </c>
      <c r="B168" s="39"/>
      <c r="C168" s="39"/>
      <c r="D168" s="39"/>
      <c r="E168" s="39"/>
      <c r="F168" s="39"/>
      <c r="G168" s="39"/>
      <c r="H168" s="40"/>
    </row>
    <row r="169" spans="1:8" x14ac:dyDescent="0.25">
      <c r="A169" s="39">
        <f t="shared" si="1"/>
        <v>128</v>
      </c>
      <c r="B169" s="39"/>
      <c r="C169" s="39"/>
      <c r="D169" s="39"/>
      <c r="E169" s="39"/>
      <c r="F169" s="39"/>
      <c r="G169" s="39"/>
      <c r="H169" s="40"/>
    </row>
    <row r="170" spans="1:8" x14ac:dyDescent="0.25">
      <c r="A170" s="39">
        <f t="shared" si="1"/>
        <v>129</v>
      </c>
      <c r="B170" s="39"/>
      <c r="C170" s="39"/>
      <c r="D170" s="39"/>
      <c r="E170" s="39"/>
      <c r="F170" s="39"/>
      <c r="G170" s="39"/>
      <c r="H170" s="40"/>
    </row>
    <row r="171" spans="1:8" x14ac:dyDescent="0.25">
      <c r="A171" s="39">
        <f t="shared" si="1"/>
        <v>130</v>
      </c>
      <c r="B171" s="39"/>
      <c r="C171" s="39"/>
      <c r="D171" s="39"/>
      <c r="E171" s="39"/>
      <c r="F171" s="39"/>
      <c r="G171" s="39"/>
      <c r="H171" s="40"/>
    </row>
    <row r="172" spans="1:8" x14ac:dyDescent="0.25">
      <c r="A172" s="39">
        <f t="shared" ref="A172:A221" si="2">A171+1</f>
        <v>131</v>
      </c>
      <c r="B172" s="39"/>
      <c r="C172" s="39"/>
      <c r="D172" s="39"/>
      <c r="E172" s="39"/>
      <c r="F172" s="39"/>
      <c r="G172" s="39"/>
      <c r="H172" s="40"/>
    </row>
    <row r="173" spans="1:8" x14ac:dyDescent="0.25">
      <c r="A173" s="39">
        <f t="shared" si="2"/>
        <v>132</v>
      </c>
      <c r="B173" s="39"/>
      <c r="C173" s="39"/>
      <c r="D173" s="39"/>
      <c r="E173" s="39"/>
      <c r="F173" s="39"/>
      <c r="G173" s="39"/>
      <c r="H173" s="40"/>
    </row>
    <row r="174" spans="1:8" x14ac:dyDescent="0.25">
      <c r="A174" s="39">
        <f t="shared" si="2"/>
        <v>133</v>
      </c>
      <c r="B174" s="39"/>
      <c r="C174" s="39"/>
      <c r="D174" s="39"/>
      <c r="E174" s="39"/>
      <c r="F174" s="39"/>
      <c r="G174" s="39"/>
      <c r="H174" s="40"/>
    </row>
    <row r="175" spans="1:8" x14ac:dyDescent="0.25">
      <c r="A175" s="39">
        <f t="shared" si="2"/>
        <v>134</v>
      </c>
      <c r="B175" s="39"/>
      <c r="C175" s="39"/>
      <c r="D175" s="39"/>
      <c r="E175" s="39"/>
      <c r="F175" s="39"/>
      <c r="G175" s="39"/>
      <c r="H175" s="40"/>
    </row>
    <row r="176" spans="1:8" x14ac:dyDescent="0.25">
      <c r="A176" s="39">
        <f t="shared" si="2"/>
        <v>135</v>
      </c>
      <c r="B176" s="39"/>
      <c r="C176" s="39"/>
      <c r="D176" s="39"/>
      <c r="E176" s="39"/>
      <c r="F176" s="39"/>
      <c r="G176" s="39"/>
      <c r="H176" s="40"/>
    </row>
    <row r="177" spans="1:8" x14ac:dyDescent="0.25">
      <c r="A177" s="39">
        <f t="shared" si="2"/>
        <v>136</v>
      </c>
      <c r="B177" s="39"/>
      <c r="C177" s="39"/>
      <c r="D177" s="39"/>
      <c r="E177" s="39"/>
      <c r="F177" s="39"/>
      <c r="G177" s="39"/>
      <c r="H177" s="40"/>
    </row>
    <row r="178" spans="1:8" x14ac:dyDescent="0.25">
      <c r="A178" s="39">
        <f t="shared" si="2"/>
        <v>137</v>
      </c>
      <c r="B178" s="39"/>
      <c r="C178" s="39"/>
      <c r="D178" s="39"/>
      <c r="E178" s="39"/>
      <c r="F178" s="39"/>
      <c r="G178" s="39"/>
      <c r="H178" s="40"/>
    </row>
    <row r="179" spans="1:8" x14ac:dyDescent="0.25">
      <c r="A179" s="39">
        <f t="shared" si="2"/>
        <v>138</v>
      </c>
      <c r="B179" s="39"/>
      <c r="C179" s="39"/>
      <c r="D179" s="39"/>
      <c r="E179" s="39"/>
      <c r="F179" s="39"/>
      <c r="G179" s="39"/>
      <c r="H179" s="40"/>
    </row>
    <row r="180" spans="1:8" x14ac:dyDescent="0.25">
      <c r="A180" s="39">
        <f t="shared" si="2"/>
        <v>139</v>
      </c>
      <c r="B180" s="39"/>
      <c r="C180" s="39"/>
      <c r="D180" s="39"/>
      <c r="E180" s="39"/>
      <c r="F180" s="39"/>
      <c r="G180" s="39"/>
      <c r="H180" s="40"/>
    </row>
    <row r="181" spans="1:8" x14ac:dyDescent="0.25">
      <c r="A181" s="39">
        <f t="shared" si="2"/>
        <v>140</v>
      </c>
      <c r="B181" s="39"/>
      <c r="C181" s="39"/>
      <c r="D181" s="39"/>
      <c r="E181" s="39"/>
      <c r="F181" s="39"/>
      <c r="G181" s="39"/>
      <c r="H181" s="40"/>
    </row>
    <row r="182" spans="1:8" x14ac:dyDescent="0.25">
      <c r="A182" s="39">
        <f t="shared" si="2"/>
        <v>141</v>
      </c>
      <c r="B182" s="39"/>
      <c r="C182" s="39"/>
      <c r="D182" s="39"/>
      <c r="E182" s="39"/>
      <c r="F182" s="39"/>
      <c r="G182" s="39"/>
      <c r="H182" s="40"/>
    </row>
    <row r="183" spans="1:8" x14ac:dyDescent="0.25">
      <c r="A183" s="39">
        <f t="shared" si="2"/>
        <v>142</v>
      </c>
      <c r="B183" s="39"/>
      <c r="C183" s="39"/>
      <c r="D183" s="39"/>
      <c r="E183" s="39"/>
      <c r="F183" s="39"/>
      <c r="G183" s="39"/>
      <c r="H183" s="40"/>
    </row>
    <row r="184" spans="1:8" x14ac:dyDescent="0.25">
      <c r="A184" s="39">
        <f t="shared" si="2"/>
        <v>143</v>
      </c>
      <c r="B184" s="39"/>
      <c r="C184" s="39"/>
      <c r="D184" s="39"/>
      <c r="E184" s="39"/>
      <c r="F184" s="39"/>
      <c r="G184" s="39"/>
      <c r="H184" s="40"/>
    </row>
    <row r="185" spans="1:8" x14ac:dyDescent="0.25">
      <c r="A185" s="39">
        <f t="shared" si="2"/>
        <v>144</v>
      </c>
      <c r="B185" s="39"/>
      <c r="C185" s="39"/>
      <c r="D185" s="39"/>
      <c r="E185" s="39"/>
      <c r="F185" s="39"/>
      <c r="G185" s="39"/>
      <c r="H185" s="40"/>
    </row>
    <row r="186" spans="1:8" x14ac:dyDescent="0.25">
      <c r="A186" s="39">
        <f t="shared" si="2"/>
        <v>145</v>
      </c>
      <c r="B186" s="39"/>
      <c r="C186" s="39"/>
      <c r="D186" s="39"/>
      <c r="E186" s="39"/>
      <c r="F186" s="39"/>
      <c r="G186" s="39"/>
      <c r="H186" s="40"/>
    </row>
    <row r="187" spans="1:8" x14ac:dyDescent="0.25">
      <c r="A187" s="39">
        <f t="shared" si="2"/>
        <v>146</v>
      </c>
      <c r="B187" s="39"/>
      <c r="C187" s="39"/>
      <c r="D187" s="39"/>
      <c r="E187" s="39"/>
      <c r="F187" s="39"/>
      <c r="G187" s="39"/>
      <c r="H187" s="40"/>
    </row>
    <row r="188" spans="1:8" x14ac:dyDescent="0.25">
      <c r="A188" s="39">
        <f t="shared" si="2"/>
        <v>147</v>
      </c>
      <c r="B188" s="39"/>
      <c r="C188" s="39"/>
      <c r="D188" s="39"/>
      <c r="E188" s="39"/>
      <c r="F188" s="39"/>
      <c r="G188" s="39"/>
      <c r="H188" s="40"/>
    </row>
    <row r="189" spans="1:8" x14ac:dyDescent="0.25">
      <c r="A189" s="39">
        <f t="shared" si="2"/>
        <v>148</v>
      </c>
      <c r="B189" s="39"/>
      <c r="C189" s="39"/>
      <c r="D189" s="39"/>
      <c r="E189" s="39"/>
      <c r="F189" s="39"/>
      <c r="G189" s="39"/>
      <c r="H189" s="40"/>
    </row>
    <row r="190" spans="1:8" x14ac:dyDescent="0.25">
      <c r="A190" s="39">
        <f t="shared" si="2"/>
        <v>149</v>
      </c>
      <c r="B190" s="39"/>
      <c r="C190" s="39"/>
      <c r="D190" s="39"/>
      <c r="E190" s="39"/>
      <c r="F190" s="39"/>
      <c r="G190" s="39"/>
      <c r="H190" s="40"/>
    </row>
    <row r="191" spans="1:8" x14ac:dyDescent="0.25">
      <c r="A191" s="39">
        <f t="shared" si="2"/>
        <v>150</v>
      </c>
      <c r="B191" s="39"/>
      <c r="C191" s="39"/>
      <c r="D191" s="39"/>
      <c r="E191" s="39"/>
      <c r="F191" s="39"/>
      <c r="G191" s="39"/>
      <c r="H191" s="40"/>
    </row>
    <row r="192" spans="1:8" x14ac:dyDescent="0.25">
      <c r="A192" s="39">
        <f t="shared" si="2"/>
        <v>151</v>
      </c>
      <c r="B192" s="39"/>
      <c r="C192" s="39"/>
      <c r="D192" s="39"/>
      <c r="E192" s="39"/>
      <c r="F192" s="39"/>
      <c r="G192" s="39"/>
      <c r="H192" s="40"/>
    </row>
    <row r="193" spans="1:8" x14ac:dyDescent="0.25">
      <c r="A193" s="39">
        <f t="shared" si="2"/>
        <v>152</v>
      </c>
      <c r="B193" s="39"/>
      <c r="C193" s="39"/>
      <c r="D193" s="39"/>
      <c r="E193" s="39"/>
      <c r="F193" s="39"/>
      <c r="G193" s="39"/>
      <c r="H193" s="40"/>
    </row>
    <row r="194" spans="1:8" x14ac:dyDescent="0.25">
      <c r="A194" s="39">
        <f t="shared" si="2"/>
        <v>153</v>
      </c>
      <c r="B194" s="39"/>
      <c r="C194" s="39"/>
      <c r="D194" s="39"/>
      <c r="E194" s="39"/>
      <c r="F194" s="39"/>
      <c r="G194" s="39"/>
      <c r="H194" s="40"/>
    </row>
    <row r="195" spans="1:8" x14ac:dyDescent="0.25">
      <c r="A195" s="39">
        <f t="shared" si="2"/>
        <v>154</v>
      </c>
      <c r="B195" s="39"/>
      <c r="C195" s="39"/>
      <c r="D195" s="39"/>
      <c r="E195" s="39"/>
      <c r="F195" s="39"/>
      <c r="G195" s="39"/>
      <c r="H195" s="40"/>
    </row>
    <row r="196" spans="1:8" x14ac:dyDescent="0.25">
      <c r="A196" s="39">
        <f t="shared" si="2"/>
        <v>155</v>
      </c>
      <c r="B196" s="39"/>
      <c r="C196" s="39"/>
      <c r="D196" s="39"/>
      <c r="E196" s="39"/>
      <c r="F196" s="39"/>
      <c r="G196" s="39"/>
      <c r="H196" s="40"/>
    </row>
    <row r="197" spans="1:8" x14ac:dyDescent="0.25">
      <c r="A197" s="39">
        <f t="shared" si="2"/>
        <v>156</v>
      </c>
      <c r="B197" s="39"/>
      <c r="C197" s="39"/>
      <c r="D197" s="39"/>
      <c r="E197" s="39"/>
      <c r="F197" s="39"/>
      <c r="G197" s="39"/>
      <c r="H197" s="40"/>
    </row>
    <row r="198" spans="1:8" x14ac:dyDescent="0.25">
      <c r="A198" s="39">
        <f t="shared" si="2"/>
        <v>157</v>
      </c>
      <c r="B198" s="39"/>
      <c r="C198" s="39"/>
      <c r="D198" s="39"/>
      <c r="E198" s="39"/>
      <c r="F198" s="39"/>
      <c r="G198" s="39"/>
      <c r="H198" s="40"/>
    </row>
    <row r="199" spans="1:8" x14ac:dyDescent="0.25">
      <c r="A199" s="39">
        <f t="shared" si="2"/>
        <v>158</v>
      </c>
      <c r="B199" s="39"/>
      <c r="C199" s="39"/>
      <c r="D199" s="39"/>
      <c r="E199" s="39"/>
      <c r="F199" s="39"/>
      <c r="G199" s="39"/>
      <c r="H199" s="40"/>
    </row>
    <row r="200" spans="1:8" x14ac:dyDescent="0.25">
      <c r="A200" s="39">
        <f t="shared" si="2"/>
        <v>159</v>
      </c>
      <c r="B200" s="39"/>
      <c r="C200" s="39"/>
      <c r="D200" s="39"/>
      <c r="E200" s="39"/>
      <c r="F200" s="39"/>
      <c r="G200" s="39"/>
      <c r="H200" s="40"/>
    </row>
    <row r="201" spans="1:8" x14ac:dyDescent="0.25">
      <c r="A201" s="39">
        <f t="shared" si="2"/>
        <v>160</v>
      </c>
      <c r="B201" s="39"/>
      <c r="C201" s="39"/>
      <c r="D201" s="39"/>
      <c r="E201" s="39"/>
      <c r="F201" s="39"/>
      <c r="G201" s="39"/>
      <c r="H201" s="40"/>
    </row>
    <row r="202" spans="1:8" x14ac:dyDescent="0.25">
      <c r="A202" s="39">
        <f t="shared" si="2"/>
        <v>161</v>
      </c>
      <c r="B202" s="39"/>
      <c r="C202" s="39"/>
      <c r="D202" s="39"/>
      <c r="E202" s="39"/>
      <c r="F202" s="39"/>
      <c r="G202" s="39"/>
      <c r="H202" s="40"/>
    </row>
    <row r="203" spans="1:8" x14ac:dyDescent="0.25">
      <c r="A203" s="39">
        <f t="shared" si="2"/>
        <v>162</v>
      </c>
      <c r="B203" s="39"/>
      <c r="C203" s="39"/>
      <c r="D203" s="39"/>
      <c r="E203" s="39"/>
      <c r="F203" s="39"/>
      <c r="G203" s="39"/>
      <c r="H203" s="40"/>
    </row>
    <row r="204" spans="1:8" x14ac:dyDescent="0.25">
      <c r="A204" s="39">
        <f t="shared" si="2"/>
        <v>163</v>
      </c>
      <c r="B204" s="39"/>
      <c r="C204" s="39"/>
      <c r="D204" s="39"/>
      <c r="E204" s="39"/>
      <c r="F204" s="39"/>
      <c r="G204" s="39"/>
      <c r="H204" s="40"/>
    </row>
    <row r="205" spans="1:8" x14ac:dyDescent="0.25">
      <c r="A205" s="39">
        <f t="shared" si="2"/>
        <v>164</v>
      </c>
      <c r="B205" s="39"/>
      <c r="C205" s="39"/>
      <c r="D205" s="39"/>
      <c r="E205" s="39"/>
      <c r="F205" s="39"/>
      <c r="G205" s="39"/>
      <c r="H205" s="40"/>
    </row>
    <row r="206" spans="1:8" x14ac:dyDescent="0.25">
      <c r="A206" s="39">
        <f t="shared" si="2"/>
        <v>165</v>
      </c>
      <c r="B206" s="39"/>
      <c r="C206" s="39"/>
      <c r="D206" s="39"/>
      <c r="E206" s="39"/>
      <c r="F206" s="39"/>
      <c r="G206" s="39"/>
      <c r="H206" s="40"/>
    </row>
    <row r="207" spans="1:8" x14ac:dyDescent="0.25">
      <c r="A207" s="39">
        <f t="shared" si="2"/>
        <v>166</v>
      </c>
      <c r="B207" s="39"/>
      <c r="C207" s="39"/>
      <c r="D207" s="39"/>
      <c r="E207" s="39"/>
      <c r="F207" s="39"/>
      <c r="G207" s="39"/>
      <c r="H207" s="40"/>
    </row>
    <row r="208" spans="1:8" x14ac:dyDescent="0.25">
      <c r="A208" s="39">
        <f t="shared" si="2"/>
        <v>167</v>
      </c>
      <c r="B208" s="39"/>
      <c r="C208" s="39"/>
      <c r="D208" s="39"/>
      <c r="E208" s="39"/>
      <c r="F208" s="39"/>
      <c r="G208" s="39"/>
      <c r="H208" s="40"/>
    </row>
    <row r="209" spans="1:8" x14ac:dyDescent="0.25">
      <c r="A209" s="39">
        <f t="shared" si="2"/>
        <v>168</v>
      </c>
      <c r="B209" s="39"/>
      <c r="C209" s="39"/>
      <c r="D209" s="39"/>
      <c r="E209" s="39"/>
      <c r="F209" s="39"/>
      <c r="G209" s="39"/>
      <c r="H209" s="40"/>
    </row>
    <row r="210" spans="1:8" x14ac:dyDescent="0.25">
      <c r="A210" s="39">
        <f t="shared" si="2"/>
        <v>169</v>
      </c>
      <c r="B210" s="39"/>
      <c r="C210" s="39"/>
      <c r="D210" s="39"/>
      <c r="E210" s="39"/>
      <c r="F210" s="39"/>
      <c r="G210" s="39"/>
      <c r="H210" s="40"/>
    </row>
    <row r="211" spans="1:8" x14ac:dyDescent="0.25">
      <c r="A211" s="39">
        <f t="shared" si="2"/>
        <v>170</v>
      </c>
      <c r="B211" s="39"/>
      <c r="C211" s="39"/>
      <c r="D211" s="39"/>
      <c r="E211" s="39"/>
      <c r="F211" s="39"/>
      <c r="G211" s="39"/>
      <c r="H211" s="40"/>
    </row>
    <row r="212" spans="1:8" x14ac:dyDescent="0.25">
      <c r="A212" s="39">
        <f t="shared" si="2"/>
        <v>171</v>
      </c>
      <c r="B212" s="39"/>
      <c r="C212" s="39"/>
      <c r="D212" s="39"/>
      <c r="E212" s="39"/>
      <c r="F212" s="39"/>
      <c r="G212" s="39"/>
      <c r="H212" s="40"/>
    </row>
    <row r="213" spans="1:8" x14ac:dyDescent="0.25">
      <c r="A213" s="39">
        <f t="shared" si="2"/>
        <v>172</v>
      </c>
      <c r="B213" s="39"/>
      <c r="C213" s="39"/>
      <c r="D213" s="39"/>
      <c r="E213" s="39"/>
      <c r="F213" s="39"/>
      <c r="G213" s="39"/>
      <c r="H213" s="40"/>
    </row>
    <row r="214" spans="1:8" x14ac:dyDescent="0.25">
      <c r="A214" s="39">
        <f t="shared" si="2"/>
        <v>173</v>
      </c>
      <c r="B214" s="39"/>
      <c r="C214" s="39"/>
      <c r="D214" s="39"/>
      <c r="E214" s="39"/>
      <c r="F214" s="39"/>
      <c r="G214" s="39"/>
      <c r="H214" s="40"/>
    </row>
    <row r="215" spans="1:8" x14ac:dyDescent="0.25">
      <c r="A215" s="39">
        <f t="shared" si="2"/>
        <v>174</v>
      </c>
      <c r="B215" s="39"/>
      <c r="C215" s="39"/>
      <c r="D215" s="39"/>
      <c r="E215" s="39"/>
      <c r="F215" s="39"/>
      <c r="G215" s="39"/>
      <c r="H215" s="40"/>
    </row>
    <row r="216" spans="1:8" x14ac:dyDescent="0.25">
      <c r="A216" s="39">
        <f t="shared" si="2"/>
        <v>175</v>
      </c>
      <c r="B216" s="39"/>
      <c r="C216" s="39"/>
      <c r="D216" s="39"/>
      <c r="E216" s="39"/>
      <c r="F216" s="39"/>
      <c r="G216" s="39"/>
      <c r="H216" s="40"/>
    </row>
    <row r="217" spans="1:8" x14ac:dyDescent="0.25">
      <c r="A217" s="39">
        <f t="shared" si="2"/>
        <v>176</v>
      </c>
      <c r="B217" s="39"/>
      <c r="C217" s="39"/>
      <c r="D217" s="39"/>
      <c r="E217" s="39"/>
      <c r="F217" s="39"/>
      <c r="G217" s="39"/>
      <c r="H217" s="40"/>
    </row>
    <row r="218" spans="1:8" x14ac:dyDescent="0.25">
      <c r="A218" s="39">
        <f t="shared" si="2"/>
        <v>177</v>
      </c>
      <c r="B218" s="39"/>
      <c r="C218" s="39"/>
      <c r="D218" s="39"/>
      <c r="E218" s="39"/>
      <c r="F218" s="39"/>
      <c r="G218" s="39"/>
      <c r="H218" s="40"/>
    </row>
    <row r="219" spans="1:8" x14ac:dyDescent="0.25">
      <c r="A219" s="39">
        <f t="shared" si="2"/>
        <v>178</v>
      </c>
      <c r="B219" s="39"/>
      <c r="C219" s="39"/>
      <c r="D219" s="39"/>
      <c r="E219" s="39"/>
      <c r="F219" s="39"/>
      <c r="G219" s="39"/>
      <c r="H219" s="40"/>
    </row>
    <row r="220" spans="1:8" x14ac:dyDescent="0.25">
      <c r="A220" s="39">
        <f t="shared" si="2"/>
        <v>179</v>
      </c>
      <c r="B220" s="39"/>
      <c r="C220" s="39"/>
      <c r="D220" s="39"/>
      <c r="E220" s="39"/>
      <c r="F220" s="39"/>
      <c r="G220" s="39"/>
      <c r="H220" s="40"/>
    </row>
    <row r="221" spans="1:8" x14ac:dyDescent="0.25">
      <c r="A221" s="39">
        <f t="shared" si="2"/>
        <v>180</v>
      </c>
      <c r="B221" s="39"/>
      <c r="C221" s="39"/>
      <c r="D221" s="39"/>
      <c r="E221" s="39"/>
      <c r="F221" s="39"/>
      <c r="G221" s="39"/>
      <c r="H221" s="40"/>
    </row>
  </sheetData>
  <mergeCells count="15">
    <mergeCell ref="B39:D39"/>
    <mergeCell ref="B36:D36"/>
    <mergeCell ref="B37:D37"/>
    <mergeCell ref="A9:G15"/>
    <mergeCell ref="A18:G24"/>
    <mergeCell ref="B38:D38"/>
    <mergeCell ref="B31:D31"/>
    <mergeCell ref="B32:D32"/>
    <mergeCell ref="B33:D33"/>
    <mergeCell ref="B34:D34"/>
    <mergeCell ref="B35:D35"/>
    <mergeCell ref="B27:D27"/>
    <mergeCell ref="B28:D28"/>
    <mergeCell ref="B29:D29"/>
    <mergeCell ref="B30:D30"/>
  </mergeCells>
  <pageMargins left="0.25" right="0.25" top="0.75" bottom="0.75" header="0.3" footer="0.3"/>
  <pageSetup orientation="portrait" r:id="rId1"/>
  <headerFooter>
    <oddHeader xml:space="preserve">&amp;LRevision Military
Document No: F-96 Revision: 02&amp;CSubject: MCEPS Ballistic Data Recording 
&amp;REffective Date: 7/21/14
   </oddHeader>
    <oddFoote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13"/>
  <sheetViews>
    <sheetView zoomScaleNormal="100" workbookViewId="0">
      <selection activeCell="C5" sqref="C5"/>
    </sheetView>
  </sheetViews>
  <sheetFormatPr defaultRowHeight="12.75" x14ac:dyDescent="0.2"/>
  <cols>
    <col min="1" max="1" width="8.28515625" style="24" customWidth="1"/>
    <col min="2" max="2" width="12.85546875" style="24" customWidth="1"/>
    <col min="3" max="3" width="16.28515625" style="24" customWidth="1"/>
    <col min="4" max="4" width="14.42578125" style="24" customWidth="1"/>
    <col min="5" max="5" width="11.5703125" style="24" customWidth="1"/>
    <col min="6" max="6" width="11.85546875" style="24" customWidth="1"/>
    <col min="7" max="7" width="12" style="24" customWidth="1"/>
    <col min="8" max="8" width="10.28515625" style="24" customWidth="1"/>
    <col min="9" max="9" width="6.7109375" style="24" customWidth="1"/>
    <col min="10" max="10" width="8.7109375" style="24" customWidth="1"/>
    <col min="11" max="11" width="50.42578125" style="24" customWidth="1"/>
    <col min="12" max="12" width="8.7109375" style="24" customWidth="1"/>
    <col min="13" max="13" width="11.42578125" style="24" customWidth="1"/>
    <col min="14" max="14" width="4.85546875" style="24" customWidth="1"/>
    <col min="15" max="15" width="7.85546875" style="24" customWidth="1"/>
    <col min="16" max="16" width="14.42578125" style="24" customWidth="1"/>
    <col min="17" max="17" width="7.5703125" style="24" customWidth="1"/>
    <col min="18" max="18" width="11.5703125" style="24" customWidth="1"/>
    <col min="19" max="19" width="5.140625" style="24" customWidth="1"/>
    <col min="20" max="20" width="8.85546875" style="24" customWidth="1"/>
    <col min="21" max="21" width="14.42578125" style="24" customWidth="1"/>
    <col min="22" max="22" width="7.42578125" style="24" customWidth="1"/>
    <col min="23" max="23" width="11.5703125" style="24" customWidth="1"/>
    <col min="24" max="24" width="2.7109375" style="24" customWidth="1"/>
    <col min="25" max="25" width="9.140625" style="24"/>
    <col min="26" max="26" width="14.7109375" style="24" customWidth="1"/>
    <col min="27" max="27" width="7.28515625" style="24" customWidth="1"/>
    <col min="28" max="28" width="11.85546875" style="24" customWidth="1"/>
    <col min="29" max="16384" width="9.140625" style="24"/>
  </cols>
  <sheetData>
    <row r="1" spans="1:13" x14ac:dyDescent="0.2">
      <c r="B1" s="25" t="s">
        <v>0</v>
      </c>
      <c r="C1" s="26" t="s">
        <v>903</v>
      </c>
      <c r="H1" s="26"/>
    </row>
    <row r="2" spans="1:13" x14ac:dyDescent="0.2">
      <c r="B2" s="25" t="s">
        <v>5</v>
      </c>
      <c r="C2" s="26"/>
      <c r="H2" s="26"/>
    </row>
    <row r="3" spans="1:13" x14ac:dyDescent="0.2">
      <c r="B3" s="25" t="s">
        <v>53</v>
      </c>
      <c r="C3" s="26"/>
      <c r="H3" s="26"/>
    </row>
    <row r="4" spans="1:13" x14ac:dyDescent="0.2">
      <c r="B4" s="25" t="s">
        <v>54</v>
      </c>
      <c r="C4" s="26"/>
      <c r="H4" s="26"/>
    </row>
    <row r="5" spans="1:13" x14ac:dyDescent="0.2">
      <c r="B5" s="25" t="s">
        <v>55</v>
      </c>
      <c r="C5" s="26" t="e">
        <f>VLOOKUP(C4,'Product List'!A2:F487,2,FALSE)</f>
        <v>#N/A</v>
      </c>
      <c r="H5" s="26"/>
    </row>
    <row r="6" spans="1:13" x14ac:dyDescent="0.2">
      <c r="A6" s="25"/>
      <c r="B6" s="32"/>
      <c r="H6" s="26"/>
    </row>
    <row r="7" spans="1:13" x14ac:dyDescent="0.2">
      <c r="B7" s="25" t="s">
        <v>1</v>
      </c>
      <c r="C7" s="24" t="s">
        <v>12</v>
      </c>
      <c r="D7" s="24" t="s">
        <v>14</v>
      </c>
    </row>
    <row r="8" spans="1:13" ht="13.5" thickBot="1" x14ac:dyDescent="0.25">
      <c r="A8" s="25"/>
    </row>
    <row r="9" spans="1:13" ht="35.25" customHeight="1" x14ac:dyDescent="0.2">
      <c r="A9" s="120" t="s">
        <v>905</v>
      </c>
      <c r="B9" s="121"/>
      <c r="C9" s="121"/>
      <c r="D9" s="121"/>
      <c r="E9" s="121"/>
      <c r="F9" s="121"/>
      <c r="G9" s="122"/>
      <c r="H9" s="27"/>
      <c r="I9" s="27"/>
      <c r="L9" s="27"/>
      <c r="M9" s="27"/>
    </row>
    <row r="10" spans="1:13" ht="24" customHeight="1" x14ac:dyDescent="0.2">
      <c r="A10" s="123"/>
      <c r="B10" s="124"/>
      <c r="C10" s="124"/>
      <c r="D10" s="124"/>
      <c r="E10" s="124"/>
      <c r="F10" s="124"/>
      <c r="G10" s="125"/>
      <c r="H10" s="27"/>
      <c r="I10" s="27"/>
      <c r="L10" s="27"/>
      <c r="M10" s="27"/>
    </row>
    <row r="11" spans="1:13" ht="10.5" customHeight="1" x14ac:dyDescent="0.2">
      <c r="A11" s="123"/>
      <c r="B11" s="124"/>
      <c r="C11" s="124"/>
      <c r="D11" s="124"/>
      <c r="E11" s="124"/>
      <c r="F11" s="124"/>
      <c r="G11" s="125"/>
      <c r="H11" s="27"/>
      <c r="I11" s="27"/>
      <c r="J11" s="27"/>
      <c r="M11" s="27"/>
    </row>
    <row r="12" spans="1:13" ht="15.75" hidden="1" customHeight="1" x14ac:dyDescent="0.2">
      <c r="A12" s="123"/>
      <c r="B12" s="124"/>
      <c r="C12" s="124"/>
      <c r="D12" s="124"/>
      <c r="E12" s="124"/>
      <c r="F12" s="124"/>
      <c r="G12" s="125"/>
      <c r="H12" s="27"/>
      <c r="I12" s="27"/>
      <c r="J12" s="27"/>
      <c r="M12" s="27"/>
    </row>
    <row r="13" spans="1:13" ht="16.5" customHeight="1" x14ac:dyDescent="0.2">
      <c r="A13" s="123"/>
      <c r="B13" s="124"/>
      <c r="C13" s="124"/>
      <c r="D13" s="124"/>
      <c r="E13" s="124"/>
      <c r="F13" s="124"/>
      <c r="G13" s="125"/>
      <c r="H13" s="27"/>
      <c r="I13" s="27"/>
      <c r="J13" s="27"/>
      <c r="M13" s="27"/>
    </row>
    <row r="14" spans="1:13" ht="15" customHeight="1" x14ac:dyDescent="0.2">
      <c r="A14" s="123"/>
      <c r="B14" s="124"/>
      <c r="C14" s="124"/>
      <c r="D14" s="124"/>
      <c r="E14" s="124"/>
      <c r="F14" s="124"/>
      <c r="G14" s="125"/>
      <c r="H14" s="27"/>
      <c r="I14" s="27"/>
      <c r="J14" s="27"/>
      <c r="M14" s="27"/>
    </row>
    <row r="15" spans="1:13" ht="69.75" customHeight="1" thickBot="1" x14ac:dyDescent="0.25">
      <c r="A15" s="126"/>
      <c r="B15" s="127"/>
      <c r="C15" s="127"/>
      <c r="D15" s="127"/>
      <c r="E15" s="127"/>
      <c r="F15" s="127"/>
      <c r="G15" s="128"/>
      <c r="H15" s="27"/>
      <c r="I15" s="27"/>
      <c r="J15" s="27"/>
      <c r="M15" s="27"/>
    </row>
    <row r="16" spans="1:13" ht="6.75" customHeight="1" thickBot="1" x14ac:dyDescent="0.25">
      <c r="A16" s="41"/>
      <c r="B16" s="41"/>
      <c r="C16" s="41"/>
      <c r="D16" s="41"/>
      <c r="E16" s="41"/>
      <c r="F16" s="41"/>
      <c r="G16" s="41"/>
      <c r="H16" s="27"/>
      <c r="I16" s="27"/>
      <c r="J16" s="27"/>
      <c r="M16" s="27"/>
    </row>
    <row r="17" spans="1:13" ht="25.5" customHeight="1" x14ac:dyDescent="0.2">
      <c r="A17" s="42" t="s">
        <v>16</v>
      </c>
      <c r="B17" s="129" t="s">
        <v>39</v>
      </c>
      <c r="C17" s="129"/>
      <c r="D17" s="129"/>
      <c r="E17" s="130"/>
      <c r="F17" s="41"/>
      <c r="G17" s="41"/>
      <c r="H17" s="27"/>
      <c r="I17" s="27"/>
      <c r="J17" s="27"/>
      <c r="M17" s="27"/>
    </row>
    <row r="18" spans="1:13" ht="19.5" customHeight="1" x14ac:dyDescent="0.2">
      <c r="A18" s="43" t="s">
        <v>17</v>
      </c>
      <c r="B18" s="116" t="s">
        <v>18</v>
      </c>
      <c r="C18" s="116"/>
      <c r="D18" s="116"/>
      <c r="E18" s="117"/>
      <c r="F18" s="41"/>
      <c r="G18" s="41"/>
      <c r="H18" s="27"/>
      <c r="I18" s="27"/>
      <c r="J18" s="27"/>
      <c r="M18" s="27"/>
    </row>
    <row r="19" spans="1:13" ht="23.25" customHeight="1" x14ac:dyDescent="0.2">
      <c r="A19" s="43" t="s">
        <v>19</v>
      </c>
      <c r="B19" s="116" t="s">
        <v>20</v>
      </c>
      <c r="C19" s="116"/>
      <c r="D19" s="116"/>
      <c r="E19" s="117"/>
      <c r="F19" s="41"/>
      <c r="G19" s="41"/>
      <c r="H19" s="27"/>
      <c r="I19" s="27"/>
      <c r="J19" s="27"/>
      <c r="M19" s="27"/>
    </row>
    <row r="20" spans="1:13" ht="21.75" customHeight="1" x14ac:dyDescent="0.2">
      <c r="A20" s="43" t="s">
        <v>21</v>
      </c>
      <c r="B20" s="116" t="s">
        <v>22</v>
      </c>
      <c r="C20" s="116"/>
      <c r="D20" s="116"/>
      <c r="E20" s="117"/>
      <c r="F20" s="41"/>
      <c r="G20" s="41"/>
      <c r="H20" s="27"/>
      <c r="I20" s="27"/>
      <c r="J20" s="27"/>
      <c r="M20" s="27"/>
    </row>
    <row r="21" spans="1:13" ht="19.5" customHeight="1" x14ac:dyDescent="0.2">
      <c r="A21" s="43" t="s">
        <v>23</v>
      </c>
      <c r="B21" s="116" t="s">
        <v>24</v>
      </c>
      <c r="C21" s="116"/>
      <c r="D21" s="116"/>
      <c r="E21" s="117"/>
      <c r="F21" s="41"/>
      <c r="G21" s="41"/>
      <c r="H21" s="27"/>
      <c r="I21" s="27"/>
      <c r="J21" s="27"/>
      <c r="M21" s="27"/>
    </row>
    <row r="22" spans="1:13" ht="24" customHeight="1" x14ac:dyDescent="0.2">
      <c r="A22" s="43" t="s">
        <v>25</v>
      </c>
      <c r="B22" s="116" t="s">
        <v>26</v>
      </c>
      <c r="C22" s="116"/>
      <c r="D22" s="116"/>
      <c r="E22" s="117"/>
      <c r="F22" s="41"/>
      <c r="G22" s="41"/>
      <c r="H22" s="27"/>
      <c r="I22" s="27"/>
      <c r="J22" s="27"/>
      <c r="M22" s="27"/>
    </row>
    <row r="23" spans="1:13" ht="21" customHeight="1" x14ac:dyDescent="0.2">
      <c r="A23" s="43" t="s">
        <v>27</v>
      </c>
      <c r="B23" s="116" t="s">
        <v>28</v>
      </c>
      <c r="C23" s="116"/>
      <c r="D23" s="116"/>
      <c r="E23" s="117"/>
      <c r="F23" s="41"/>
      <c r="G23" s="41"/>
      <c r="H23" s="27"/>
      <c r="I23" s="27"/>
      <c r="J23" s="27"/>
      <c r="M23" s="27"/>
    </row>
    <row r="24" spans="1:13" ht="24.75" customHeight="1" x14ac:dyDescent="0.2">
      <c r="A24" s="43" t="s">
        <v>29</v>
      </c>
      <c r="B24" s="116" t="s">
        <v>30</v>
      </c>
      <c r="C24" s="116"/>
      <c r="D24" s="116"/>
      <c r="E24" s="117"/>
      <c r="F24" s="41"/>
      <c r="G24" s="41"/>
      <c r="H24" s="27"/>
      <c r="I24" s="27"/>
      <c r="J24" s="27"/>
      <c r="M24" s="27"/>
    </row>
    <row r="25" spans="1:13" ht="21.75" customHeight="1" x14ac:dyDescent="0.2">
      <c r="A25" s="43" t="s">
        <v>31</v>
      </c>
      <c r="B25" s="116" t="s">
        <v>32</v>
      </c>
      <c r="C25" s="116"/>
      <c r="D25" s="116"/>
      <c r="E25" s="117"/>
      <c r="F25" s="41"/>
      <c r="G25" s="41"/>
      <c r="H25" s="27"/>
      <c r="I25" s="27"/>
      <c r="J25" s="27"/>
      <c r="M25" s="27"/>
    </row>
    <row r="26" spans="1:13" ht="24" customHeight="1" x14ac:dyDescent="0.2">
      <c r="A26" s="43" t="s">
        <v>33</v>
      </c>
      <c r="B26" s="116" t="s">
        <v>34</v>
      </c>
      <c r="C26" s="116"/>
      <c r="D26" s="116"/>
      <c r="E26" s="117"/>
      <c r="F26" s="41"/>
      <c r="G26" s="41"/>
      <c r="H26" s="27"/>
      <c r="I26" s="27"/>
      <c r="J26" s="27"/>
      <c r="M26" s="27"/>
    </row>
    <row r="27" spans="1:13" ht="23.25" customHeight="1" x14ac:dyDescent="0.2">
      <c r="A27" s="43" t="s">
        <v>35</v>
      </c>
      <c r="B27" s="116" t="s">
        <v>36</v>
      </c>
      <c r="C27" s="116"/>
      <c r="D27" s="116"/>
      <c r="E27" s="117"/>
      <c r="F27" s="41"/>
      <c r="G27" s="41"/>
      <c r="H27" s="27"/>
      <c r="I27" s="27"/>
      <c r="J27" s="27"/>
      <c r="M27" s="27"/>
    </row>
    <row r="28" spans="1:13" ht="23.25" customHeight="1" x14ac:dyDescent="0.2">
      <c r="A28" s="43" t="s">
        <v>37</v>
      </c>
      <c r="B28" s="116" t="s">
        <v>38</v>
      </c>
      <c r="C28" s="116"/>
      <c r="D28" s="116"/>
      <c r="E28" s="117"/>
      <c r="F28" s="41"/>
      <c r="G28" s="41"/>
      <c r="H28" s="27"/>
      <c r="I28" s="27"/>
      <c r="J28" s="27"/>
      <c r="M28" s="27"/>
    </row>
    <row r="29" spans="1:13" ht="23.25" customHeight="1" x14ac:dyDescent="0.2">
      <c r="A29" s="43" t="s">
        <v>47</v>
      </c>
      <c r="B29" s="116" t="s">
        <v>48</v>
      </c>
      <c r="C29" s="116"/>
      <c r="D29" s="116"/>
      <c r="E29" s="117"/>
      <c r="F29" s="41"/>
      <c r="G29" s="41"/>
      <c r="H29" s="27"/>
      <c r="I29" s="27"/>
      <c r="J29" s="27"/>
      <c r="M29" s="27"/>
    </row>
    <row r="30" spans="1:13" ht="23.25" customHeight="1" x14ac:dyDescent="0.2">
      <c r="A30" s="43" t="s">
        <v>49</v>
      </c>
      <c r="B30" s="116" t="s">
        <v>50</v>
      </c>
      <c r="C30" s="116"/>
      <c r="D30" s="116"/>
      <c r="E30" s="117"/>
      <c r="F30" s="41"/>
      <c r="G30" s="41"/>
      <c r="H30" s="27"/>
      <c r="I30" s="27"/>
      <c r="J30" s="27"/>
      <c r="M30" s="27"/>
    </row>
    <row r="31" spans="1:13" ht="23.25" customHeight="1" thickBot="1" x14ac:dyDescent="0.25">
      <c r="A31" s="44" t="s">
        <v>51</v>
      </c>
      <c r="B31" s="118" t="s">
        <v>52</v>
      </c>
      <c r="C31" s="118"/>
      <c r="D31" s="118"/>
      <c r="E31" s="119"/>
      <c r="F31" s="41"/>
      <c r="G31" s="41"/>
      <c r="H31" s="27"/>
      <c r="I31" s="27"/>
      <c r="J31" s="27"/>
      <c r="M31" s="27"/>
    </row>
    <row r="32" spans="1:13" ht="23.25" customHeight="1" x14ac:dyDescent="0.2">
      <c r="A32" s="45"/>
      <c r="B32" s="45"/>
      <c r="C32" s="45"/>
      <c r="D32" s="45"/>
      <c r="E32" s="45"/>
      <c r="F32" s="41"/>
      <c r="G32" s="41"/>
      <c r="H32" s="27"/>
      <c r="I32" s="27"/>
      <c r="J32" s="27"/>
      <c r="M32" s="27"/>
    </row>
    <row r="33" spans="1:9" ht="34.5" customHeight="1" x14ac:dyDescent="0.2">
      <c r="A33" s="29" t="s">
        <v>2</v>
      </c>
      <c r="B33" s="29" t="s">
        <v>6</v>
      </c>
      <c r="C33" s="29" t="s">
        <v>7</v>
      </c>
      <c r="D33" s="38" t="s">
        <v>8</v>
      </c>
      <c r="E33" s="29" t="s">
        <v>9</v>
      </c>
      <c r="F33" s="29" t="s">
        <v>10</v>
      </c>
      <c r="G33" s="38" t="s">
        <v>11</v>
      </c>
      <c r="H33" s="29" t="s">
        <v>15</v>
      </c>
      <c r="I33" s="38" t="s">
        <v>629</v>
      </c>
    </row>
    <row r="34" spans="1:9" ht="15" customHeight="1" x14ac:dyDescent="0.2">
      <c r="A34" s="39">
        <v>1</v>
      </c>
      <c r="B34" s="39"/>
      <c r="C34" s="39"/>
      <c r="D34" s="39"/>
      <c r="E34" s="39"/>
      <c r="F34" s="39"/>
      <c r="G34" s="39"/>
      <c r="H34" s="39"/>
      <c r="I34" s="39"/>
    </row>
    <row r="35" spans="1:9" x14ac:dyDescent="0.2">
      <c r="A35" s="39">
        <f>A34+1</f>
        <v>2</v>
      </c>
      <c r="B35" s="39"/>
      <c r="C35" s="39"/>
      <c r="D35" s="39"/>
      <c r="E35" s="39"/>
      <c r="F35" s="39"/>
      <c r="G35" s="39"/>
      <c r="H35" s="39"/>
      <c r="I35" s="39"/>
    </row>
    <row r="36" spans="1:9" x14ac:dyDescent="0.2">
      <c r="A36" s="39">
        <f t="shared" ref="A36:A99" si="0">A35+1</f>
        <v>3</v>
      </c>
      <c r="B36" s="39"/>
      <c r="C36" s="39"/>
      <c r="D36" s="39"/>
      <c r="E36" s="39"/>
      <c r="F36" s="39"/>
      <c r="G36" s="39"/>
      <c r="H36" s="39"/>
      <c r="I36" s="39"/>
    </row>
    <row r="37" spans="1:9" x14ac:dyDescent="0.2">
      <c r="A37" s="39">
        <f t="shared" si="0"/>
        <v>4</v>
      </c>
      <c r="B37" s="39"/>
      <c r="C37" s="39"/>
      <c r="D37" s="39"/>
      <c r="E37" s="39"/>
      <c r="F37" s="39"/>
      <c r="G37" s="39"/>
      <c r="H37" s="39"/>
      <c r="I37" s="39"/>
    </row>
    <row r="38" spans="1:9" x14ac:dyDescent="0.2">
      <c r="A38" s="39">
        <f t="shared" si="0"/>
        <v>5</v>
      </c>
      <c r="B38" s="39"/>
      <c r="C38" s="39"/>
      <c r="D38" s="39"/>
      <c r="E38" s="39"/>
      <c r="F38" s="39"/>
      <c r="G38" s="39"/>
      <c r="H38" s="39"/>
      <c r="I38" s="39"/>
    </row>
    <row r="39" spans="1:9" x14ac:dyDescent="0.2">
      <c r="A39" s="39">
        <f t="shared" si="0"/>
        <v>6</v>
      </c>
      <c r="B39" s="39"/>
      <c r="C39" s="39"/>
      <c r="D39" s="39"/>
      <c r="E39" s="39"/>
      <c r="F39" s="39"/>
      <c r="G39" s="39"/>
      <c r="H39" s="39"/>
      <c r="I39" s="39"/>
    </row>
    <row r="40" spans="1:9" x14ac:dyDescent="0.2">
      <c r="A40" s="39">
        <f t="shared" si="0"/>
        <v>7</v>
      </c>
      <c r="B40" s="39"/>
      <c r="C40" s="39"/>
      <c r="D40" s="39"/>
      <c r="E40" s="39"/>
      <c r="F40" s="39"/>
      <c r="G40" s="39"/>
      <c r="H40" s="39"/>
      <c r="I40" s="39"/>
    </row>
    <row r="41" spans="1:9" x14ac:dyDescent="0.2">
      <c r="A41" s="39">
        <f t="shared" si="0"/>
        <v>8</v>
      </c>
      <c r="B41" s="39"/>
      <c r="C41" s="39"/>
      <c r="D41" s="39"/>
      <c r="E41" s="39"/>
      <c r="F41" s="39"/>
      <c r="G41" s="39"/>
      <c r="H41" s="39"/>
      <c r="I41" s="39"/>
    </row>
    <row r="42" spans="1:9" x14ac:dyDescent="0.2">
      <c r="A42" s="39">
        <f t="shared" si="0"/>
        <v>9</v>
      </c>
      <c r="B42" s="39"/>
      <c r="C42" s="39"/>
      <c r="D42" s="39"/>
      <c r="E42" s="39"/>
      <c r="F42" s="39"/>
      <c r="G42" s="39"/>
      <c r="H42" s="39"/>
      <c r="I42" s="39"/>
    </row>
    <row r="43" spans="1:9" x14ac:dyDescent="0.2">
      <c r="A43" s="39">
        <f t="shared" si="0"/>
        <v>10</v>
      </c>
      <c r="B43" s="39"/>
      <c r="C43" s="39"/>
      <c r="D43" s="39"/>
      <c r="E43" s="39"/>
      <c r="F43" s="39"/>
      <c r="G43" s="39"/>
      <c r="H43" s="39"/>
      <c r="I43" s="39"/>
    </row>
    <row r="44" spans="1:9" x14ac:dyDescent="0.2">
      <c r="A44" s="39">
        <f t="shared" si="0"/>
        <v>11</v>
      </c>
      <c r="B44" s="39"/>
      <c r="C44" s="39"/>
      <c r="D44" s="39"/>
      <c r="E44" s="39"/>
      <c r="F44" s="39"/>
      <c r="G44" s="39"/>
      <c r="H44" s="39"/>
      <c r="I44" s="39"/>
    </row>
    <row r="45" spans="1:9" x14ac:dyDescent="0.2">
      <c r="A45" s="39">
        <f t="shared" si="0"/>
        <v>12</v>
      </c>
      <c r="B45" s="39"/>
      <c r="C45" s="39"/>
      <c r="D45" s="39"/>
      <c r="E45" s="39"/>
      <c r="F45" s="39"/>
      <c r="G45" s="39"/>
      <c r="H45" s="39"/>
      <c r="I45" s="39"/>
    </row>
    <row r="46" spans="1:9" x14ac:dyDescent="0.2">
      <c r="A46" s="39">
        <f t="shared" si="0"/>
        <v>13</v>
      </c>
      <c r="B46" s="39"/>
      <c r="C46" s="39"/>
      <c r="D46" s="39"/>
      <c r="E46" s="39"/>
      <c r="F46" s="39"/>
      <c r="G46" s="39"/>
      <c r="H46" s="39"/>
      <c r="I46" s="39"/>
    </row>
    <row r="47" spans="1:9" x14ac:dyDescent="0.2">
      <c r="A47" s="39">
        <f t="shared" si="0"/>
        <v>14</v>
      </c>
      <c r="B47" s="39"/>
      <c r="C47" s="39"/>
      <c r="D47" s="39"/>
      <c r="E47" s="39"/>
      <c r="F47" s="39"/>
      <c r="G47" s="39"/>
      <c r="H47" s="39"/>
      <c r="I47" s="39"/>
    </row>
    <row r="48" spans="1:9" x14ac:dyDescent="0.2">
      <c r="A48" s="39">
        <f t="shared" si="0"/>
        <v>15</v>
      </c>
      <c r="B48" s="39"/>
      <c r="C48" s="39"/>
      <c r="D48" s="39"/>
      <c r="E48" s="39"/>
      <c r="F48" s="39"/>
      <c r="G48" s="39"/>
      <c r="H48" s="39"/>
      <c r="I48" s="39"/>
    </row>
    <row r="49" spans="1:9" x14ac:dyDescent="0.2">
      <c r="A49" s="39">
        <f t="shared" si="0"/>
        <v>16</v>
      </c>
      <c r="B49" s="39"/>
      <c r="C49" s="39"/>
      <c r="D49" s="39"/>
      <c r="E49" s="39"/>
      <c r="F49" s="39"/>
      <c r="G49" s="39"/>
      <c r="H49" s="39"/>
      <c r="I49" s="39"/>
    </row>
    <row r="50" spans="1:9" x14ac:dyDescent="0.2">
      <c r="A50" s="39">
        <f t="shared" si="0"/>
        <v>17</v>
      </c>
      <c r="B50" s="39"/>
      <c r="C50" s="39"/>
      <c r="D50" s="39"/>
      <c r="E50" s="39"/>
      <c r="F50" s="39"/>
      <c r="G50" s="39"/>
      <c r="H50" s="39"/>
      <c r="I50" s="39"/>
    </row>
    <row r="51" spans="1:9" x14ac:dyDescent="0.2">
      <c r="A51" s="39">
        <f t="shared" si="0"/>
        <v>18</v>
      </c>
      <c r="B51" s="39"/>
      <c r="C51" s="39"/>
      <c r="D51" s="39"/>
      <c r="E51" s="39"/>
      <c r="F51" s="39"/>
      <c r="G51" s="39"/>
      <c r="H51" s="39"/>
      <c r="I51" s="39"/>
    </row>
    <row r="52" spans="1:9" x14ac:dyDescent="0.2">
      <c r="A52" s="39">
        <f t="shared" si="0"/>
        <v>19</v>
      </c>
      <c r="B52" s="39"/>
      <c r="C52" s="39"/>
      <c r="D52" s="39"/>
      <c r="E52" s="39"/>
      <c r="F52" s="39"/>
      <c r="G52" s="39"/>
      <c r="H52" s="39"/>
      <c r="I52" s="39"/>
    </row>
    <row r="53" spans="1:9" x14ac:dyDescent="0.2">
      <c r="A53" s="39">
        <f t="shared" si="0"/>
        <v>20</v>
      </c>
      <c r="B53" s="39"/>
      <c r="C53" s="39"/>
      <c r="D53" s="39"/>
      <c r="E53" s="39"/>
      <c r="F53" s="39"/>
      <c r="G53" s="39"/>
      <c r="H53" s="39"/>
      <c r="I53" s="39"/>
    </row>
    <row r="54" spans="1:9" x14ac:dyDescent="0.2">
      <c r="A54" s="39">
        <f t="shared" si="0"/>
        <v>21</v>
      </c>
      <c r="B54" s="39"/>
      <c r="C54" s="39"/>
      <c r="D54" s="39"/>
      <c r="E54" s="39"/>
      <c r="F54" s="39"/>
      <c r="G54" s="39"/>
      <c r="H54" s="39"/>
      <c r="I54" s="39"/>
    </row>
    <row r="55" spans="1:9" x14ac:dyDescent="0.2">
      <c r="A55" s="39">
        <f t="shared" si="0"/>
        <v>22</v>
      </c>
      <c r="B55" s="39"/>
      <c r="C55" s="39"/>
      <c r="D55" s="39"/>
      <c r="E55" s="39"/>
      <c r="F55" s="39"/>
      <c r="G55" s="39"/>
      <c r="H55" s="39"/>
      <c r="I55" s="39"/>
    </row>
    <row r="56" spans="1:9" x14ac:dyDescent="0.2">
      <c r="A56" s="39">
        <f t="shared" si="0"/>
        <v>23</v>
      </c>
      <c r="B56" s="39"/>
      <c r="C56" s="39"/>
      <c r="D56" s="39"/>
      <c r="E56" s="39"/>
      <c r="F56" s="39"/>
      <c r="G56" s="39"/>
      <c r="H56" s="39"/>
      <c r="I56" s="39"/>
    </row>
    <row r="57" spans="1:9" x14ac:dyDescent="0.2">
      <c r="A57" s="39">
        <f t="shared" si="0"/>
        <v>24</v>
      </c>
      <c r="B57" s="39"/>
      <c r="C57" s="39"/>
      <c r="D57" s="39"/>
      <c r="E57" s="39"/>
      <c r="F57" s="39"/>
      <c r="G57" s="39"/>
      <c r="H57" s="39"/>
      <c r="I57" s="39"/>
    </row>
    <row r="58" spans="1:9" x14ac:dyDescent="0.2">
      <c r="A58" s="39">
        <f t="shared" si="0"/>
        <v>25</v>
      </c>
      <c r="B58" s="39"/>
      <c r="C58" s="39"/>
      <c r="D58" s="39"/>
      <c r="E58" s="39"/>
      <c r="F58" s="39"/>
      <c r="G58" s="39"/>
      <c r="H58" s="39"/>
      <c r="I58" s="39"/>
    </row>
    <row r="59" spans="1:9" x14ac:dyDescent="0.2">
      <c r="A59" s="39">
        <f t="shared" si="0"/>
        <v>26</v>
      </c>
      <c r="B59" s="39"/>
      <c r="C59" s="39"/>
      <c r="D59" s="39"/>
      <c r="E59" s="39"/>
      <c r="F59" s="39"/>
      <c r="G59" s="39"/>
      <c r="H59" s="39"/>
      <c r="I59" s="39"/>
    </row>
    <row r="60" spans="1:9" x14ac:dyDescent="0.2">
      <c r="A60" s="39">
        <f t="shared" si="0"/>
        <v>27</v>
      </c>
      <c r="B60" s="39"/>
      <c r="C60" s="39"/>
      <c r="D60" s="39"/>
      <c r="E60" s="39"/>
      <c r="F60" s="39"/>
      <c r="G60" s="39"/>
      <c r="H60" s="39"/>
      <c r="I60" s="39"/>
    </row>
    <row r="61" spans="1:9" x14ac:dyDescent="0.2">
      <c r="A61" s="39">
        <f t="shared" si="0"/>
        <v>28</v>
      </c>
      <c r="B61" s="39"/>
      <c r="C61" s="39"/>
      <c r="D61" s="39"/>
      <c r="E61" s="39"/>
      <c r="F61" s="39"/>
      <c r="G61" s="39"/>
      <c r="H61" s="39"/>
      <c r="I61" s="39"/>
    </row>
    <row r="62" spans="1:9" x14ac:dyDescent="0.2">
      <c r="A62" s="39">
        <f t="shared" si="0"/>
        <v>29</v>
      </c>
      <c r="B62" s="39"/>
      <c r="C62" s="39"/>
      <c r="D62" s="39"/>
      <c r="E62" s="39"/>
      <c r="F62" s="39"/>
      <c r="G62" s="39"/>
      <c r="H62" s="39"/>
      <c r="I62" s="39"/>
    </row>
    <row r="63" spans="1:9" x14ac:dyDescent="0.2">
      <c r="A63" s="39">
        <f t="shared" si="0"/>
        <v>30</v>
      </c>
      <c r="B63" s="39"/>
      <c r="C63" s="39"/>
      <c r="D63" s="39"/>
      <c r="E63" s="39"/>
      <c r="F63" s="39"/>
      <c r="G63" s="39"/>
      <c r="H63" s="39"/>
      <c r="I63" s="39"/>
    </row>
    <row r="64" spans="1:9" x14ac:dyDescent="0.2">
      <c r="A64" s="39">
        <f t="shared" si="0"/>
        <v>31</v>
      </c>
      <c r="B64" s="39"/>
      <c r="C64" s="39"/>
      <c r="D64" s="39"/>
      <c r="E64" s="39"/>
      <c r="F64" s="39"/>
      <c r="G64" s="39"/>
      <c r="H64" s="39"/>
      <c r="I64" s="39"/>
    </row>
    <row r="65" spans="1:9" x14ac:dyDescent="0.2">
      <c r="A65" s="39">
        <f t="shared" si="0"/>
        <v>32</v>
      </c>
      <c r="B65" s="39"/>
      <c r="C65" s="39"/>
      <c r="D65" s="39"/>
      <c r="E65" s="39"/>
      <c r="F65" s="39"/>
      <c r="G65" s="39"/>
      <c r="H65" s="39"/>
      <c r="I65" s="39"/>
    </row>
    <row r="66" spans="1:9" x14ac:dyDescent="0.2">
      <c r="A66" s="39">
        <f t="shared" si="0"/>
        <v>33</v>
      </c>
      <c r="B66" s="39"/>
      <c r="C66" s="39"/>
      <c r="D66" s="39"/>
      <c r="E66" s="39"/>
      <c r="F66" s="39"/>
      <c r="G66" s="39"/>
      <c r="H66" s="39"/>
      <c r="I66" s="39"/>
    </row>
    <row r="67" spans="1:9" x14ac:dyDescent="0.2">
      <c r="A67" s="39">
        <f t="shared" si="0"/>
        <v>34</v>
      </c>
      <c r="B67" s="39"/>
      <c r="C67" s="39"/>
      <c r="D67" s="39"/>
      <c r="E67" s="39"/>
      <c r="F67" s="39"/>
      <c r="G67" s="39"/>
      <c r="H67" s="39"/>
      <c r="I67" s="39"/>
    </row>
    <row r="68" spans="1:9" x14ac:dyDescent="0.2">
      <c r="A68" s="39">
        <f t="shared" si="0"/>
        <v>35</v>
      </c>
      <c r="B68" s="39"/>
      <c r="C68" s="39"/>
      <c r="D68" s="39"/>
      <c r="E68" s="39"/>
      <c r="F68" s="39"/>
      <c r="G68" s="39"/>
      <c r="H68" s="39"/>
      <c r="I68" s="39"/>
    </row>
    <row r="69" spans="1:9" x14ac:dyDescent="0.2">
      <c r="A69" s="39">
        <f t="shared" si="0"/>
        <v>36</v>
      </c>
      <c r="B69" s="39"/>
      <c r="C69" s="39"/>
      <c r="D69" s="39"/>
      <c r="E69" s="39"/>
      <c r="F69" s="39"/>
      <c r="G69" s="39"/>
      <c r="H69" s="39"/>
      <c r="I69" s="39"/>
    </row>
    <row r="70" spans="1:9" x14ac:dyDescent="0.2">
      <c r="A70" s="39">
        <f t="shared" si="0"/>
        <v>37</v>
      </c>
      <c r="B70" s="39"/>
      <c r="C70" s="39"/>
      <c r="D70" s="39"/>
      <c r="E70" s="39"/>
      <c r="F70" s="39"/>
      <c r="G70" s="39"/>
      <c r="H70" s="39"/>
      <c r="I70" s="39"/>
    </row>
    <row r="71" spans="1:9" x14ac:dyDescent="0.2">
      <c r="A71" s="39">
        <f t="shared" si="0"/>
        <v>38</v>
      </c>
      <c r="B71" s="39"/>
      <c r="C71" s="39"/>
      <c r="D71" s="39"/>
      <c r="E71" s="39"/>
      <c r="F71" s="39"/>
      <c r="G71" s="39"/>
      <c r="H71" s="39"/>
      <c r="I71" s="39"/>
    </row>
    <row r="72" spans="1:9" x14ac:dyDescent="0.2">
      <c r="A72" s="39">
        <f t="shared" si="0"/>
        <v>39</v>
      </c>
      <c r="B72" s="39"/>
      <c r="C72" s="39"/>
      <c r="D72" s="39"/>
      <c r="E72" s="39"/>
      <c r="F72" s="39"/>
      <c r="G72" s="39"/>
      <c r="H72" s="39"/>
      <c r="I72" s="39"/>
    </row>
    <row r="73" spans="1:9" x14ac:dyDescent="0.2">
      <c r="A73" s="39">
        <f t="shared" si="0"/>
        <v>40</v>
      </c>
      <c r="B73" s="39"/>
      <c r="C73" s="39"/>
      <c r="D73" s="39"/>
      <c r="E73" s="39"/>
      <c r="F73" s="39"/>
      <c r="G73" s="39"/>
      <c r="H73" s="39"/>
      <c r="I73" s="39"/>
    </row>
    <row r="74" spans="1:9" x14ac:dyDescent="0.2">
      <c r="A74" s="39">
        <f t="shared" si="0"/>
        <v>41</v>
      </c>
      <c r="B74" s="39"/>
      <c r="C74" s="39"/>
      <c r="D74" s="39"/>
      <c r="E74" s="39"/>
      <c r="F74" s="39"/>
      <c r="G74" s="39"/>
      <c r="H74" s="39"/>
      <c r="I74" s="39"/>
    </row>
    <row r="75" spans="1:9" x14ac:dyDescent="0.2">
      <c r="A75" s="39">
        <f t="shared" si="0"/>
        <v>42</v>
      </c>
      <c r="B75" s="39"/>
      <c r="C75" s="39"/>
      <c r="D75" s="39"/>
      <c r="E75" s="39"/>
      <c r="F75" s="39"/>
      <c r="G75" s="39"/>
      <c r="H75" s="39"/>
      <c r="I75" s="39"/>
    </row>
    <row r="76" spans="1:9" x14ac:dyDescent="0.2">
      <c r="A76" s="39">
        <f t="shared" si="0"/>
        <v>43</v>
      </c>
      <c r="B76" s="39"/>
      <c r="C76" s="39"/>
      <c r="D76" s="39"/>
      <c r="E76" s="39"/>
      <c r="F76" s="39"/>
      <c r="G76" s="39"/>
      <c r="H76" s="39"/>
      <c r="I76" s="39"/>
    </row>
    <row r="77" spans="1:9" x14ac:dyDescent="0.2">
      <c r="A77" s="39">
        <f t="shared" si="0"/>
        <v>44</v>
      </c>
      <c r="B77" s="39"/>
      <c r="C77" s="39"/>
      <c r="D77" s="39"/>
      <c r="E77" s="39"/>
      <c r="F77" s="39"/>
      <c r="G77" s="39"/>
      <c r="H77" s="39"/>
      <c r="I77" s="39"/>
    </row>
    <row r="78" spans="1:9" x14ac:dyDescent="0.2">
      <c r="A78" s="39">
        <f t="shared" si="0"/>
        <v>45</v>
      </c>
      <c r="B78" s="39"/>
      <c r="C78" s="39"/>
      <c r="D78" s="39"/>
      <c r="E78" s="39"/>
      <c r="F78" s="39"/>
      <c r="G78" s="39"/>
      <c r="H78" s="39"/>
      <c r="I78" s="39"/>
    </row>
    <row r="79" spans="1:9" x14ac:dyDescent="0.2">
      <c r="A79" s="39">
        <f t="shared" si="0"/>
        <v>46</v>
      </c>
      <c r="B79" s="39"/>
      <c r="C79" s="39"/>
      <c r="D79" s="39"/>
      <c r="E79" s="39"/>
      <c r="F79" s="39"/>
      <c r="G79" s="39"/>
      <c r="H79" s="39"/>
      <c r="I79" s="39"/>
    </row>
    <row r="80" spans="1:9" x14ac:dyDescent="0.2">
      <c r="A80" s="39">
        <f t="shared" si="0"/>
        <v>47</v>
      </c>
      <c r="B80" s="39"/>
      <c r="C80" s="39"/>
      <c r="D80" s="39"/>
      <c r="E80" s="39"/>
      <c r="F80" s="39"/>
      <c r="G80" s="39"/>
      <c r="H80" s="39"/>
      <c r="I80" s="39"/>
    </row>
    <row r="81" spans="1:9" x14ac:dyDescent="0.2">
      <c r="A81" s="39">
        <f t="shared" si="0"/>
        <v>48</v>
      </c>
      <c r="B81" s="39"/>
      <c r="C81" s="39"/>
      <c r="D81" s="39"/>
      <c r="E81" s="39"/>
      <c r="F81" s="39"/>
      <c r="G81" s="39"/>
      <c r="H81" s="39"/>
      <c r="I81" s="39"/>
    </row>
    <row r="82" spans="1:9" x14ac:dyDescent="0.2">
      <c r="A82" s="39">
        <f t="shared" si="0"/>
        <v>49</v>
      </c>
      <c r="B82" s="39"/>
      <c r="C82" s="39"/>
      <c r="D82" s="39"/>
      <c r="E82" s="39"/>
      <c r="F82" s="39"/>
      <c r="G82" s="39"/>
      <c r="H82" s="39"/>
      <c r="I82" s="39"/>
    </row>
    <row r="83" spans="1:9" x14ac:dyDescent="0.2">
      <c r="A83" s="39">
        <f t="shared" si="0"/>
        <v>50</v>
      </c>
      <c r="B83" s="39"/>
      <c r="C83" s="39"/>
      <c r="D83" s="39"/>
      <c r="E83" s="39"/>
      <c r="F83" s="39"/>
      <c r="G83" s="39"/>
      <c r="H83" s="39"/>
      <c r="I83" s="39"/>
    </row>
    <row r="84" spans="1:9" x14ac:dyDescent="0.2">
      <c r="A84" s="39">
        <f t="shared" si="0"/>
        <v>51</v>
      </c>
      <c r="B84" s="39"/>
      <c r="C84" s="39"/>
      <c r="D84" s="39"/>
      <c r="E84" s="39"/>
      <c r="F84" s="39"/>
      <c r="G84" s="39"/>
      <c r="H84" s="39"/>
      <c r="I84" s="39"/>
    </row>
    <row r="85" spans="1:9" x14ac:dyDescent="0.2">
      <c r="A85" s="39">
        <f t="shared" si="0"/>
        <v>52</v>
      </c>
      <c r="B85" s="39"/>
      <c r="C85" s="39"/>
      <c r="D85" s="39"/>
      <c r="E85" s="39"/>
      <c r="F85" s="39"/>
      <c r="G85" s="39"/>
      <c r="H85" s="39"/>
      <c r="I85" s="39"/>
    </row>
    <row r="86" spans="1:9" x14ac:dyDescent="0.2">
      <c r="A86" s="39">
        <f t="shared" si="0"/>
        <v>53</v>
      </c>
      <c r="B86" s="39"/>
      <c r="C86" s="39"/>
      <c r="D86" s="39"/>
      <c r="E86" s="39"/>
      <c r="F86" s="39"/>
      <c r="G86" s="39"/>
      <c r="H86" s="39"/>
      <c r="I86" s="39"/>
    </row>
    <row r="87" spans="1:9" x14ac:dyDescent="0.2">
      <c r="A87" s="39">
        <f t="shared" si="0"/>
        <v>54</v>
      </c>
      <c r="B87" s="39"/>
      <c r="C87" s="39"/>
      <c r="D87" s="39"/>
      <c r="E87" s="39"/>
      <c r="F87" s="39"/>
      <c r="G87" s="39"/>
      <c r="H87" s="39"/>
      <c r="I87" s="39"/>
    </row>
    <row r="88" spans="1:9" x14ac:dyDescent="0.2">
      <c r="A88" s="39">
        <f t="shared" si="0"/>
        <v>55</v>
      </c>
      <c r="B88" s="39"/>
      <c r="C88" s="39"/>
      <c r="D88" s="39"/>
      <c r="E88" s="39"/>
      <c r="F88" s="39"/>
      <c r="G88" s="39"/>
      <c r="H88" s="39"/>
      <c r="I88" s="39"/>
    </row>
    <row r="89" spans="1:9" x14ac:dyDescent="0.2">
      <c r="A89" s="39">
        <f t="shared" si="0"/>
        <v>56</v>
      </c>
      <c r="B89" s="39"/>
      <c r="C89" s="39"/>
      <c r="D89" s="39"/>
      <c r="E89" s="39"/>
      <c r="F89" s="39"/>
      <c r="G89" s="39"/>
      <c r="H89" s="39"/>
      <c r="I89" s="39"/>
    </row>
    <row r="90" spans="1:9" x14ac:dyDescent="0.2">
      <c r="A90" s="39">
        <f t="shared" si="0"/>
        <v>57</v>
      </c>
      <c r="B90" s="39"/>
      <c r="C90" s="39"/>
      <c r="D90" s="39"/>
      <c r="E90" s="39"/>
      <c r="F90" s="39"/>
      <c r="G90" s="39"/>
      <c r="H90" s="39"/>
      <c r="I90" s="39"/>
    </row>
    <row r="91" spans="1:9" x14ac:dyDescent="0.2">
      <c r="A91" s="39">
        <f t="shared" si="0"/>
        <v>58</v>
      </c>
      <c r="B91" s="39"/>
      <c r="C91" s="39"/>
      <c r="D91" s="39"/>
      <c r="E91" s="39"/>
      <c r="F91" s="39"/>
      <c r="G91" s="39"/>
      <c r="H91" s="39"/>
      <c r="I91" s="39"/>
    </row>
    <row r="92" spans="1:9" x14ac:dyDescent="0.2">
      <c r="A92" s="39">
        <f t="shared" si="0"/>
        <v>59</v>
      </c>
      <c r="B92" s="39"/>
      <c r="C92" s="39"/>
      <c r="D92" s="39"/>
      <c r="E92" s="39"/>
      <c r="F92" s="39"/>
      <c r="G92" s="39"/>
      <c r="H92" s="39"/>
      <c r="I92" s="39"/>
    </row>
    <row r="93" spans="1:9" x14ac:dyDescent="0.2">
      <c r="A93" s="39">
        <f t="shared" si="0"/>
        <v>60</v>
      </c>
      <c r="B93" s="39"/>
      <c r="C93" s="39"/>
      <c r="D93" s="39"/>
      <c r="E93" s="39"/>
      <c r="F93" s="39"/>
      <c r="G93" s="39"/>
      <c r="H93" s="39"/>
      <c r="I93" s="39"/>
    </row>
    <row r="94" spans="1:9" x14ac:dyDescent="0.2">
      <c r="A94" s="39">
        <f t="shared" si="0"/>
        <v>61</v>
      </c>
      <c r="B94" s="39"/>
      <c r="C94" s="39"/>
      <c r="D94" s="39"/>
      <c r="E94" s="39"/>
      <c r="F94" s="39"/>
      <c r="G94" s="39"/>
      <c r="H94" s="39"/>
      <c r="I94" s="39"/>
    </row>
    <row r="95" spans="1:9" x14ac:dyDescent="0.2">
      <c r="A95" s="39">
        <f t="shared" si="0"/>
        <v>62</v>
      </c>
      <c r="B95" s="39"/>
      <c r="C95" s="39"/>
      <c r="D95" s="39"/>
      <c r="E95" s="39"/>
      <c r="F95" s="39"/>
      <c r="G95" s="39"/>
      <c r="H95" s="39"/>
      <c r="I95" s="39"/>
    </row>
    <row r="96" spans="1:9" x14ac:dyDescent="0.2">
      <c r="A96" s="39">
        <f t="shared" si="0"/>
        <v>63</v>
      </c>
      <c r="B96" s="39"/>
      <c r="C96" s="39"/>
      <c r="D96" s="39"/>
      <c r="E96" s="39"/>
      <c r="F96" s="39"/>
      <c r="G96" s="39"/>
      <c r="H96" s="39"/>
      <c r="I96" s="39"/>
    </row>
    <row r="97" spans="1:9" x14ac:dyDescent="0.2">
      <c r="A97" s="39">
        <f t="shared" si="0"/>
        <v>64</v>
      </c>
      <c r="B97" s="39"/>
      <c r="C97" s="39"/>
      <c r="D97" s="39"/>
      <c r="E97" s="39"/>
      <c r="F97" s="39"/>
      <c r="G97" s="39"/>
      <c r="H97" s="39"/>
      <c r="I97" s="39"/>
    </row>
    <row r="98" spans="1:9" x14ac:dyDescent="0.2">
      <c r="A98" s="39">
        <f t="shared" si="0"/>
        <v>65</v>
      </c>
      <c r="B98" s="39"/>
      <c r="C98" s="39"/>
      <c r="D98" s="39"/>
      <c r="E98" s="39"/>
      <c r="F98" s="39"/>
      <c r="G98" s="39"/>
      <c r="H98" s="39"/>
      <c r="I98" s="39"/>
    </row>
    <row r="99" spans="1:9" x14ac:dyDescent="0.2">
      <c r="A99" s="39">
        <f t="shared" si="0"/>
        <v>66</v>
      </c>
      <c r="B99" s="39"/>
      <c r="C99" s="39"/>
      <c r="D99" s="39"/>
      <c r="E99" s="39"/>
      <c r="F99" s="39"/>
      <c r="G99" s="39"/>
      <c r="H99" s="39"/>
      <c r="I99" s="39"/>
    </row>
    <row r="100" spans="1:9" x14ac:dyDescent="0.2">
      <c r="A100" s="39">
        <f t="shared" ref="A100:A163" si="1">A99+1</f>
        <v>67</v>
      </c>
      <c r="B100" s="39"/>
      <c r="C100" s="39"/>
      <c r="D100" s="39"/>
      <c r="E100" s="39"/>
      <c r="F100" s="39"/>
      <c r="G100" s="39"/>
      <c r="H100" s="39"/>
      <c r="I100" s="39"/>
    </row>
    <row r="101" spans="1:9" x14ac:dyDescent="0.2">
      <c r="A101" s="39">
        <f t="shared" si="1"/>
        <v>68</v>
      </c>
      <c r="B101" s="39"/>
      <c r="C101" s="39"/>
      <c r="D101" s="39"/>
      <c r="E101" s="39"/>
      <c r="F101" s="39"/>
      <c r="G101" s="39"/>
      <c r="H101" s="39"/>
      <c r="I101" s="39"/>
    </row>
    <row r="102" spans="1:9" x14ac:dyDescent="0.2">
      <c r="A102" s="39">
        <f t="shared" si="1"/>
        <v>69</v>
      </c>
      <c r="B102" s="39"/>
      <c r="C102" s="39"/>
      <c r="D102" s="39"/>
      <c r="E102" s="39"/>
      <c r="F102" s="39"/>
      <c r="G102" s="39"/>
      <c r="H102" s="39"/>
      <c r="I102" s="39"/>
    </row>
    <row r="103" spans="1:9" x14ac:dyDescent="0.2">
      <c r="A103" s="39">
        <f t="shared" si="1"/>
        <v>70</v>
      </c>
      <c r="B103" s="39"/>
      <c r="C103" s="39"/>
      <c r="D103" s="39"/>
      <c r="E103" s="39"/>
      <c r="F103" s="39"/>
      <c r="G103" s="39"/>
      <c r="H103" s="39"/>
      <c r="I103" s="39"/>
    </row>
    <row r="104" spans="1:9" x14ac:dyDescent="0.2">
      <c r="A104" s="39">
        <f t="shared" si="1"/>
        <v>71</v>
      </c>
      <c r="B104" s="39"/>
      <c r="C104" s="39"/>
      <c r="D104" s="39"/>
      <c r="E104" s="39"/>
      <c r="F104" s="39"/>
      <c r="G104" s="39"/>
      <c r="H104" s="39"/>
      <c r="I104" s="39"/>
    </row>
    <row r="105" spans="1:9" x14ac:dyDescent="0.2">
      <c r="A105" s="39">
        <f t="shared" si="1"/>
        <v>72</v>
      </c>
      <c r="B105" s="39"/>
      <c r="C105" s="39"/>
      <c r="D105" s="39"/>
      <c r="E105" s="39"/>
      <c r="F105" s="39"/>
      <c r="G105" s="39"/>
      <c r="H105" s="39"/>
      <c r="I105" s="39"/>
    </row>
    <row r="106" spans="1:9" x14ac:dyDescent="0.2">
      <c r="A106" s="39">
        <f t="shared" si="1"/>
        <v>73</v>
      </c>
      <c r="B106" s="39"/>
      <c r="C106" s="39"/>
      <c r="D106" s="39"/>
      <c r="E106" s="39"/>
      <c r="F106" s="39"/>
      <c r="G106" s="39"/>
      <c r="H106" s="39"/>
      <c r="I106" s="39"/>
    </row>
    <row r="107" spans="1:9" x14ac:dyDescent="0.2">
      <c r="A107" s="39">
        <f t="shared" si="1"/>
        <v>74</v>
      </c>
      <c r="B107" s="39"/>
      <c r="C107" s="39"/>
      <c r="D107" s="39"/>
      <c r="E107" s="39"/>
      <c r="F107" s="39"/>
      <c r="G107" s="39"/>
      <c r="H107" s="39"/>
      <c r="I107" s="39"/>
    </row>
    <row r="108" spans="1:9" x14ac:dyDescent="0.2">
      <c r="A108" s="39">
        <f t="shared" si="1"/>
        <v>75</v>
      </c>
      <c r="B108" s="39"/>
      <c r="C108" s="39"/>
      <c r="D108" s="39"/>
      <c r="E108" s="39"/>
      <c r="F108" s="39"/>
      <c r="G108" s="39"/>
      <c r="H108" s="39"/>
      <c r="I108" s="39"/>
    </row>
    <row r="109" spans="1:9" x14ac:dyDescent="0.2">
      <c r="A109" s="39">
        <f t="shared" si="1"/>
        <v>76</v>
      </c>
      <c r="B109" s="39"/>
      <c r="C109" s="39"/>
      <c r="D109" s="39"/>
      <c r="E109" s="39"/>
      <c r="F109" s="39"/>
      <c r="G109" s="39"/>
      <c r="H109" s="39"/>
      <c r="I109" s="39"/>
    </row>
    <row r="110" spans="1:9" x14ac:dyDescent="0.2">
      <c r="A110" s="39">
        <f t="shared" si="1"/>
        <v>77</v>
      </c>
      <c r="B110" s="39"/>
      <c r="C110" s="39"/>
      <c r="D110" s="39"/>
      <c r="E110" s="39"/>
      <c r="F110" s="39"/>
      <c r="G110" s="39"/>
      <c r="H110" s="39"/>
      <c r="I110" s="39"/>
    </row>
    <row r="111" spans="1:9" x14ac:dyDescent="0.2">
      <c r="A111" s="39">
        <f t="shared" si="1"/>
        <v>78</v>
      </c>
      <c r="B111" s="39"/>
      <c r="C111" s="39"/>
      <c r="D111" s="39"/>
      <c r="E111" s="39"/>
      <c r="F111" s="39"/>
      <c r="G111" s="39"/>
      <c r="H111" s="39"/>
      <c r="I111" s="39"/>
    </row>
    <row r="112" spans="1:9" x14ac:dyDescent="0.2">
      <c r="A112" s="39">
        <f t="shared" si="1"/>
        <v>79</v>
      </c>
      <c r="B112" s="39"/>
      <c r="C112" s="39"/>
      <c r="D112" s="39"/>
      <c r="E112" s="39"/>
      <c r="F112" s="39"/>
      <c r="G112" s="39"/>
      <c r="H112" s="39"/>
      <c r="I112" s="39"/>
    </row>
    <row r="113" spans="1:9" x14ac:dyDescent="0.2">
      <c r="A113" s="39">
        <f t="shared" si="1"/>
        <v>80</v>
      </c>
      <c r="B113" s="39"/>
      <c r="C113" s="39"/>
      <c r="D113" s="39"/>
      <c r="E113" s="39"/>
      <c r="F113" s="39"/>
      <c r="G113" s="39"/>
      <c r="H113" s="39"/>
      <c r="I113" s="39"/>
    </row>
    <row r="114" spans="1:9" x14ac:dyDescent="0.2">
      <c r="A114" s="39">
        <f t="shared" si="1"/>
        <v>81</v>
      </c>
      <c r="B114" s="39"/>
      <c r="C114" s="39"/>
      <c r="D114" s="39"/>
      <c r="E114" s="39"/>
      <c r="F114" s="39"/>
      <c r="G114" s="39"/>
      <c r="H114" s="39"/>
      <c r="I114" s="39"/>
    </row>
    <row r="115" spans="1:9" x14ac:dyDescent="0.2">
      <c r="A115" s="39">
        <f t="shared" si="1"/>
        <v>82</v>
      </c>
      <c r="B115" s="39"/>
      <c r="C115" s="39"/>
      <c r="D115" s="39"/>
      <c r="E115" s="39"/>
      <c r="F115" s="39"/>
      <c r="G115" s="39"/>
      <c r="H115" s="39"/>
      <c r="I115" s="39"/>
    </row>
    <row r="116" spans="1:9" x14ac:dyDescent="0.2">
      <c r="A116" s="39">
        <f t="shared" si="1"/>
        <v>83</v>
      </c>
      <c r="B116" s="39"/>
      <c r="C116" s="39"/>
      <c r="D116" s="39"/>
      <c r="E116" s="39"/>
      <c r="F116" s="39"/>
      <c r="G116" s="39"/>
      <c r="H116" s="39"/>
      <c r="I116" s="39"/>
    </row>
    <row r="117" spans="1:9" x14ac:dyDescent="0.2">
      <c r="A117" s="39">
        <f t="shared" si="1"/>
        <v>84</v>
      </c>
      <c r="B117" s="39"/>
      <c r="C117" s="39"/>
      <c r="D117" s="39"/>
      <c r="E117" s="39"/>
      <c r="F117" s="39"/>
      <c r="G117" s="39"/>
      <c r="H117" s="39"/>
      <c r="I117" s="39"/>
    </row>
    <row r="118" spans="1:9" x14ac:dyDescent="0.2">
      <c r="A118" s="39">
        <f t="shared" si="1"/>
        <v>85</v>
      </c>
      <c r="B118" s="39"/>
      <c r="C118" s="39"/>
      <c r="D118" s="39"/>
      <c r="E118" s="39"/>
      <c r="F118" s="39"/>
      <c r="G118" s="39"/>
      <c r="H118" s="39"/>
      <c r="I118" s="39"/>
    </row>
    <row r="119" spans="1:9" x14ac:dyDescent="0.2">
      <c r="A119" s="39">
        <f t="shared" si="1"/>
        <v>86</v>
      </c>
      <c r="B119" s="39"/>
      <c r="C119" s="39"/>
      <c r="D119" s="39"/>
      <c r="E119" s="39"/>
      <c r="F119" s="39"/>
      <c r="G119" s="39"/>
      <c r="H119" s="39"/>
      <c r="I119" s="39"/>
    </row>
    <row r="120" spans="1:9" x14ac:dyDescent="0.2">
      <c r="A120" s="39">
        <f t="shared" si="1"/>
        <v>87</v>
      </c>
      <c r="B120" s="39"/>
      <c r="C120" s="39"/>
      <c r="D120" s="39"/>
      <c r="E120" s="39"/>
      <c r="F120" s="39"/>
      <c r="G120" s="39"/>
      <c r="H120" s="39"/>
      <c r="I120" s="39"/>
    </row>
    <row r="121" spans="1:9" x14ac:dyDescent="0.2">
      <c r="A121" s="39">
        <f t="shared" si="1"/>
        <v>88</v>
      </c>
      <c r="B121" s="39"/>
      <c r="C121" s="39"/>
      <c r="D121" s="39"/>
      <c r="E121" s="39"/>
      <c r="F121" s="39"/>
      <c r="G121" s="39"/>
      <c r="H121" s="39"/>
      <c r="I121" s="39"/>
    </row>
    <row r="122" spans="1:9" x14ac:dyDescent="0.2">
      <c r="A122" s="39">
        <f t="shared" si="1"/>
        <v>89</v>
      </c>
      <c r="B122" s="39"/>
      <c r="C122" s="39"/>
      <c r="D122" s="39"/>
      <c r="E122" s="39"/>
      <c r="F122" s="39"/>
      <c r="G122" s="39"/>
      <c r="H122" s="39"/>
      <c r="I122" s="39"/>
    </row>
    <row r="123" spans="1:9" x14ac:dyDescent="0.2">
      <c r="A123" s="39">
        <f t="shared" si="1"/>
        <v>90</v>
      </c>
      <c r="B123" s="39"/>
      <c r="C123" s="39"/>
      <c r="D123" s="39"/>
      <c r="E123" s="39"/>
      <c r="F123" s="39"/>
      <c r="G123" s="39"/>
      <c r="H123" s="39"/>
      <c r="I123" s="39"/>
    </row>
    <row r="124" spans="1:9" x14ac:dyDescent="0.2">
      <c r="A124" s="39">
        <f t="shared" si="1"/>
        <v>91</v>
      </c>
      <c r="B124" s="39"/>
      <c r="C124" s="39"/>
      <c r="D124" s="39"/>
      <c r="E124" s="39"/>
      <c r="F124" s="39"/>
      <c r="G124" s="39"/>
      <c r="H124" s="39"/>
      <c r="I124" s="39"/>
    </row>
    <row r="125" spans="1:9" x14ac:dyDescent="0.2">
      <c r="A125" s="39">
        <f t="shared" si="1"/>
        <v>92</v>
      </c>
      <c r="B125" s="39"/>
      <c r="C125" s="39"/>
      <c r="D125" s="39"/>
      <c r="E125" s="39"/>
      <c r="F125" s="39"/>
      <c r="G125" s="39"/>
      <c r="H125" s="39"/>
      <c r="I125" s="39"/>
    </row>
    <row r="126" spans="1:9" x14ac:dyDescent="0.2">
      <c r="A126" s="39">
        <f t="shared" si="1"/>
        <v>93</v>
      </c>
      <c r="B126" s="39"/>
      <c r="C126" s="39"/>
      <c r="D126" s="39"/>
      <c r="E126" s="39"/>
      <c r="F126" s="39"/>
      <c r="G126" s="39"/>
      <c r="H126" s="39"/>
      <c r="I126" s="39"/>
    </row>
    <row r="127" spans="1:9" x14ac:dyDescent="0.2">
      <c r="A127" s="39">
        <f t="shared" si="1"/>
        <v>94</v>
      </c>
      <c r="B127" s="39"/>
      <c r="C127" s="39"/>
      <c r="D127" s="39"/>
      <c r="E127" s="39"/>
      <c r="F127" s="39"/>
      <c r="G127" s="39"/>
      <c r="H127" s="39"/>
      <c r="I127" s="39"/>
    </row>
    <row r="128" spans="1:9" x14ac:dyDescent="0.2">
      <c r="A128" s="39">
        <f t="shared" si="1"/>
        <v>95</v>
      </c>
      <c r="B128" s="39"/>
      <c r="C128" s="39"/>
      <c r="D128" s="39"/>
      <c r="E128" s="39"/>
      <c r="F128" s="39"/>
      <c r="G128" s="39"/>
      <c r="H128" s="39"/>
      <c r="I128" s="39"/>
    </row>
    <row r="129" spans="1:9" x14ac:dyDescent="0.2">
      <c r="A129" s="39">
        <f t="shared" si="1"/>
        <v>96</v>
      </c>
      <c r="B129" s="39"/>
      <c r="C129" s="39"/>
      <c r="D129" s="39"/>
      <c r="E129" s="39"/>
      <c r="F129" s="39"/>
      <c r="G129" s="39"/>
      <c r="H129" s="39"/>
      <c r="I129" s="39"/>
    </row>
    <row r="130" spans="1:9" x14ac:dyDescent="0.2">
      <c r="A130" s="39">
        <f t="shared" si="1"/>
        <v>97</v>
      </c>
      <c r="B130" s="39"/>
      <c r="C130" s="39"/>
      <c r="D130" s="39"/>
      <c r="E130" s="39"/>
      <c r="F130" s="39"/>
      <c r="G130" s="39"/>
      <c r="H130" s="39"/>
      <c r="I130" s="39"/>
    </row>
    <row r="131" spans="1:9" x14ac:dyDescent="0.2">
      <c r="A131" s="39">
        <f t="shared" si="1"/>
        <v>98</v>
      </c>
      <c r="B131" s="39"/>
      <c r="C131" s="39"/>
      <c r="D131" s="39"/>
      <c r="E131" s="39"/>
      <c r="F131" s="39"/>
      <c r="G131" s="39"/>
      <c r="H131" s="39"/>
      <c r="I131" s="39"/>
    </row>
    <row r="132" spans="1:9" x14ac:dyDescent="0.2">
      <c r="A132" s="39">
        <f t="shared" si="1"/>
        <v>99</v>
      </c>
      <c r="B132" s="39"/>
      <c r="C132" s="39"/>
      <c r="D132" s="39"/>
      <c r="E132" s="39"/>
      <c r="F132" s="39"/>
      <c r="G132" s="39"/>
      <c r="H132" s="39"/>
      <c r="I132" s="39"/>
    </row>
    <row r="133" spans="1:9" x14ac:dyDescent="0.2">
      <c r="A133" s="39">
        <f t="shared" si="1"/>
        <v>100</v>
      </c>
      <c r="B133" s="39"/>
      <c r="C133" s="39"/>
      <c r="D133" s="39"/>
      <c r="E133" s="39"/>
      <c r="F133" s="39"/>
      <c r="G133" s="39"/>
      <c r="H133" s="39"/>
      <c r="I133" s="39"/>
    </row>
    <row r="134" spans="1:9" x14ac:dyDescent="0.2">
      <c r="A134" s="39">
        <f t="shared" si="1"/>
        <v>101</v>
      </c>
      <c r="B134" s="39"/>
      <c r="C134" s="39"/>
      <c r="D134" s="39"/>
      <c r="E134" s="39"/>
      <c r="F134" s="39"/>
      <c r="G134" s="39"/>
      <c r="H134" s="39"/>
      <c r="I134" s="39"/>
    </row>
    <row r="135" spans="1:9" x14ac:dyDescent="0.2">
      <c r="A135" s="39">
        <f t="shared" si="1"/>
        <v>102</v>
      </c>
      <c r="B135" s="39"/>
      <c r="C135" s="39"/>
      <c r="D135" s="39"/>
      <c r="E135" s="39"/>
      <c r="F135" s="39"/>
      <c r="G135" s="39"/>
      <c r="H135" s="39"/>
      <c r="I135" s="39"/>
    </row>
    <row r="136" spans="1:9" x14ac:dyDescent="0.2">
      <c r="A136" s="39">
        <f t="shared" si="1"/>
        <v>103</v>
      </c>
      <c r="B136" s="39"/>
      <c r="C136" s="39"/>
      <c r="D136" s="39"/>
      <c r="E136" s="39"/>
      <c r="F136" s="39"/>
      <c r="G136" s="39"/>
      <c r="H136" s="39"/>
      <c r="I136" s="39"/>
    </row>
    <row r="137" spans="1:9" x14ac:dyDescent="0.2">
      <c r="A137" s="39">
        <f t="shared" si="1"/>
        <v>104</v>
      </c>
      <c r="B137" s="39"/>
      <c r="C137" s="39"/>
      <c r="D137" s="39"/>
      <c r="E137" s="39"/>
      <c r="F137" s="39"/>
      <c r="G137" s="39"/>
      <c r="H137" s="39"/>
      <c r="I137" s="39"/>
    </row>
    <row r="138" spans="1:9" x14ac:dyDescent="0.2">
      <c r="A138" s="39">
        <f t="shared" si="1"/>
        <v>105</v>
      </c>
      <c r="B138" s="39"/>
      <c r="C138" s="39"/>
      <c r="D138" s="39"/>
      <c r="E138" s="39"/>
      <c r="F138" s="39"/>
      <c r="G138" s="39"/>
      <c r="H138" s="39"/>
      <c r="I138" s="39"/>
    </row>
    <row r="139" spans="1:9" x14ac:dyDescent="0.2">
      <c r="A139" s="39">
        <f t="shared" si="1"/>
        <v>106</v>
      </c>
      <c r="B139" s="39"/>
      <c r="C139" s="39"/>
      <c r="D139" s="39"/>
      <c r="E139" s="39"/>
      <c r="F139" s="39"/>
      <c r="G139" s="39"/>
      <c r="H139" s="39"/>
      <c r="I139" s="39"/>
    </row>
    <row r="140" spans="1:9" x14ac:dyDescent="0.2">
      <c r="A140" s="39">
        <f t="shared" si="1"/>
        <v>107</v>
      </c>
      <c r="B140" s="39"/>
      <c r="C140" s="39"/>
      <c r="D140" s="39"/>
      <c r="E140" s="39"/>
      <c r="F140" s="39"/>
      <c r="G140" s="39"/>
      <c r="H140" s="39"/>
      <c r="I140" s="39"/>
    </row>
    <row r="141" spans="1:9" x14ac:dyDescent="0.2">
      <c r="A141" s="39">
        <f t="shared" si="1"/>
        <v>108</v>
      </c>
      <c r="B141" s="39"/>
      <c r="C141" s="39"/>
      <c r="D141" s="39"/>
      <c r="E141" s="39"/>
      <c r="F141" s="39"/>
      <c r="G141" s="39"/>
      <c r="H141" s="39"/>
      <c r="I141" s="39"/>
    </row>
    <row r="142" spans="1:9" x14ac:dyDescent="0.2">
      <c r="A142" s="39">
        <f t="shared" si="1"/>
        <v>109</v>
      </c>
      <c r="B142" s="39"/>
      <c r="C142" s="39"/>
      <c r="D142" s="39"/>
      <c r="E142" s="39"/>
      <c r="F142" s="39"/>
      <c r="G142" s="39"/>
      <c r="H142" s="39"/>
      <c r="I142" s="39"/>
    </row>
    <row r="143" spans="1:9" x14ac:dyDescent="0.2">
      <c r="A143" s="39">
        <f t="shared" si="1"/>
        <v>110</v>
      </c>
      <c r="B143" s="39"/>
      <c r="C143" s="39"/>
      <c r="D143" s="39"/>
      <c r="E143" s="39"/>
      <c r="F143" s="39"/>
      <c r="G143" s="39"/>
      <c r="H143" s="39"/>
      <c r="I143" s="39"/>
    </row>
    <row r="144" spans="1:9" x14ac:dyDescent="0.2">
      <c r="A144" s="39">
        <f t="shared" si="1"/>
        <v>111</v>
      </c>
      <c r="B144" s="39"/>
      <c r="C144" s="39"/>
      <c r="D144" s="39"/>
      <c r="E144" s="39"/>
      <c r="F144" s="39"/>
      <c r="G144" s="39"/>
      <c r="H144" s="39"/>
      <c r="I144" s="39"/>
    </row>
    <row r="145" spans="1:9" x14ac:dyDescent="0.2">
      <c r="A145" s="39">
        <f t="shared" si="1"/>
        <v>112</v>
      </c>
      <c r="B145" s="39"/>
      <c r="C145" s="39"/>
      <c r="D145" s="39"/>
      <c r="E145" s="39"/>
      <c r="F145" s="39"/>
      <c r="G145" s="39"/>
      <c r="H145" s="39"/>
      <c r="I145" s="39"/>
    </row>
    <row r="146" spans="1:9" x14ac:dyDescent="0.2">
      <c r="A146" s="39">
        <f t="shared" si="1"/>
        <v>113</v>
      </c>
      <c r="B146" s="39"/>
      <c r="C146" s="39"/>
      <c r="D146" s="39"/>
      <c r="E146" s="39"/>
      <c r="F146" s="39"/>
      <c r="G146" s="39"/>
      <c r="H146" s="39"/>
      <c r="I146" s="39"/>
    </row>
    <row r="147" spans="1:9" x14ac:dyDescent="0.2">
      <c r="A147" s="39">
        <f t="shared" si="1"/>
        <v>114</v>
      </c>
      <c r="B147" s="39"/>
      <c r="C147" s="39"/>
      <c r="D147" s="39"/>
      <c r="E147" s="39"/>
      <c r="F147" s="39"/>
      <c r="G147" s="39"/>
      <c r="H147" s="39"/>
      <c r="I147" s="39"/>
    </row>
    <row r="148" spans="1:9" x14ac:dyDescent="0.2">
      <c r="A148" s="39">
        <f t="shared" si="1"/>
        <v>115</v>
      </c>
      <c r="B148" s="39"/>
      <c r="C148" s="39"/>
      <c r="D148" s="39"/>
      <c r="E148" s="39"/>
      <c r="F148" s="39"/>
      <c r="G148" s="39"/>
      <c r="H148" s="39"/>
      <c r="I148" s="39"/>
    </row>
    <row r="149" spans="1:9" x14ac:dyDescent="0.2">
      <c r="A149" s="39">
        <f t="shared" si="1"/>
        <v>116</v>
      </c>
      <c r="B149" s="39"/>
      <c r="C149" s="39"/>
      <c r="D149" s="39"/>
      <c r="E149" s="39"/>
      <c r="F149" s="39"/>
      <c r="G149" s="39"/>
      <c r="H149" s="39"/>
      <c r="I149" s="39"/>
    </row>
    <row r="150" spans="1:9" x14ac:dyDescent="0.2">
      <c r="A150" s="39">
        <f t="shared" si="1"/>
        <v>117</v>
      </c>
      <c r="B150" s="39"/>
      <c r="C150" s="39"/>
      <c r="D150" s="39"/>
      <c r="E150" s="39"/>
      <c r="F150" s="39"/>
      <c r="G150" s="39"/>
      <c r="H150" s="39"/>
      <c r="I150" s="39"/>
    </row>
    <row r="151" spans="1:9" x14ac:dyDescent="0.2">
      <c r="A151" s="39">
        <f t="shared" si="1"/>
        <v>118</v>
      </c>
      <c r="B151" s="39"/>
      <c r="C151" s="39"/>
      <c r="D151" s="39"/>
      <c r="E151" s="39"/>
      <c r="F151" s="39"/>
      <c r="G151" s="39"/>
      <c r="H151" s="39"/>
      <c r="I151" s="39"/>
    </row>
    <row r="152" spans="1:9" x14ac:dyDescent="0.2">
      <c r="A152" s="39">
        <f t="shared" si="1"/>
        <v>119</v>
      </c>
      <c r="B152" s="39"/>
      <c r="C152" s="39"/>
      <c r="D152" s="39"/>
      <c r="E152" s="39"/>
      <c r="F152" s="39"/>
      <c r="G152" s="39"/>
      <c r="H152" s="39"/>
      <c r="I152" s="39"/>
    </row>
    <row r="153" spans="1:9" x14ac:dyDescent="0.2">
      <c r="A153" s="39">
        <f t="shared" si="1"/>
        <v>120</v>
      </c>
      <c r="B153" s="39"/>
      <c r="C153" s="39"/>
      <c r="D153" s="39"/>
      <c r="E153" s="39"/>
      <c r="F153" s="39"/>
      <c r="G153" s="39"/>
      <c r="H153" s="39"/>
      <c r="I153" s="39"/>
    </row>
    <row r="154" spans="1:9" x14ac:dyDescent="0.2">
      <c r="A154" s="39">
        <f t="shared" si="1"/>
        <v>121</v>
      </c>
      <c r="B154" s="39"/>
      <c r="C154" s="39"/>
      <c r="D154" s="39"/>
      <c r="E154" s="39"/>
      <c r="F154" s="39"/>
      <c r="G154" s="39"/>
      <c r="H154" s="39"/>
      <c r="I154" s="39"/>
    </row>
    <row r="155" spans="1:9" x14ac:dyDescent="0.2">
      <c r="A155" s="39">
        <f t="shared" si="1"/>
        <v>122</v>
      </c>
      <c r="B155" s="39"/>
      <c r="C155" s="39"/>
      <c r="D155" s="39"/>
      <c r="E155" s="39"/>
      <c r="F155" s="39"/>
      <c r="G155" s="39"/>
      <c r="H155" s="39"/>
      <c r="I155" s="39"/>
    </row>
    <row r="156" spans="1:9" x14ac:dyDescent="0.2">
      <c r="A156" s="39">
        <f t="shared" si="1"/>
        <v>123</v>
      </c>
      <c r="B156" s="39"/>
      <c r="C156" s="39"/>
      <c r="D156" s="39"/>
      <c r="E156" s="39"/>
      <c r="F156" s="39"/>
      <c r="G156" s="39"/>
      <c r="H156" s="39"/>
      <c r="I156" s="39"/>
    </row>
    <row r="157" spans="1:9" x14ac:dyDescent="0.2">
      <c r="A157" s="39">
        <f t="shared" si="1"/>
        <v>124</v>
      </c>
      <c r="B157" s="39"/>
      <c r="C157" s="39"/>
      <c r="D157" s="39"/>
      <c r="E157" s="39"/>
      <c r="F157" s="39"/>
      <c r="G157" s="39"/>
      <c r="H157" s="39"/>
      <c r="I157" s="39"/>
    </row>
    <row r="158" spans="1:9" x14ac:dyDescent="0.2">
      <c r="A158" s="39">
        <f t="shared" si="1"/>
        <v>125</v>
      </c>
      <c r="B158" s="39"/>
      <c r="C158" s="39"/>
      <c r="D158" s="39"/>
      <c r="E158" s="39"/>
      <c r="F158" s="39"/>
      <c r="G158" s="39"/>
      <c r="H158" s="39"/>
      <c r="I158" s="39"/>
    </row>
    <row r="159" spans="1:9" x14ac:dyDescent="0.2">
      <c r="A159" s="39">
        <f t="shared" si="1"/>
        <v>126</v>
      </c>
      <c r="B159" s="39"/>
      <c r="C159" s="39"/>
      <c r="D159" s="39"/>
      <c r="E159" s="39"/>
      <c r="F159" s="39"/>
      <c r="G159" s="39"/>
      <c r="H159" s="39"/>
      <c r="I159" s="39"/>
    </row>
    <row r="160" spans="1:9" x14ac:dyDescent="0.2">
      <c r="A160" s="39">
        <f t="shared" si="1"/>
        <v>127</v>
      </c>
      <c r="B160" s="39"/>
      <c r="C160" s="39"/>
      <c r="D160" s="39"/>
      <c r="E160" s="39"/>
      <c r="F160" s="39"/>
      <c r="G160" s="39"/>
      <c r="H160" s="39"/>
      <c r="I160" s="39"/>
    </row>
    <row r="161" spans="1:9" x14ac:dyDescent="0.2">
      <c r="A161" s="39">
        <f t="shared" si="1"/>
        <v>128</v>
      </c>
      <c r="B161" s="39"/>
      <c r="C161" s="39"/>
      <c r="D161" s="39"/>
      <c r="E161" s="39"/>
      <c r="F161" s="39"/>
      <c r="G161" s="39"/>
      <c r="H161" s="39"/>
      <c r="I161" s="39"/>
    </row>
    <row r="162" spans="1:9" x14ac:dyDescent="0.2">
      <c r="A162" s="39">
        <f t="shared" si="1"/>
        <v>129</v>
      </c>
      <c r="B162" s="39"/>
      <c r="C162" s="39"/>
      <c r="D162" s="39"/>
      <c r="E162" s="39"/>
      <c r="F162" s="39"/>
      <c r="G162" s="39"/>
      <c r="H162" s="39"/>
      <c r="I162" s="39"/>
    </row>
    <row r="163" spans="1:9" x14ac:dyDescent="0.2">
      <c r="A163" s="39">
        <f t="shared" si="1"/>
        <v>130</v>
      </c>
      <c r="B163" s="39"/>
      <c r="C163" s="39"/>
      <c r="D163" s="39"/>
      <c r="E163" s="39"/>
      <c r="F163" s="39"/>
      <c r="G163" s="39"/>
      <c r="H163" s="39"/>
      <c r="I163" s="39"/>
    </row>
    <row r="164" spans="1:9" x14ac:dyDescent="0.2">
      <c r="A164" s="39">
        <f t="shared" ref="A164:A213" si="2">A163+1</f>
        <v>131</v>
      </c>
      <c r="B164" s="39"/>
      <c r="C164" s="39"/>
      <c r="D164" s="39"/>
      <c r="E164" s="39"/>
      <c r="F164" s="39"/>
      <c r="G164" s="39"/>
      <c r="H164" s="39"/>
      <c r="I164" s="39"/>
    </row>
    <row r="165" spans="1:9" x14ac:dyDescent="0.2">
      <c r="A165" s="39">
        <f t="shared" si="2"/>
        <v>132</v>
      </c>
      <c r="B165" s="39"/>
      <c r="C165" s="39"/>
      <c r="D165" s="39"/>
      <c r="E165" s="39"/>
      <c r="F165" s="39"/>
      <c r="G165" s="39"/>
      <c r="H165" s="39"/>
      <c r="I165" s="39"/>
    </row>
    <row r="166" spans="1:9" x14ac:dyDescent="0.2">
      <c r="A166" s="39">
        <f t="shared" si="2"/>
        <v>133</v>
      </c>
      <c r="B166" s="39"/>
      <c r="C166" s="39"/>
      <c r="D166" s="39"/>
      <c r="E166" s="39"/>
      <c r="F166" s="39"/>
      <c r="G166" s="39"/>
      <c r="H166" s="39"/>
      <c r="I166" s="39"/>
    </row>
    <row r="167" spans="1:9" x14ac:dyDescent="0.2">
      <c r="A167" s="39">
        <f t="shared" si="2"/>
        <v>134</v>
      </c>
      <c r="B167" s="39"/>
      <c r="C167" s="39"/>
      <c r="D167" s="39"/>
      <c r="E167" s="39"/>
      <c r="F167" s="39"/>
      <c r="G167" s="39"/>
      <c r="H167" s="39"/>
      <c r="I167" s="39"/>
    </row>
    <row r="168" spans="1:9" x14ac:dyDescent="0.2">
      <c r="A168" s="39">
        <f t="shared" si="2"/>
        <v>135</v>
      </c>
      <c r="B168" s="39"/>
      <c r="C168" s="39"/>
      <c r="D168" s="39"/>
      <c r="E168" s="39"/>
      <c r="F168" s="39"/>
      <c r="G168" s="39"/>
      <c r="H168" s="39"/>
      <c r="I168" s="39"/>
    </row>
    <row r="169" spans="1:9" x14ac:dyDescent="0.2">
      <c r="A169" s="39">
        <f t="shared" si="2"/>
        <v>136</v>
      </c>
      <c r="B169" s="39"/>
      <c r="C169" s="39"/>
      <c r="D169" s="39"/>
      <c r="E169" s="39"/>
      <c r="F169" s="39"/>
      <c r="G169" s="39"/>
      <c r="H169" s="39"/>
      <c r="I169" s="39"/>
    </row>
    <row r="170" spans="1:9" x14ac:dyDescent="0.2">
      <c r="A170" s="39">
        <f t="shared" si="2"/>
        <v>137</v>
      </c>
      <c r="B170" s="39"/>
      <c r="C170" s="39"/>
      <c r="D170" s="39"/>
      <c r="E170" s="39"/>
      <c r="F170" s="39"/>
      <c r="G170" s="39"/>
      <c r="H170" s="39"/>
      <c r="I170" s="39"/>
    </row>
    <row r="171" spans="1:9" x14ac:dyDescent="0.2">
      <c r="A171" s="39">
        <f t="shared" si="2"/>
        <v>138</v>
      </c>
      <c r="B171" s="39"/>
      <c r="C171" s="39"/>
      <c r="D171" s="39"/>
      <c r="E171" s="39"/>
      <c r="F171" s="39"/>
      <c r="G171" s="39"/>
      <c r="H171" s="39"/>
      <c r="I171" s="39"/>
    </row>
    <row r="172" spans="1:9" x14ac:dyDescent="0.2">
      <c r="A172" s="39">
        <f t="shared" si="2"/>
        <v>139</v>
      </c>
      <c r="B172" s="39"/>
      <c r="C172" s="39"/>
      <c r="D172" s="39"/>
      <c r="E172" s="39"/>
      <c r="F172" s="39"/>
      <c r="G172" s="39"/>
      <c r="H172" s="39"/>
      <c r="I172" s="39"/>
    </row>
    <row r="173" spans="1:9" x14ac:dyDescent="0.2">
      <c r="A173" s="39">
        <f t="shared" si="2"/>
        <v>140</v>
      </c>
      <c r="B173" s="39"/>
      <c r="C173" s="39"/>
      <c r="D173" s="39"/>
      <c r="E173" s="39"/>
      <c r="F173" s="39"/>
      <c r="G173" s="39"/>
      <c r="H173" s="39"/>
      <c r="I173" s="39"/>
    </row>
    <row r="174" spans="1:9" x14ac:dyDescent="0.2">
      <c r="A174" s="39">
        <f t="shared" si="2"/>
        <v>141</v>
      </c>
      <c r="B174" s="39"/>
      <c r="C174" s="39"/>
      <c r="D174" s="39"/>
      <c r="E174" s="39"/>
      <c r="F174" s="39"/>
      <c r="G174" s="39"/>
      <c r="H174" s="39"/>
      <c r="I174" s="39"/>
    </row>
    <row r="175" spans="1:9" x14ac:dyDescent="0.2">
      <c r="A175" s="39">
        <f t="shared" si="2"/>
        <v>142</v>
      </c>
      <c r="B175" s="39"/>
      <c r="C175" s="39"/>
      <c r="D175" s="39"/>
      <c r="E175" s="39"/>
      <c r="F175" s="39"/>
      <c r="G175" s="39"/>
      <c r="H175" s="39"/>
      <c r="I175" s="39"/>
    </row>
    <row r="176" spans="1:9" x14ac:dyDescent="0.2">
      <c r="A176" s="39">
        <f t="shared" si="2"/>
        <v>143</v>
      </c>
      <c r="B176" s="39"/>
      <c r="C176" s="39"/>
      <c r="D176" s="39"/>
      <c r="E176" s="39"/>
      <c r="F176" s="39"/>
      <c r="G176" s="39"/>
      <c r="H176" s="39"/>
      <c r="I176" s="39"/>
    </row>
    <row r="177" spans="1:9" x14ac:dyDescent="0.2">
      <c r="A177" s="39">
        <f t="shared" si="2"/>
        <v>144</v>
      </c>
      <c r="B177" s="39"/>
      <c r="C177" s="39"/>
      <c r="D177" s="39"/>
      <c r="E177" s="39"/>
      <c r="F177" s="39"/>
      <c r="G177" s="39"/>
      <c r="H177" s="39"/>
      <c r="I177" s="39"/>
    </row>
    <row r="178" spans="1:9" x14ac:dyDescent="0.2">
      <c r="A178" s="39">
        <f t="shared" si="2"/>
        <v>145</v>
      </c>
      <c r="B178" s="39"/>
      <c r="C178" s="39"/>
      <c r="D178" s="39"/>
      <c r="E178" s="39"/>
      <c r="F178" s="39"/>
      <c r="G178" s="39"/>
      <c r="H178" s="39"/>
      <c r="I178" s="39"/>
    </row>
    <row r="179" spans="1:9" x14ac:dyDescent="0.2">
      <c r="A179" s="39">
        <f t="shared" si="2"/>
        <v>146</v>
      </c>
      <c r="B179" s="39"/>
      <c r="C179" s="39"/>
      <c r="D179" s="39"/>
      <c r="E179" s="39"/>
      <c r="F179" s="39"/>
      <c r="G179" s="39"/>
      <c r="H179" s="39"/>
      <c r="I179" s="39"/>
    </row>
    <row r="180" spans="1:9" x14ac:dyDescent="0.2">
      <c r="A180" s="39">
        <f t="shared" si="2"/>
        <v>147</v>
      </c>
      <c r="B180" s="39"/>
      <c r="C180" s="39"/>
      <c r="D180" s="39"/>
      <c r="E180" s="39"/>
      <c r="F180" s="39"/>
      <c r="G180" s="39"/>
      <c r="H180" s="39"/>
      <c r="I180" s="39"/>
    </row>
    <row r="181" spans="1:9" x14ac:dyDescent="0.2">
      <c r="A181" s="39">
        <f t="shared" si="2"/>
        <v>148</v>
      </c>
      <c r="B181" s="39"/>
      <c r="C181" s="39"/>
      <c r="D181" s="39"/>
      <c r="E181" s="39"/>
      <c r="F181" s="39"/>
      <c r="G181" s="39"/>
      <c r="H181" s="39"/>
      <c r="I181" s="39"/>
    </row>
    <row r="182" spans="1:9" x14ac:dyDescent="0.2">
      <c r="A182" s="39">
        <f t="shared" si="2"/>
        <v>149</v>
      </c>
      <c r="B182" s="39"/>
      <c r="C182" s="39"/>
      <c r="D182" s="39"/>
      <c r="E182" s="39"/>
      <c r="F182" s="39"/>
      <c r="G182" s="39"/>
      <c r="H182" s="39"/>
      <c r="I182" s="39"/>
    </row>
    <row r="183" spans="1:9" x14ac:dyDescent="0.2">
      <c r="A183" s="39">
        <f t="shared" si="2"/>
        <v>150</v>
      </c>
      <c r="B183" s="39"/>
      <c r="C183" s="39"/>
      <c r="D183" s="39"/>
      <c r="E183" s="39"/>
      <c r="F183" s="39"/>
      <c r="G183" s="39"/>
      <c r="H183" s="39"/>
      <c r="I183" s="39"/>
    </row>
    <row r="184" spans="1:9" x14ac:dyDescent="0.2">
      <c r="A184" s="39">
        <f t="shared" si="2"/>
        <v>151</v>
      </c>
      <c r="B184" s="39"/>
      <c r="C184" s="39"/>
      <c r="D184" s="39"/>
      <c r="E184" s="39"/>
      <c r="F184" s="39"/>
      <c r="G184" s="39"/>
      <c r="H184" s="39"/>
      <c r="I184" s="39"/>
    </row>
    <row r="185" spans="1:9" x14ac:dyDescent="0.2">
      <c r="A185" s="39">
        <f t="shared" si="2"/>
        <v>152</v>
      </c>
      <c r="B185" s="39"/>
      <c r="C185" s="39"/>
      <c r="D185" s="39"/>
      <c r="E185" s="39"/>
      <c r="F185" s="39"/>
      <c r="G185" s="39"/>
      <c r="H185" s="39"/>
      <c r="I185" s="39"/>
    </row>
    <row r="186" spans="1:9" x14ac:dyDescent="0.2">
      <c r="A186" s="39">
        <f t="shared" si="2"/>
        <v>153</v>
      </c>
      <c r="B186" s="39"/>
      <c r="C186" s="39"/>
      <c r="D186" s="39"/>
      <c r="E186" s="39"/>
      <c r="F186" s="39"/>
      <c r="G186" s="39"/>
      <c r="H186" s="39"/>
      <c r="I186" s="39"/>
    </row>
    <row r="187" spans="1:9" x14ac:dyDescent="0.2">
      <c r="A187" s="39">
        <f t="shared" si="2"/>
        <v>154</v>
      </c>
      <c r="B187" s="39"/>
      <c r="C187" s="39"/>
      <c r="D187" s="39"/>
      <c r="E187" s="39"/>
      <c r="F187" s="39"/>
      <c r="G187" s="39"/>
      <c r="H187" s="39"/>
      <c r="I187" s="39"/>
    </row>
    <row r="188" spans="1:9" x14ac:dyDescent="0.2">
      <c r="A188" s="39">
        <f t="shared" si="2"/>
        <v>155</v>
      </c>
      <c r="B188" s="39"/>
      <c r="C188" s="39"/>
      <c r="D188" s="39"/>
      <c r="E188" s="39"/>
      <c r="F188" s="39"/>
      <c r="G188" s="39"/>
      <c r="H188" s="39"/>
      <c r="I188" s="39"/>
    </row>
    <row r="189" spans="1:9" x14ac:dyDescent="0.2">
      <c r="A189" s="39">
        <f t="shared" si="2"/>
        <v>156</v>
      </c>
      <c r="B189" s="39"/>
      <c r="C189" s="39"/>
      <c r="D189" s="39"/>
      <c r="E189" s="39"/>
      <c r="F189" s="39"/>
      <c r="G189" s="39"/>
      <c r="H189" s="39"/>
      <c r="I189" s="39"/>
    </row>
    <row r="190" spans="1:9" x14ac:dyDescent="0.2">
      <c r="A190" s="39">
        <f t="shared" si="2"/>
        <v>157</v>
      </c>
      <c r="B190" s="39"/>
      <c r="C190" s="39"/>
      <c r="D190" s="39"/>
      <c r="E190" s="39"/>
      <c r="F190" s="39"/>
      <c r="G190" s="39"/>
      <c r="H190" s="39"/>
      <c r="I190" s="39"/>
    </row>
    <row r="191" spans="1:9" x14ac:dyDescent="0.2">
      <c r="A191" s="39">
        <f t="shared" si="2"/>
        <v>158</v>
      </c>
      <c r="B191" s="39"/>
      <c r="C191" s="39"/>
      <c r="D191" s="39"/>
      <c r="E191" s="39"/>
      <c r="F191" s="39"/>
      <c r="G191" s="39"/>
      <c r="H191" s="39"/>
      <c r="I191" s="39"/>
    </row>
    <row r="192" spans="1:9" x14ac:dyDescent="0.2">
      <c r="A192" s="39">
        <f t="shared" si="2"/>
        <v>159</v>
      </c>
      <c r="B192" s="39"/>
      <c r="C192" s="39"/>
      <c r="D192" s="39"/>
      <c r="E192" s="39"/>
      <c r="F192" s="39"/>
      <c r="G192" s="39"/>
      <c r="H192" s="39"/>
      <c r="I192" s="39"/>
    </row>
    <row r="193" spans="1:9" x14ac:dyDescent="0.2">
      <c r="A193" s="39">
        <f t="shared" si="2"/>
        <v>160</v>
      </c>
      <c r="B193" s="39"/>
      <c r="C193" s="39"/>
      <c r="D193" s="39"/>
      <c r="E193" s="39"/>
      <c r="F193" s="39"/>
      <c r="G193" s="39"/>
      <c r="H193" s="39"/>
      <c r="I193" s="39"/>
    </row>
    <row r="194" spans="1:9" x14ac:dyDescent="0.2">
      <c r="A194" s="39">
        <f t="shared" si="2"/>
        <v>161</v>
      </c>
      <c r="B194" s="39"/>
      <c r="C194" s="39"/>
      <c r="D194" s="39"/>
      <c r="E194" s="39"/>
      <c r="F194" s="39"/>
      <c r="G194" s="39"/>
      <c r="H194" s="39"/>
      <c r="I194" s="39"/>
    </row>
    <row r="195" spans="1:9" x14ac:dyDescent="0.2">
      <c r="A195" s="39">
        <f t="shared" si="2"/>
        <v>162</v>
      </c>
      <c r="B195" s="39"/>
      <c r="C195" s="39"/>
      <c r="D195" s="39"/>
      <c r="E195" s="39"/>
      <c r="F195" s="39"/>
      <c r="G195" s="39"/>
      <c r="H195" s="39"/>
      <c r="I195" s="39"/>
    </row>
    <row r="196" spans="1:9" x14ac:dyDescent="0.2">
      <c r="A196" s="39">
        <f t="shared" si="2"/>
        <v>163</v>
      </c>
      <c r="B196" s="39"/>
      <c r="C196" s="39"/>
      <c r="D196" s="39"/>
      <c r="E196" s="39"/>
      <c r="F196" s="39"/>
      <c r="G196" s="39"/>
      <c r="H196" s="39"/>
      <c r="I196" s="39"/>
    </row>
    <row r="197" spans="1:9" x14ac:dyDescent="0.2">
      <c r="A197" s="39">
        <f t="shared" si="2"/>
        <v>164</v>
      </c>
      <c r="B197" s="39"/>
      <c r="C197" s="39"/>
      <c r="D197" s="39"/>
      <c r="E197" s="39"/>
      <c r="F197" s="39"/>
      <c r="G197" s="39"/>
      <c r="H197" s="39"/>
      <c r="I197" s="39"/>
    </row>
    <row r="198" spans="1:9" x14ac:dyDescent="0.2">
      <c r="A198" s="39">
        <f t="shared" si="2"/>
        <v>165</v>
      </c>
      <c r="B198" s="39"/>
      <c r="C198" s="39"/>
      <c r="D198" s="39"/>
      <c r="E198" s="39"/>
      <c r="F198" s="39"/>
      <c r="G198" s="39"/>
      <c r="H198" s="39"/>
      <c r="I198" s="39"/>
    </row>
    <row r="199" spans="1:9" x14ac:dyDescent="0.2">
      <c r="A199" s="39">
        <f t="shared" si="2"/>
        <v>166</v>
      </c>
      <c r="B199" s="39"/>
      <c r="C199" s="39"/>
      <c r="D199" s="39"/>
      <c r="E199" s="39"/>
      <c r="F199" s="39"/>
      <c r="G199" s="39"/>
      <c r="H199" s="39"/>
      <c r="I199" s="39"/>
    </row>
    <row r="200" spans="1:9" x14ac:dyDescent="0.2">
      <c r="A200" s="39">
        <f t="shared" si="2"/>
        <v>167</v>
      </c>
      <c r="B200" s="39"/>
      <c r="C200" s="39"/>
      <c r="D200" s="39"/>
      <c r="E200" s="39"/>
      <c r="F200" s="39"/>
      <c r="G200" s="39"/>
      <c r="H200" s="39"/>
      <c r="I200" s="39"/>
    </row>
    <row r="201" spans="1:9" x14ac:dyDescent="0.2">
      <c r="A201" s="39">
        <f t="shared" si="2"/>
        <v>168</v>
      </c>
      <c r="B201" s="39"/>
      <c r="C201" s="39"/>
      <c r="D201" s="39"/>
      <c r="E201" s="39"/>
      <c r="F201" s="39"/>
      <c r="G201" s="39"/>
      <c r="H201" s="39"/>
      <c r="I201" s="39"/>
    </row>
    <row r="202" spans="1:9" x14ac:dyDescent="0.2">
      <c r="A202" s="39">
        <f t="shared" si="2"/>
        <v>169</v>
      </c>
      <c r="B202" s="39"/>
      <c r="C202" s="39"/>
      <c r="D202" s="39"/>
      <c r="E202" s="39"/>
      <c r="F202" s="39"/>
      <c r="G202" s="39"/>
      <c r="H202" s="39"/>
      <c r="I202" s="39"/>
    </row>
    <row r="203" spans="1:9" x14ac:dyDescent="0.2">
      <c r="A203" s="39">
        <f t="shared" si="2"/>
        <v>170</v>
      </c>
      <c r="B203" s="39"/>
      <c r="C203" s="39"/>
      <c r="D203" s="39"/>
      <c r="E203" s="39"/>
      <c r="F203" s="39"/>
      <c r="G203" s="39"/>
      <c r="H203" s="39"/>
      <c r="I203" s="39"/>
    </row>
    <row r="204" spans="1:9" x14ac:dyDescent="0.2">
      <c r="A204" s="39">
        <f t="shared" si="2"/>
        <v>171</v>
      </c>
      <c r="B204" s="39"/>
      <c r="C204" s="39"/>
      <c r="D204" s="39"/>
      <c r="E204" s="39"/>
      <c r="F204" s="39"/>
      <c r="G204" s="39"/>
      <c r="H204" s="39"/>
      <c r="I204" s="39"/>
    </row>
    <row r="205" spans="1:9" x14ac:dyDescent="0.2">
      <c r="A205" s="39">
        <f t="shared" si="2"/>
        <v>172</v>
      </c>
      <c r="B205" s="39"/>
      <c r="C205" s="39"/>
      <c r="D205" s="39"/>
      <c r="E205" s="39"/>
      <c r="F205" s="39"/>
      <c r="G205" s="39"/>
      <c r="H205" s="39"/>
      <c r="I205" s="39"/>
    </row>
    <row r="206" spans="1:9" x14ac:dyDescent="0.2">
      <c r="A206" s="39">
        <f t="shared" si="2"/>
        <v>173</v>
      </c>
      <c r="B206" s="39"/>
      <c r="C206" s="39"/>
      <c r="D206" s="39"/>
      <c r="E206" s="39"/>
      <c r="F206" s="39"/>
      <c r="G206" s="39"/>
      <c r="H206" s="39"/>
      <c r="I206" s="39"/>
    </row>
    <row r="207" spans="1:9" x14ac:dyDescent="0.2">
      <c r="A207" s="39">
        <f t="shared" si="2"/>
        <v>174</v>
      </c>
      <c r="B207" s="39"/>
      <c r="C207" s="39"/>
      <c r="D207" s="39"/>
      <c r="E207" s="39"/>
      <c r="F207" s="39"/>
      <c r="G207" s="39"/>
      <c r="H207" s="39"/>
      <c r="I207" s="39"/>
    </row>
    <row r="208" spans="1:9" x14ac:dyDescent="0.2">
      <c r="A208" s="39">
        <f t="shared" si="2"/>
        <v>175</v>
      </c>
      <c r="B208" s="39"/>
      <c r="C208" s="39"/>
      <c r="D208" s="39"/>
      <c r="E208" s="39"/>
      <c r="F208" s="39"/>
      <c r="G208" s="39"/>
      <c r="H208" s="39"/>
      <c r="I208" s="39"/>
    </row>
    <row r="209" spans="1:9" x14ac:dyDescent="0.2">
      <c r="A209" s="39">
        <f t="shared" si="2"/>
        <v>176</v>
      </c>
      <c r="B209" s="39"/>
      <c r="C209" s="39"/>
      <c r="D209" s="39"/>
      <c r="E209" s="39"/>
      <c r="F209" s="39"/>
      <c r="G209" s="39"/>
      <c r="H209" s="39"/>
      <c r="I209" s="39"/>
    </row>
    <row r="210" spans="1:9" x14ac:dyDescent="0.2">
      <c r="A210" s="39">
        <f t="shared" si="2"/>
        <v>177</v>
      </c>
      <c r="B210" s="39"/>
      <c r="C210" s="39"/>
      <c r="D210" s="39"/>
      <c r="E210" s="39"/>
      <c r="F210" s="39"/>
      <c r="G210" s="39"/>
      <c r="H210" s="39"/>
      <c r="I210" s="39"/>
    </row>
    <row r="211" spans="1:9" x14ac:dyDescent="0.2">
      <c r="A211" s="39">
        <f t="shared" si="2"/>
        <v>178</v>
      </c>
      <c r="B211" s="39"/>
      <c r="C211" s="39"/>
      <c r="D211" s="39"/>
      <c r="E211" s="39"/>
      <c r="F211" s="39"/>
      <c r="G211" s="39"/>
      <c r="H211" s="39"/>
      <c r="I211" s="39"/>
    </row>
    <row r="212" spans="1:9" x14ac:dyDescent="0.2">
      <c r="A212" s="39">
        <f t="shared" si="2"/>
        <v>179</v>
      </c>
      <c r="B212" s="39"/>
      <c r="C212" s="39"/>
      <c r="D212" s="39"/>
      <c r="E212" s="39"/>
      <c r="F212" s="39"/>
      <c r="G212" s="39"/>
      <c r="H212" s="39"/>
      <c r="I212" s="39"/>
    </row>
    <row r="213" spans="1:9" x14ac:dyDescent="0.2">
      <c r="A213" s="39">
        <f t="shared" si="2"/>
        <v>180</v>
      </c>
      <c r="B213" s="39"/>
      <c r="C213" s="39"/>
      <c r="D213" s="39"/>
      <c r="E213" s="39"/>
      <c r="F213" s="39"/>
      <c r="G213" s="39"/>
      <c r="H213" s="39"/>
      <c r="I213" s="39"/>
    </row>
  </sheetData>
  <mergeCells count="16">
    <mergeCell ref="B29:E29"/>
    <mergeCell ref="B30:E30"/>
    <mergeCell ref="B31:E31"/>
    <mergeCell ref="B21:E21"/>
    <mergeCell ref="A9:G15"/>
    <mergeCell ref="B18:E18"/>
    <mergeCell ref="B19:E19"/>
    <mergeCell ref="B17:E17"/>
    <mergeCell ref="B20:E20"/>
    <mergeCell ref="B28:E28"/>
    <mergeCell ref="B22:E22"/>
    <mergeCell ref="B23:E23"/>
    <mergeCell ref="B25:E25"/>
    <mergeCell ref="B24:E24"/>
    <mergeCell ref="B26:E26"/>
    <mergeCell ref="B27:E27"/>
  </mergeCells>
  <pageMargins left="0.25" right="0.25" top="0.75" bottom="0.75" header="0.3" footer="0.3"/>
  <pageSetup orientation="portrait" r:id="rId1"/>
  <headerFooter>
    <oddHeader xml:space="preserve">&amp;LRevision Military
Document No: F-96 Revision: 02&amp;CSubject: MCEPS Ballistic Data Recording 
&amp;REffective Date: 7/24/14
   </oddHeader>
    <oddFoote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X20"/>
  <sheetViews>
    <sheetView workbookViewId="0">
      <selection activeCell="E5" sqref="E5"/>
    </sheetView>
  </sheetViews>
  <sheetFormatPr defaultRowHeight="12.75" x14ac:dyDescent="0.2"/>
  <cols>
    <col min="1" max="2" width="9.140625" style="24"/>
    <col min="3" max="3" width="13.140625" style="24" customWidth="1"/>
    <col min="4" max="4" width="13.7109375" style="24" customWidth="1"/>
    <col min="5" max="5" width="12" style="24" customWidth="1"/>
    <col min="6" max="6" width="11.5703125" style="24" customWidth="1"/>
    <col min="7" max="12" width="9.140625" style="24"/>
    <col min="13" max="13" width="11.7109375" style="24" customWidth="1"/>
    <col min="14" max="14" width="12.7109375" style="24" customWidth="1"/>
    <col min="15" max="20" width="9.140625" style="24"/>
    <col min="21" max="21" width="11.5703125" style="24" customWidth="1"/>
    <col min="22" max="22" width="12" style="24" customWidth="1"/>
    <col min="23" max="16384" width="9.140625" style="24"/>
  </cols>
  <sheetData>
    <row r="1" spans="2:24" x14ac:dyDescent="0.2">
      <c r="B1" s="25" t="s">
        <v>0</v>
      </c>
      <c r="C1" s="46" t="s">
        <v>903</v>
      </c>
    </row>
    <row r="2" spans="2:24" x14ac:dyDescent="0.2">
      <c r="B2" s="25" t="s">
        <v>5</v>
      </c>
      <c r="C2" s="26"/>
    </row>
    <row r="3" spans="2:24" x14ac:dyDescent="0.2">
      <c r="B3" s="25" t="s">
        <v>53</v>
      </c>
      <c r="C3" s="26"/>
    </row>
    <row r="4" spans="2:24" x14ac:dyDescent="0.2">
      <c r="B4" s="25" t="s">
        <v>54</v>
      </c>
      <c r="C4" s="26" t="s">
        <v>906</v>
      </c>
    </row>
    <row r="5" spans="2:24" x14ac:dyDescent="0.2">
      <c r="B5" s="25" t="s">
        <v>55</v>
      </c>
      <c r="C5" s="26" t="s">
        <v>907</v>
      </c>
    </row>
    <row r="6" spans="2:24" x14ac:dyDescent="0.2">
      <c r="B6" s="25"/>
      <c r="C6" s="26"/>
    </row>
    <row r="7" spans="2:24" x14ac:dyDescent="0.2">
      <c r="B7" s="25" t="s">
        <v>1</v>
      </c>
      <c r="C7" s="24" t="s">
        <v>908</v>
      </c>
    </row>
    <row r="9" spans="2:24" x14ac:dyDescent="0.2">
      <c r="D9" s="24" t="s">
        <v>909</v>
      </c>
      <c r="L9" s="24" t="s">
        <v>910</v>
      </c>
      <c r="T9" s="24" t="s">
        <v>911</v>
      </c>
    </row>
    <row r="10" spans="2:24" ht="51" x14ac:dyDescent="0.2">
      <c r="B10" s="29" t="s">
        <v>2</v>
      </c>
      <c r="C10" s="29" t="s">
        <v>3</v>
      </c>
      <c r="D10" s="29" t="s">
        <v>4</v>
      </c>
      <c r="E10" s="29" t="s">
        <v>9</v>
      </c>
      <c r="F10" s="29" t="s">
        <v>10</v>
      </c>
      <c r="G10" s="29" t="s">
        <v>15</v>
      </c>
      <c r="H10" s="38" t="s">
        <v>895</v>
      </c>
      <c r="I10" s="88"/>
      <c r="J10" s="29" t="s">
        <v>2</v>
      </c>
      <c r="K10" s="29" t="s">
        <v>3</v>
      </c>
      <c r="L10" s="29" t="s">
        <v>4</v>
      </c>
      <c r="M10" s="29" t="s">
        <v>9</v>
      </c>
      <c r="N10" s="29" t="s">
        <v>10</v>
      </c>
      <c r="O10" s="29" t="s">
        <v>15</v>
      </c>
      <c r="P10" s="38" t="s">
        <v>895</v>
      </c>
      <c r="Q10" s="88"/>
      <c r="R10" s="29" t="s">
        <v>2</v>
      </c>
      <c r="S10" s="29" t="s">
        <v>3</v>
      </c>
      <c r="T10" s="29" t="s">
        <v>4</v>
      </c>
      <c r="U10" s="29" t="s">
        <v>9</v>
      </c>
      <c r="V10" s="29" t="s">
        <v>10</v>
      </c>
      <c r="W10" s="29" t="s">
        <v>15</v>
      </c>
      <c r="X10" s="38" t="s">
        <v>895</v>
      </c>
    </row>
    <row r="11" spans="2:24" x14ac:dyDescent="0.2">
      <c r="B11" s="39">
        <v>1</v>
      </c>
      <c r="C11" s="39"/>
      <c r="D11" s="39"/>
      <c r="E11" s="39"/>
      <c r="F11" s="39"/>
      <c r="G11" s="39"/>
      <c r="H11" s="39"/>
      <c r="I11" s="88"/>
      <c r="J11" s="39">
        <v>1</v>
      </c>
      <c r="K11" s="39"/>
      <c r="L11" s="39"/>
      <c r="M11" s="39"/>
      <c r="N11" s="39"/>
      <c r="O11" s="39"/>
      <c r="P11" s="39"/>
      <c r="Q11" s="88"/>
      <c r="R11" s="39">
        <v>1</v>
      </c>
      <c r="S11" s="39"/>
      <c r="T11" s="39"/>
      <c r="U11" s="39"/>
      <c r="V11" s="39"/>
      <c r="W11" s="39"/>
      <c r="X11" s="39"/>
    </row>
    <row r="12" spans="2:24" x14ac:dyDescent="0.2">
      <c r="B12" s="39">
        <f>B11+1</f>
        <v>2</v>
      </c>
      <c r="C12" s="39"/>
      <c r="D12" s="39"/>
      <c r="E12" s="39"/>
      <c r="F12" s="39"/>
      <c r="G12" s="39"/>
      <c r="H12" s="39"/>
      <c r="I12" s="88"/>
      <c r="J12" s="39">
        <f>J11+1</f>
        <v>2</v>
      </c>
      <c r="K12" s="39"/>
      <c r="L12" s="39"/>
      <c r="M12" s="39"/>
      <c r="N12" s="39"/>
      <c r="O12" s="39"/>
      <c r="P12" s="39"/>
      <c r="Q12" s="88"/>
      <c r="R12" s="39">
        <f>R11+1</f>
        <v>2</v>
      </c>
      <c r="S12" s="39"/>
      <c r="T12" s="39"/>
      <c r="U12" s="39"/>
      <c r="V12" s="39"/>
      <c r="W12" s="39"/>
      <c r="X12" s="39"/>
    </row>
    <row r="13" spans="2:24" x14ac:dyDescent="0.2">
      <c r="B13" s="39">
        <f t="shared" ref="B13:B20" si="0">B12+1</f>
        <v>3</v>
      </c>
      <c r="C13" s="39"/>
      <c r="D13" s="39"/>
      <c r="E13" s="39"/>
      <c r="F13" s="39"/>
      <c r="G13" s="39"/>
      <c r="H13" s="39"/>
      <c r="I13" s="88"/>
      <c r="J13" s="39">
        <f t="shared" ref="J13:J20" si="1">J12+1</f>
        <v>3</v>
      </c>
      <c r="K13" s="39"/>
      <c r="L13" s="39"/>
      <c r="M13" s="39"/>
      <c r="N13" s="39"/>
      <c r="O13" s="39"/>
      <c r="P13" s="39"/>
      <c r="Q13" s="88"/>
      <c r="R13" s="39">
        <f t="shared" ref="R13:R20" si="2">R12+1</f>
        <v>3</v>
      </c>
      <c r="S13" s="39"/>
      <c r="T13" s="39"/>
      <c r="U13" s="39"/>
      <c r="V13" s="39"/>
      <c r="W13" s="39"/>
      <c r="X13" s="39"/>
    </row>
    <row r="14" spans="2:24" x14ac:dyDescent="0.2">
      <c r="B14" s="39">
        <f t="shared" si="0"/>
        <v>4</v>
      </c>
      <c r="C14" s="39"/>
      <c r="D14" s="39"/>
      <c r="E14" s="39"/>
      <c r="F14" s="39"/>
      <c r="G14" s="39"/>
      <c r="H14" s="39"/>
      <c r="I14" s="88"/>
      <c r="J14" s="39">
        <f t="shared" si="1"/>
        <v>4</v>
      </c>
      <c r="K14" s="39"/>
      <c r="L14" s="39"/>
      <c r="M14" s="39"/>
      <c r="N14" s="39"/>
      <c r="O14" s="39"/>
      <c r="P14" s="39"/>
      <c r="Q14" s="88"/>
      <c r="R14" s="39">
        <f t="shared" si="2"/>
        <v>4</v>
      </c>
      <c r="S14" s="39"/>
      <c r="T14" s="39"/>
      <c r="U14" s="39"/>
      <c r="V14" s="39"/>
      <c r="W14" s="39"/>
      <c r="X14" s="39"/>
    </row>
    <row r="15" spans="2:24" x14ac:dyDescent="0.2">
      <c r="B15" s="39">
        <f t="shared" si="0"/>
        <v>5</v>
      </c>
      <c r="C15" s="39"/>
      <c r="D15" s="39"/>
      <c r="E15" s="39"/>
      <c r="F15" s="39"/>
      <c r="G15" s="39"/>
      <c r="H15" s="39"/>
      <c r="I15" s="88"/>
      <c r="J15" s="39">
        <f t="shared" si="1"/>
        <v>5</v>
      </c>
      <c r="K15" s="39"/>
      <c r="L15" s="39"/>
      <c r="M15" s="39"/>
      <c r="N15" s="39"/>
      <c r="O15" s="39"/>
      <c r="P15" s="39"/>
      <c r="Q15" s="88"/>
      <c r="R15" s="39">
        <f t="shared" si="2"/>
        <v>5</v>
      </c>
      <c r="S15" s="39"/>
      <c r="T15" s="39"/>
      <c r="U15" s="39"/>
      <c r="V15" s="39"/>
      <c r="W15" s="39"/>
      <c r="X15" s="39"/>
    </row>
    <row r="16" spans="2:24" x14ac:dyDescent="0.2">
      <c r="B16" s="39">
        <f t="shared" si="0"/>
        <v>6</v>
      </c>
      <c r="C16" s="39"/>
      <c r="D16" s="39"/>
      <c r="E16" s="39"/>
      <c r="F16" s="39"/>
      <c r="G16" s="39"/>
      <c r="H16" s="39"/>
      <c r="I16" s="88"/>
      <c r="J16" s="39">
        <f t="shared" si="1"/>
        <v>6</v>
      </c>
      <c r="K16" s="39"/>
      <c r="L16" s="39"/>
      <c r="M16" s="39"/>
      <c r="N16" s="39"/>
      <c r="O16" s="39"/>
      <c r="P16" s="39"/>
      <c r="Q16" s="88"/>
      <c r="R16" s="39">
        <f t="shared" si="2"/>
        <v>6</v>
      </c>
      <c r="S16" s="39"/>
      <c r="T16" s="39"/>
      <c r="U16" s="39"/>
      <c r="V16" s="39"/>
      <c r="W16" s="39"/>
      <c r="X16" s="39"/>
    </row>
    <row r="17" spans="2:24" x14ac:dyDescent="0.2">
      <c r="B17" s="39">
        <f t="shared" si="0"/>
        <v>7</v>
      </c>
      <c r="C17" s="39"/>
      <c r="D17" s="39"/>
      <c r="E17" s="39"/>
      <c r="F17" s="39"/>
      <c r="G17" s="39"/>
      <c r="H17" s="39"/>
      <c r="I17" s="88"/>
      <c r="J17" s="39">
        <f t="shared" si="1"/>
        <v>7</v>
      </c>
      <c r="K17" s="39"/>
      <c r="L17" s="39"/>
      <c r="M17" s="39"/>
      <c r="N17" s="39"/>
      <c r="O17" s="39"/>
      <c r="P17" s="39"/>
      <c r="Q17" s="88"/>
      <c r="R17" s="39">
        <f t="shared" si="2"/>
        <v>7</v>
      </c>
      <c r="S17" s="39"/>
      <c r="T17" s="39"/>
      <c r="U17" s="39"/>
      <c r="V17" s="39"/>
      <c r="W17" s="39"/>
      <c r="X17" s="39"/>
    </row>
    <row r="18" spans="2:24" x14ac:dyDescent="0.2">
      <c r="B18" s="39">
        <f t="shared" si="0"/>
        <v>8</v>
      </c>
      <c r="C18" s="39"/>
      <c r="D18" s="39"/>
      <c r="E18" s="39"/>
      <c r="F18" s="39"/>
      <c r="G18" s="39"/>
      <c r="H18" s="39"/>
      <c r="I18" s="88"/>
      <c r="J18" s="39">
        <f t="shared" si="1"/>
        <v>8</v>
      </c>
      <c r="K18" s="39"/>
      <c r="L18" s="39"/>
      <c r="M18" s="39"/>
      <c r="N18" s="39"/>
      <c r="O18" s="39"/>
      <c r="P18" s="39"/>
      <c r="Q18" s="88"/>
      <c r="R18" s="39">
        <f t="shared" si="2"/>
        <v>8</v>
      </c>
      <c r="S18" s="39"/>
      <c r="T18" s="39"/>
      <c r="U18" s="39"/>
      <c r="V18" s="39"/>
      <c r="W18" s="39"/>
      <c r="X18" s="39"/>
    </row>
    <row r="19" spans="2:24" x14ac:dyDescent="0.2">
      <c r="B19" s="39">
        <f t="shared" si="0"/>
        <v>9</v>
      </c>
      <c r="C19" s="39"/>
      <c r="D19" s="39"/>
      <c r="E19" s="39"/>
      <c r="F19" s="39"/>
      <c r="G19" s="39"/>
      <c r="H19" s="39"/>
      <c r="I19" s="88"/>
      <c r="J19" s="39">
        <f t="shared" si="1"/>
        <v>9</v>
      </c>
      <c r="K19" s="39"/>
      <c r="L19" s="39"/>
      <c r="M19" s="39"/>
      <c r="N19" s="39"/>
      <c r="O19" s="39"/>
      <c r="P19" s="39"/>
      <c r="Q19" s="88"/>
      <c r="R19" s="39">
        <f t="shared" si="2"/>
        <v>9</v>
      </c>
      <c r="S19" s="39"/>
      <c r="T19" s="39"/>
      <c r="U19" s="39"/>
      <c r="V19" s="39"/>
      <c r="W19" s="39"/>
      <c r="X19" s="39"/>
    </row>
    <row r="20" spans="2:24" x14ac:dyDescent="0.2">
      <c r="B20" s="39">
        <f t="shared" si="0"/>
        <v>10</v>
      </c>
      <c r="C20" s="39"/>
      <c r="D20" s="39"/>
      <c r="E20" s="39"/>
      <c r="F20" s="39"/>
      <c r="G20" s="39"/>
      <c r="H20" s="39"/>
      <c r="I20" s="88"/>
      <c r="J20" s="39">
        <f t="shared" si="1"/>
        <v>10</v>
      </c>
      <c r="K20" s="39"/>
      <c r="L20" s="39"/>
      <c r="M20" s="39"/>
      <c r="N20" s="39"/>
      <c r="O20" s="39"/>
      <c r="P20" s="39"/>
      <c r="Q20" s="88"/>
      <c r="R20" s="39">
        <f t="shared" si="2"/>
        <v>10</v>
      </c>
      <c r="S20" s="39"/>
      <c r="T20" s="39"/>
      <c r="U20" s="39"/>
      <c r="V20" s="39"/>
      <c r="W20" s="39"/>
      <c r="X20" s="39"/>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Q31"/>
  <sheetViews>
    <sheetView zoomScaleNormal="100" workbookViewId="0">
      <selection activeCell="C6" sqref="C6"/>
    </sheetView>
  </sheetViews>
  <sheetFormatPr defaultRowHeight="12.75" x14ac:dyDescent="0.2"/>
  <cols>
    <col min="1" max="1" width="7.42578125" style="89" customWidth="1"/>
    <col min="2" max="2" width="9.5703125" style="89" customWidth="1"/>
    <col min="3" max="3" width="8.85546875" style="89" customWidth="1"/>
    <col min="4" max="4" width="8.7109375" style="89" customWidth="1"/>
    <col min="5" max="5" width="12.140625" style="89" customWidth="1"/>
    <col min="6" max="6" width="16.28515625" style="89" customWidth="1"/>
    <col min="7" max="7" width="11.85546875" style="89" customWidth="1"/>
    <col min="8" max="8" width="8.140625" style="89" customWidth="1"/>
    <col min="9" max="9" width="10.85546875" style="89" customWidth="1"/>
    <col min="10" max="10" width="8.42578125" style="89" customWidth="1"/>
    <col min="11" max="11" width="13" style="89" customWidth="1"/>
    <col min="12" max="12" width="9.85546875" style="89" customWidth="1"/>
    <col min="13" max="13" width="17" style="89" customWidth="1"/>
    <col min="14" max="14" width="11" style="89" customWidth="1"/>
    <col min="15" max="15" width="12.140625" style="89" customWidth="1"/>
    <col min="16" max="16" width="9.42578125" style="89" customWidth="1"/>
    <col min="17" max="17" width="11.7109375" style="89" customWidth="1"/>
    <col min="18" max="18" width="5.140625" style="89" customWidth="1"/>
    <col min="19" max="19" width="8.85546875" style="89" customWidth="1"/>
    <col min="20" max="20" width="14.42578125" style="89" customWidth="1"/>
    <col min="21" max="21" width="7.42578125" style="89" customWidth="1"/>
    <col min="22" max="22" width="11.5703125" style="89" customWidth="1"/>
    <col min="23" max="23" width="2.7109375" style="89" customWidth="1"/>
    <col min="24" max="24" width="9.140625" style="89"/>
    <col min="25" max="25" width="14.7109375" style="89" customWidth="1"/>
    <col min="26" max="26" width="7.28515625" style="89" customWidth="1"/>
    <col min="27" max="27" width="11.85546875" style="89" customWidth="1"/>
    <col min="28" max="16384" width="9.140625" style="89"/>
  </cols>
  <sheetData>
    <row r="1" spans="1:17" ht="15" customHeight="1" x14ac:dyDescent="0.2">
      <c r="B1" s="90" t="s">
        <v>0</v>
      </c>
      <c r="C1" s="91" t="s">
        <v>903</v>
      </c>
    </row>
    <row r="2" spans="1:17" ht="15" customHeight="1" x14ac:dyDescent="0.2">
      <c r="B2" s="90" t="s">
        <v>5</v>
      </c>
      <c r="C2" s="91"/>
    </row>
    <row r="3" spans="1:17" ht="15" customHeight="1" x14ac:dyDescent="0.2">
      <c r="B3" s="90" t="s">
        <v>53</v>
      </c>
      <c r="C3" s="91"/>
    </row>
    <row r="4" spans="1:17" ht="15" customHeight="1" x14ac:dyDescent="0.2">
      <c r="B4" s="90" t="s">
        <v>54</v>
      </c>
      <c r="C4" s="91"/>
    </row>
    <row r="5" spans="1:17" ht="15" customHeight="1" x14ac:dyDescent="0.2">
      <c r="B5" s="90" t="s">
        <v>55</v>
      </c>
      <c r="C5" s="91" t="e">
        <f>VLOOKUP(C4,'Product List'!A2:F487,2,FALSE)</f>
        <v>#N/A</v>
      </c>
    </row>
    <row r="6" spans="1:17" ht="15" customHeight="1" x14ac:dyDescent="0.2">
      <c r="B6" s="90"/>
      <c r="C6" s="91"/>
    </row>
    <row r="7" spans="1:17" ht="15" customHeight="1" x14ac:dyDescent="0.2">
      <c r="B7" s="90" t="s">
        <v>1</v>
      </c>
      <c r="C7" s="89" t="s">
        <v>946</v>
      </c>
      <c r="F7" s="89" t="s">
        <v>947</v>
      </c>
    </row>
    <row r="8" spans="1:17" ht="15" customHeight="1" x14ac:dyDescent="0.2">
      <c r="A8" s="90"/>
      <c r="B8" s="90" t="s">
        <v>948</v>
      </c>
      <c r="C8" s="89" t="s">
        <v>949</v>
      </c>
      <c r="F8" s="90" t="s">
        <v>950</v>
      </c>
      <c r="G8" s="89" t="s">
        <v>951</v>
      </c>
      <c r="I8" s="90"/>
    </row>
    <row r="9" spans="1:17" ht="15" customHeight="1" x14ac:dyDescent="0.2">
      <c r="A9" s="90"/>
      <c r="B9" s="90"/>
      <c r="C9" s="92" t="s">
        <v>952</v>
      </c>
      <c r="F9" s="90" t="s">
        <v>953</v>
      </c>
      <c r="G9" s="89" t="s">
        <v>954</v>
      </c>
    </row>
    <row r="10" spans="1:17" ht="15" customHeight="1" x14ac:dyDescent="0.2">
      <c r="A10" s="93"/>
      <c r="B10" s="93"/>
      <c r="C10" s="93"/>
      <c r="D10" s="93"/>
      <c r="E10" s="93"/>
      <c r="F10" s="93"/>
      <c r="G10" s="93"/>
      <c r="H10" s="94"/>
      <c r="I10" s="94"/>
      <c r="J10" s="94"/>
      <c r="K10" s="94"/>
      <c r="L10" s="94"/>
      <c r="M10" s="94"/>
    </row>
    <row r="11" spans="1:17" ht="15" customHeight="1" x14ac:dyDescent="0.2">
      <c r="A11" s="95"/>
      <c r="B11" s="135" t="s">
        <v>955</v>
      </c>
      <c r="C11" s="135"/>
      <c r="D11" s="135"/>
      <c r="E11" s="135"/>
      <c r="F11" s="135"/>
      <c r="G11" s="135"/>
      <c r="H11" s="135" t="s">
        <v>956</v>
      </c>
      <c r="I11" s="135"/>
      <c r="J11" s="135"/>
      <c r="K11" s="135"/>
      <c r="L11" s="135"/>
      <c r="M11" s="135"/>
      <c r="N11" s="95"/>
      <c r="O11" s="96"/>
      <c r="P11" s="96"/>
      <c r="Q11" s="96"/>
    </row>
    <row r="12" spans="1:17" ht="45.75" customHeight="1" x14ac:dyDescent="0.2">
      <c r="A12" s="29" t="s">
        <v>2</v>
      </c>
      <c r="B12" s="29" t="s">
        <v>957</v>
      </c>
      <c r="C12" s="29" t="s">
        <v>958</v>
      </c>
      <c r="D12" s="29" t="s">
        <v>959</v>
      </c>
      <c r="E12" s="29" t="s">
        <v>960</v>
      </c>
      <c r="F12" s="29" t="s">
        <v>961</v>
      </c>
      <c r="G12" s="29" t="s">
        <v>962</v>
      </c>
      <c r="H12" s="29" t="s">
        <v>963</v>
      </c>
      <c r="I12" s="29" t="s">
        <v>958</v>
      </c>
      <c r="J12" s="29" t="s">
        <v>959</v>
      </c>
      <c r="K12" s="29" t="s">
        <v>960</v>
      </c>
      <c r="L12" s="29" t="s">
        <v>964</v>
      </c>
      <c r="M12" s="29" t="s">
        <v>965</v>
      </c>
      <c r="N12" s="38" t="s">
        <v>15</v>
      </c>
    </row>
    <row r="13" spans="1:17" ht="15" customHeight="1" x14ac:dyDescent="0.2">
      <c r="A13" s="97">
        <v>1</v>
      </c>
      <c r="B13" s="97"/>
      <c r="C13" s="97"/>
      <c r="D13" s="97"/>
      <c r="E13" s="97"/>
      <c r="F13" s="98"/>
      <c r="G13" s="98"/>
      <c r="H13" s="98"/>
      <c r="I13" s="98"/>
      <c r="J13" s="98"/>
      <c r="K13" s="98"/>
      <c r="L13" s="98"/>
      <c r="M13" s="98"/>
      <c r="N13" s="98"/>
    </row>
    <row r="14" spans="1:17" ht="15" customHeight="1" x14ac:dyDescent="0.2">
      <c r="A14" s="97">
        <v>2</v>
      </c>
      <c r="B14" s="97"/>
      <c r="C14" s="97"/>
      <c r="D14" s="97"/>
      <c r="E14" s="97"/>
      <c r="F14" s="98"/>
      <c r="G14" s="98"/>
      <c r="H14" s="98"/>
      <c r="I14" s="98"/>
      <c r="J14" s="98"/>
      <c r="K14" s="98"/>
      <c r="L14" s="98"/>
      <c r="M14" s="98"/>
      <c r="N14" s="98"/>
    </row>
    <row r="15" spans="1:17" ht="15" customHeight="1" x14ac:dyDescent="0.2">
      <c r="A15" s="97">
        <v>3</v>
      </c>
      <c r="B15" s="97"/>
      <c r="C15" s="97"/>
      <c r="D15" s="97"/>
      <c r="E15" s="97"/>
      <c r="F15" s="98"/>
      <c r="G15" s="98"/>
      <c r="H15" s="98"/>
      <c r="I15" s="98"/>
      <c r="J15" s="98"/>
      <c r="K15" s="98"/>
      <c r="L15" s="98"/>
      <c r="M15" s="98"/>
      <c r="N15" s="98"/>
    </row>
    <row r="16" spans="1:17" ht="15" customHeight="1" x14ac:dyDescent="0.2">
      <c r="A16" s="97">
        <v>4</v>
      </c>
      <c r="B16" s="97"/>
      <c r="C16" s="97"/>
      <c r="D16" s="97"/>
      <c r="E16" s="97"/>
      <c r="F16" s="98"/>
      <c r="G16" s="98"/>
      <c r="H16" s="98"/>
      <c r="I16" s="98"/>
      <c r="J16" s="98"/>
      <c r="K16" s="98"/>
      <c r="L16" s="98"/>
      <c r="M16" s="98"/>
      <c r="N16" s="98"/>
    </row>
    <row r="17" spans="1:17" ht="15" customHeight="1" x14ac:dyDescent="0.2">
      <c r="A17" s="99">
        <v>5</v>
      </c>
      <c r="B17" s="98"/>
      <c r="C17" s="98"/>
      <c r="D17" s="98"/>
      <c r="E17" s="98"/>
      <c r="F17" s="98"/>
      <c r="G17" s="98"/>
      <c r="H17" s="98"/>
      <c r="I17" s="98"/>
      <c r="J17" s="98"/>
      <c r="K17" s="98"/>
      <c r="L17" s="98"/>
      <c r="M17" s="98"/>
      <c r="N17" s="98"/>
    </row>
    <row r="18" spans="1:17" ht="15" customHeight="1" x14ac:dyDescent="0.2">
      <c r="A18" s="99">
        <v>6</v>
      </c>
      <c r="B18" s="98"/>
      <c r="C18" s="98"/>
      <c r="D18" s="98"/>
      <c r="E18" s="98"/>
      <c r="F18" s="98"/>
      <c r="G18" s="98"/>
      <c r="H18" s="98"/>
      <c r="I18" s="98"/>
      <c r="J18" s="98"/>
      <c r="K18" s="98"/>
      <c r="L18" s="98"/>
      <c r="M18" s="98"/>
      <c r="N18" s="98"/>
    </row>
    <row r="20" spans="1:17" x14ac:dyDescent="0.2">
      <c r="B20" s="90" t="s">
        <v>1</v>
      </c>
      <c r="C20" s="89" t="s">
        <v>966</v>
      </c>
      <c r="F20" s="90" t="s">
        <v>967</v>
      </c>
      <c r="G20" s="100">
        <v>8.17</v>
      </c>
    </row>
    <row r="21" spans="1:17" x14ac:dyDescent="0.2">
      <c r="A21" s="90"/>
      <c r="B21" s="90" t="s">
        <v>948</v>
      </c>
      <c r="C21" s="89" t="s">
        <v>968</v>
      </c>
      <c r="F21" s="90" t="s">
        <v>950</v>
      </c>
      <c r="G21" s="89" t="s">
        <v>951</v>
      </c>
      <c r="I21" s="90"/>
      <c r="J21" s="101"/>
    </row>
    <row r="22" spans="1:17" x14ac:dyDescent="0.2">
      <c r="A22" s="90"/>
      <c r="B22" s="90"/>
      <c r="C22" s="92" t="s">
        <v>952</v>
      </c>
      <c r="F22" s="90" t="s">
        <v>953</v>
      </c>
      <c r="G22" s="101" t="s">
        <v>969</v>
      </c>
    </row>
    <row r="23" spans="1:17" x14ac:dyDescent="0.2">
      <c r="A23" s="93"/>
      <c r="B23" s="93"/>
      <c r="C23" s="93"/>
      <c r="D23" s="93"/>
      <c r="E23" s="93"/>
      <c r="F23" s="93"/>
      <c r="G23" s="93"/>
      <c r="H23" s="94"/>
      <c r="I23" s="94"/>
      <c r="J23" s="94"/>
      <c r="K23" s="94"/>
      <c r="L23" s="94"/>
      <c r="M23" s="94"/>
    </row>
    <row r="24" spans="1:17" ht="15" customHeight="1" x14ac:dyDescent="0.2">
      <c r="A24" s="93"/>
      <c r="B24" s="136" t="s">
        <v>955</v>
      </c>
      <c r="C24" s="136"/>
      <c r="D24" s="136"/>
      <c r="E24" s="136"/>
      <c r="F24" s="136"/>
      <c r="G24" s="136"/>
      <c r="H24" s="136" t="s">
        <v>956</v>
      </c>
      <c r="I24" s="136"/>
      <c r="J24" s="136"/>
      <c r="K24" s="136"/>
      <c r="L24" s="136"/>
      <c r="M24" s="136"/>
      <c r="N24" s="94"/>
      <c r="O24" s="94"/>
      <c r="P24" s="94"/>
      <c r="Q24" s="94"/>
    </row>
    <row r="25" spans="1:17" ht="60.75" customHeight="1" x14ac:dyDescent="0.2">
      <c r="A25" s="102" t="s">
        <v>2</v>
      </c>
      <c r="B25" s="103" t="s">
        <v>970</v>
      </c>
      <c r="C25" s="103" t="s">
        <v>971</v>
      </c>
      <c r="D25" s="103" t="s">
        <v>972</v>
      </c>
      <c r="E25" s="103" t="s">
        <v>973</v>
      </c>
      <c r="F25" s="103" t="s">
        <v>974</v>
      </c>
      <c r="G25" s="103" t="s">
        <v>975</v>
      </c>
      <c r="H25" s="103" t="s">
        <v>970</v>
      </c>
      <c r="I25" s="103" t="s">
        <v>971</v>
      </c>
      <c r="J25" s="103" t="s">
        <v>972</v>
      </c>
      <c r="K25" s="103" t="s">
        <v>973</v>
      </c>
      <c r="L25" s="103" t="s">
        <v>974</v>
      </c>
      <c r="M25" s="103" t="s">
        <v>975</v>
      </c>
      <c r="N25" s="38" t="s">
        <v>15</v>
      </c>
    </row>
    <row r="26" spans="1:17" x14ac:dyDescent="0.2">
      <c r="A26" s="104">
        <v>1</v>
      </c>
      <c r="B26" s="97"/>
      <c r="C26" s="97"/>
      <c r="D26" s="97"/>
      <c r="E26" s="98"/>
      <c r="F26" s="98"/>
      <c r="G26" s="98"/>
      <c r="H26" s="98"/>
      <c r="I26" s="98"/>
      <c r="J26" s="98"/>
      <c r="K26" s="98"/>
      <c r="L26" s="98"/>
      <c r="M26" s="98"/>
      <c r="N26" s="98"/>
    </row>
    <row r="27" spans="1:17" x14ac:dyDescent="0.2">
      <c r="A27" s="104">
        <v>2</v>
      </c>
      <c r="B27" s="97"/>
      <c r="C27" s="97"/>
      <c r="D27" s="97"/>
      <c r="E27" s="98"/>
      <c r="F27" s="98"/>
      <c r="G27" s="98"/>
      <c r="H27" s="98"/>
      <c r="I27" s="98"/>
      <c r="J27" s="98"/>
      <c r="K27" s="98"/>
      <c r="L27" s="98"/>
      <c r="M27" s="98"/>
      <c r="N27" s="98"/>
    </row>
    <row r="28" spans="1:17" x14ac:dyDescent="0.2">
      <c r="A28" s="104">
        <v>3</v>
      </c>
      <c r="B28" s="97"/>
      <c r="C28" s="97"/>
      <c r="D28" s="97"/>
      <c r="E28" s="98"/>
      <c r="F28" s="98"/>
      <c r="G28" s="98"/>
      <c r="H28" s="98"/>
      <c r="I28" s="98"/>
      <c r="J28" s="98"/>
      <c r="K28" s="98"/>
      <c r="L28" s="98"/>
      <c r="M28" s="98"/>
      <c r="N28" s="98"/>
    </row>
    <row r="29" spans="1:17" x14ac:dyDescent="0.2">
      <c r="A29" s="104">
        <v>4</v>
      </c>
      <c r="B29" s="97"/>
      <c r="C29" s="97"/>
      <c r="D29" s="97"/>
      <c r="E29" s="98"/>
      <c r="F29" s="98"/>
      <c r="G29" s="98"/>
      <c r="H29" s="98"/>
      <c r="I29" s="98"/>
      <c r="J29" s="98"/>
      <c r="K29" s="98"/>
      <c r="L29" s="98"/>
      <c r="M29" s="98"/>
      <c r="N29" s="98"/>
    </row>
    <row r="30" spans="1:17" x14ac:dyDescent="0.2">
      <c r="A30" s="105">
        <v>5</v>
      </c>
      <c r="B30" s="98"/>
      <c r="C30" s="98"/>
      <c r="D30" s="98"/>
      <c r="E30" s="98"/>
      <c r="F30" s="98"/>
      <c r="G30" s="98"/>
      <c r="H30" s="98"/>
      <c r="I30" s="98"/>
      <c r="J30" s="98"/>
      <c r="K30" s="98"/>
      <c r="L30" s="98"/>
      <c r="M30" s="98"/>
      <c r="N30" s="98"/>
    </row>
    <row r="31" spans="1:17" x14ac:dyDescent="0.2">
      <c r="A31" s="105">
        <v>6</v>
      </c>
      <c r="B31" s="98"/>
      <c r="C31" s="98"/>
      <c r="D31" s="98"/>
      <c r="E31" s="98"/>
      <c r="F31" s="98"/>
      <c r="G31" s="98"/>
      <c r="H31" s="98"/>
      <c r="I31" s="98"/>
      <c r="J31" s="98"/>
      <c r="K31" s="98"/>
      <c r="L31" s="98"/>
      <c r="M31" s="98"/>
      <c r="N31" s="98"/>
    </row>
  </sheetData>
  <mergeCells count="4">
    <mergeCell ref="B11:G11"/>
    <mergeCell ref="H11:M11"/>
    <mergeCell ref="B24:G24"/>
    <mergeCell ref="H24:M24"/>
  </mergeCells>
  <pageMargins left="0.25" right="0.25" top="0.75" bottom="0.75" header="0.3" footer="0.3"/>
  <pageSetup orientation="landscape" r:id="rId1"/>
  <headerFooter>
    <oddHeader xml:space="preserve">&amp;LRevision Military
&amp;CSubject: ANSI Z87.1 &amp; NFPA 1971 Ballistic Impacts
&amp;REffective Date: 7/21/14
   </oddHeader>
    <oddFooter>Page &amp;P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U99"/>
  <sheetViews>
    <sheetView workbookViewId="0">
      <selection activeCell="G8" sqref="G8"/>
    </sheetView>
  </sheetViews>
  <sheetFormatPr defaultRowHeight="12.75" x14ac:dyDescent="0.2"/>
  <cols>
    <col min="1" max="2" width="20.7109375" style="48" customWidth="1"/>
    <col min="3" max="3" width="17.28515625" style="48" customWidth="1"/>
    <col min="4" max="4" width="20.7109375" style="48" customWidth="1"/>
    <col min="5" max="5" width="17" style="48" customWidth="1"/>
    <col min="6" max="6" width="6.7109375" style="48" customWidth="1"/>
    <col min="7" max="7" width="15.7109375" style="48" customWidth="1"/>
    <col min="8" max="8" width="22" style="48" customWidth="1"/>
    <col min="9" max="10" width="18.7109375" style="48" customWidth="1"/>
    <col min="11" max="16384" width="9.140625" style="48"/>
  </cols>
  <sheetData>
    <row r="1" spans="1:8" x14ac:dyDescent="0.2">
      <c r="A1" s="47" t="s">
        <v>912</v>
      </c>
      <c r="B1" s="48" t="s">
        <v>913</v>
      </c>
    </row>
    <row r="2" spans="1:8" x14ac:dyDescent="0.2">
      <c r="A2" s="47" t="s">
        <v>914</v>
      </c>
      <c r="B2" s="48" t="s">
        <v>915</v>
      </c>
      <c r="D2" s="47"/>
      <c r="E2" s="49"/>
    </row>
    <row r="3" spans="1:8" x14ac:dyDescent="0.2">
      <c r="A3" s="47" t="s">
        <v>916</v>
      </c>
      <c r="B3" s="48" t="s">
        <v>29</v>
      </c>
      <c r="D3" s="47"/>
      <c r="E3" s="49"/>
      <c r="F3" s="50"/>
      <c r="G3" s="51"/>
    </row>
    <row r="4" spans="1:8" ht="13.5" thickBot="1" x14ac:dyDescent="0.25">
      <c r="A4" s="47" t="s">
        <v>917</v>
      </c>
      <c r="B4" s="48" t="s">
        <v>29</v>
      </c>
      <c r="D4" s="52"/>
      <c r="E4" s="53"/>
      <c r="F4" s="50"/>
      <c r="G4" s="51"/>
    </row>
    <row r="5" spans="1:8" x14ac:dyDescent="0.2">
      <c r="A5" s="47" t="s">
        <v>918</v>
      </c>
      <c r="B5" s="83"/>
      <c r="D5" s="84" t="s">
        <v>919</v>
      </c>
      <c r="E5" s="54" t="e">
        <f>C51</f>
        <v>#DIV/0!</v>
      </c>
      <c r="F5" s="55"/>
      <c r="G5" s="56"/>
    </row>
    <row r="6" spans="1:8" ht="13.5" thickBot="1" x14ac:dyDescent="0.25">
      <c r="A6" s="47" t="s">
        <v>0</v>
      </c>
      <c r="B6" s="55"/>
      <c r="C6" s="50"/>
      <c r="D6" s="85" t="s">
        <v>920</v>
      </c>
      <c r="E6" s="57">
        <f>C52</f>
        <v>0</v>
      </c>
      <c r="F6" s="50"/>
      <c r="G6" s="51"/>
    </row>
    <row r="7" spans="1:8" x14ac:dyDescent="0.2">
      <c r="A7" s="47" t="s">
        <v>5</v>
      </c>
      <c r="C7" s="50"/>
      <c r="D7" s="47"/>
      <c r="E7" s="58"/>
      <c r="F7" s="50"/>
      <c r="G7" s="51"/>
    </row>
    <row r="8" spans="1:8" x14ac:dyDescent="0.2">
      <c r="A8" s="59" t="s">
        <v>921</v>
      </c>
      <c r="B8" s="60"/>
      <c r="C8" s="60"/>
      <c r="D8" s="61"/>
      <c r="F8" s="62"/>
      <c r="G8" s="62"/>
    </row>
    <row r="9" spans="1:8" x14ac:dyDescent="0.2">
      <c r="A9" s="59" t="s">
        <v>922</v>
      </c>
      <c r="B9" s="60" t="s">
        <v>923</v>
      </c>
      <c r="C9" s="60"/>
      <c r="D9" s="61"/>
      <c r="F9" s="62"/>
      <c r="G9" s="62"/>
    </row>
    <row r="10" spans="1:8" x14ac:dyDescent="0.2">
      <c r="A10" s="59" t="s">
        <v>924</v>
      </c>
      <c r="B10" s="60" t="s">
        <v>925</v>
      </c>
      <c r="C10" s="60"/>
      <c r="D10" s="61"/>
      <c r="F10" s="62"/>
      <c r="G10" s="62"/>
    </row>
    <row r="11" spans="1:8" x14ac:dyDescent="0.2">
      <c r="A11" s="50"/>
    </row>
    <row r="12" spans="1:8" x14ac:dyDescent="0.2">
      <c r="A12" s="63" t="s">
        <v>926</v>
      </c>
      <c r="B12" s="63" t="s">
        <v>927</v>
      </c>
      <c r="C12" s="63" t="s">
        <v>928</v>
      </c>
      <c r="D12" s="63" t="s">
        <v>929</v>
      </c>
      <c r="E12" s="63" t="s">
        <v>928</v>
      </c>
      <c r="G12" s="64" t="s">
        <v>930</v>
      </c>
      <c r="H12" s="65" t="s">
        <v>931</v>
      </c>
    </row>
    <row r="13" spans="1:8" x14ac:dyDescent="0.2">
      <c r="A13" s="64"/>
      <c r="B13" s="64"/>
      <c r="C13" s="66"/>
      <c r="D13" s="64"/>
      <c r="E13" s="64"/>
      <c r="G13" s="64" t="s">
        <v>932</v>
      </c>
      <c r="H13" s="65" t="s">
        <v>933</v>
      </c>
    </row>
    <row r="14" spans="1:8" x14ac:dyDescent="0.2">
      <c r="A14" s="64"/>
      <c r="B14" s="64"/>
      <c r="C14" s="66"/>
      <c r="D14" s="64"/>
      <c r="E14" s="64"/>
      <c r="G14" s="66" t="s">
        <v>35</v>
      </c>
      <c r="H14" s="65" t="s">
        <v>934</v>
      </c>
    </row>
    <row r="15" spans="1:8" x14ac:dyDescent="0.2">
      <c r="A15" s="64"/>
      <c r="B15" s="64"/>
      <c r="C15" s="66"/>
      <c r="D15" s="64"/>
      <c r="E15" s="64"/>
      <c r="G15" s="67"/>
      <c r="H15" s="58"/>
    </row>
    <row r="16" spans="1:8" x14ac:dyDescent="0.2">
      <c r="A16" s="64"/>
      <c r="B16" s="64"/>
      <c r="C16" s="66"/>
      <c r="D16" s="64"/>
      <c r="E16" s="64"/>
      <c r="G16" s="67"/>
      <c r="H16" s="58"/>
    </row>
    <row r="17" spans="1:21" x14ac:dyDescent="0.2">
      <c r="A17" s="64"/>
      <c r="B17" s="64"/>
      <c r="C17" s="66"/>
      <c r="D17" s="64"/>
      <c r="E17" s="64"/>
      <c r="G17" s="67"/>
      <c r="H17" s="58"/>
      <c r="I17" s="58"/>
      <c r="J17" s="58"/>
      <c r="K17" s="58"/>
      <c r="L17" s="58"/>
      <c r="M17" s="58"/>
      <c r="N17" s="58"/>
      <c r="O17" s="58"/>
      <c r="P17" s="58"/>
      <c r="Q17" s="58"/>
      <c r="R17" s="58"/>
      <c r="S17" s="58"/>
      <c r="T17" s="58"/>
      <c r="U17" s="58"/>
    </row>
    <row r="18" spans="1:21" x14ac:dyDescent="0.2">
      <c r="A18" s="64"/>
      <c r="B18" s="64"/>
      <c r="C18" s="66"/>
      <c r="D18" s="64"/>
      <c r="E18" s="64"/>
      <c r="G18" s="67"/>
      <c r="H18" s="58"/>
      <c r="I18" s="58"/>
      <c r="J18" s="68"/>
      <c r="K18" s="58"/>
      <c r="L18" s="58"/>
      <c r="M18" s="58"/>
      <c r="N18" s="58"/>
      <c r="O18" s="58"/>
      <c r="P18" s="58"/>
      <c r="Q18" s="58"/>
      <c r="R18" s="67"/>
      <c r="S18" s="58"/>
      <c r="T18" s="58"/>
      <c r="U18" s="58"/>
    </row>
    <row r="19" spans="1:21" x14ac:dyDescent="0.2">
      <c r="A19" s="64"/>
      <c r="B19" s="64"/>
      <c r="C19" s="66"/>
      <c r="D19" s="64"/>
      <c r="E19" s="64"/>
      <c r="G19" s="67"/>
      <c r="H19" s="58"/>
      <c r="I19" s="58"/>
      <c r="J19" s="58"/>
      <c r="K19" s="58"/>
      <c r="L19" s="58"/>
      <c r="M19" s="58"/>
      <c r="N19" s="58"/>
      <c r="O19" s="58"/>
      <c r="P19" s="58"/>
      <c r="Q19" s="58"/>
      <c r="R19" s="58"/>
      <c r="S19" s="58"/>
      <c r="T19" s="58"/>
      <c r="U19" s="58"/>
    </row>
    <row r="20" spans="1:21" x14ac:dyDescent="0.2">
      <c r="A20" s="64"/>
      <c r="B20" s="64"/>
      <c r="C20" s="66"/>
      <c r="D20" s="64"/>
      <c r="E20" s="64"/>
      <c r="G20" s="67"/>
      <c r="H20" s="58"/>
      <c r="I20" s="58"/>
      <c r="J20" s="58"/>
      <c r="K20" s="58"/>
      <c r="L20" s="58"/>
      <c r="M20" s="58"/>
      <c r="N20" s="58"/>
      <c r="O20" s="58"/>
      <c r="P20" s="58"/>
      <c r="Q20" s="58"/>
      <c r="R20" s="58"/>
      <c r="S20" s="58"/>
      <c r="T20" s="58"/>
      <c r="U20" s="58"/>
    </row>
    <row r="21" spans="1:21" x14ac:dyDescent="0.2">
      <c r="A21" s="64"/>
      <c r="B21" s="64"/>
      <c r="C21" s="66"/>
      <c r="D21" s="64"/>
      <c r="E21" s="64"/>
      <c r="G21" s="67"/>
      <c r="H21" s="58"/>
      <c r="I21" s="58"/>
      <c r="J21" s="58"/>
      <c r="K21" s="58"/>
      <c r="L21" s="58"/>
      <c r="M21" s="58"/>
      <c r="N21" s="58"/>
      <c r="O21" s="58"/>
      <c r="P21" s="58"/>
      <c r="Q21" s="58"/>
      <c r="R21" s="58"/>
      <c r="S21" s="58"/>
      <c r="T21" s="58"/>
      <c r="U21" s="58"/>
    </row>
    <row r="22" spans="1:21" x14ac:dyDescent="0.2">
      <c r="A22" s="64"/>
      <c r="B22" s="64"/>
      <c r="C22" s="66"/>
      <c r="D22" s="64"/>
      <c r="E22" s="64"/>
      <c r="G22" s="67"/>
      <c r="H22" s="58"/>
      <c r="I22" s="58"/>
      <c r="J22" s="58"/>
      <c r="K22" s="58"/>
      <c r="L22" s="58"/>
      <c r="M22" s="58"/>
      <c r="N22" s="58"/>
      <c r="O22" s="58"/>
      <c r="P22" s="58"/>
      <c r="Q22" s="58"/>
      <c r="R22" s="58"/>
      <c r="S22" s="58"/>
      <c r="T22" s="58"/>
      <c r="U22" s="58"/>
    </row>
    <row r="23" spans="1:21" x14ac:dyDescent="0.2">
      <c r="A23" s="64"/>
      <c r="B23" s="64"/>
      <c r="C23" s="64"/>
      <c r="D23" s="64"/>
      <c r="E23" s="64"/>
      <c r="I23" s="58"/>
      <c r="J23" s="58"/>
      <c r="K23" s="58"/>
      <c r="L23" s="58"/>
      <c r="M23" s="58"/>
      <c r="N23" s="58"/>
      <c r="O23" s="58"/>
      <c r="P23" s="58"/>
      <c r="Q23" s="58"/>
      <c r="R23" s="58"/>
      <c r="S23" s="58"/>
      <c r="T23" s="58"/>
      <c r="U23" s="58"/>
    </row>
    <row r="24" spans="1:21" x14ac:dyDescent="0.2">
      <c r="A24" s="64"/>
      <c r="B24" s="64"/>
      <c r="C24" s="66"/>
      <c r="D24" s="64"/>
      <c r="E24" s="66"/>
      <c r="I24" s="58"/>
      <c r="J24" s="58"/>
      <c r="K24" s="58"/>
      <c r="L24" s="58"/>
      <c r="M24" s="58"/>
      <c r="N24" s="58"/>
      <c r="O24" s="58"/>
      <c r="P24" s="58"/>
      <c r="Q24" s="58"/>
      <c r="R24" s="58"/>
      <c r="S24" s="58"/>
      <c r="T24" s="58"/>
      <c r="U24" s="58"/>
    </row>
    <row r="25" spans="1:21" x14ac:dyDescent="0.2">
      <c r="A25" s="64"/>
      <c r="B25" s="64"/>
      <c r="C25" s="66"/>
      <c r="D25" s="64"/>
      <c r="E25" s="64"/>
      <c r="I25" s="58"/>
      <c r="J25" s="58"/>
      <c r="K25" s="58"/>
      <c r="L25" s="58"/>
      <c r="M25" s="58"/>
      <c r="N25" s="58"/>
      <c r="O25" s="58"/>
      <c r="P25" s="58"/>
      <c r="Q25" s="58"/>
      <c r="R25" s="58"/>
      <c r="S25" s="58"/>
      <c r="T25" s="58"/>
      <c r="U25" s="58"/>
    </row>
    <row r="26" spans="1:21" x14ac:dyDescent="0.2">
      <c r="A26" s="64"/>
      <c r="B26" s="64" t="s">
        <v>903</v>
      </c>
      <c r="C26" s="64"/>
      <c r="D26" s="64"/>
      <c r="E26" s="64"/>
      <c r="I26" s="58"/>
      <c r="J26" s="58"/>
      <c r="K26" s="58"/>
      <c r="L26" s="58"/>
      <c r="M26" s="58"/>
      <c r="N26" s="58"/>
      <c r="O26" s="58"/>
      <c r="P26" s="58"/>
      <c r="Q26" s="58"/>
      <c r="R26" s="58"/>
      <c r="S26" s="58"/>
      <c r="T26" s="58"/>
      <c r="U26" s="58"/>
    </row>
    <row r="27" spans="1:21" x14ac:dyDescent="0.2">
      <c r="A27" s="64"/>
      <c r="B27" s="64"/>
      <c r="C27" s="66"/>
      <c r="D27" s="64"/>
      <c r="E27" s="66"/>
      <c r="I27" s="58"/>
      <c r="J27" s="58"/>
      <c r="K27" s="58"/>
      <c r="L27" s="58"/>
      <c r="M27" s="58"/>
      <c r="N27" s="58"/>
      <c r="O27" s="58"/>
      <c r="P27" s="58"/>
      <c r="Q27" s="58"/>
      <c r="R27" s="58"/>
      <c r="S27" s="58"/>
      <c r="T27" s="58"/>
      <c r="U27" s="58"/>
    </row>
    <row r="28" spans="1:21" x14ac:dyDescent="0.2">
      <c r="A28" s="64"/>
      <c r="B28" s="64"/>
      <c r="C28" s="64"/>
      <c r="D28" s="64"/>
      <c r="E28" s="64"/>
      <c r="I28" s="58"/>
      <c r="J28" s="58"/>
      <c r="K28" s="58"/>
      <c r="L28" s="58"/>
      <c r="M28" s="58"/>
      <c r="N28" s="58"/>
      <c r="O28" s="58"/>
      <c r="P28" s="58"/>
      <c r="Q28" s="58"/>
      <c r="R28" s="58"/>
      <c r="S28" s="58"/>
      <c r="T28" s="58"/>
      <c r="U28" s="58"/>
    </row>
    <row r="29" spans="1:21" x14ac:dyDescent="0.2">
      <c r="A29" s="64"/>
      <c r="B29" s="64"/>
      <c r="C29" s="64"/>
      <c r="D29" s="64"/>
      <c r="E29" s="64"/>
      <c r="I29" s="58"/>
      <c r="J29" s="58"/>
      <c r="K29" s="58"/>
      <c r="L29" s="58"/>
      <c r="M29" s="58"/>
      <c r="N29" s="58"/>
      <c r="O29" s="58"/>
      <c r="P29" s="58"/>
      <c r="Q29" s="58"/>
      <c r="R29" s="58"/>
      <c r="S29" s="58"/>
      <c r="T29" s="58"/>
      <c r="U29" s="58"/>
    </row>
    <row r="30" spans="1:21" x14ac:dyDescent="0.2">
      <c r="A30" s="64"/>
      <c r="B30" s="64"/>
      <c r="C30" s="64"/>
      <c r="D30" s="64"/>
      <c r="E30" s="64"/>
      <c r="I30" s="58"/>
      <c r="J30" s="58"/>
      <c r="K30" s="58"/>
      <c r="L30" s="58"/>
      <c r="M30" s="58"/>
      <c r="N30" s="58"/>
      <c r="O30" s="58"/>
      <c r="P30" s="58"/>
      <c r="Q30" s="58"/>
      <c r="R30" s="58"/>
      <c r="S30" s="58"/>
      <c r="T30" s="58"/>
      <c r="U30" s="58"/>
    </row>
    <row r="31" spans="1:21" x14ac:dyDescent="0.2">
      <c r="A31" s="64"/>
      <c r="B31" s="64"/>
      <c r="C31" s="66"/>
      <c r="D31" s="64"/>
      <c r="E31" s="64"/>
      <c r="I31" s="58"/>
      <c r="J31" s="58"/>
      <c r="K31" s="58"/>
      <c r="L31" s="58"/>
      <c r="M31" s="58"/>
      <c r="N31" s="58"/>
      <c r="O31" s="58"/>
      <c r="P31" s="58"/>
      <c r="Q31" s="58"/>
      <c r="R31" s="58"/>
      <c r="S31" s="58"/>
      <c r="T31" s="58"/>
      <c r="U31" s="58"/>
    </row>
    <row r="32" spans="1:21" x14ac:dyDescent="0.2">
      <c r="A32" s="64"/>
      <c r="B32" s="64"/>
      <c r="C32" s="64"/>
      <c r="D32" s="64"/>
      <c r="E32" s="64"/>
      <c r="I32" s="58"/>
      <c r="J32" s="58"/>
      <c r="K32" s="58"/>
      <c r="L32" s="58"/>
      <c r="M32" s="58"/>
      <c r="N32" s="58"/>
      <c r="O32" s="58"/>
      <c r="P32" s="58"/>
      <c r="Q32" s="58"/>
      <c r="R32" s="58"/>
      <c r="S32" s="58"/>
      <c r="T32" s="58"/>
      <c r="U32" s="58"/>
    </row>
    <row r="33" spans="1:21" x14ac:dyDescent="0.2">
      <c r="A33" s="60"/>
      <c r="B33" s="60"/>
      <c r="C33" s="60"/>
      <c r="D33" s="60"/>
      <c r="E33" s="60"/>
      <c r="F33" s="69"/>
      <c r="I33" s="58"/>
      <c r="J33" s="58"/>
      <c r="K33" s="58"/>
      <c r="L33" s="58"/>
      <c r="M33" s="58"/>
      <c r="N33" s="58"/>
      <c r="O33" s="58"/>
      <c r="P33" s="58"/>
      <c r="Q33" s="58"/>
      <c r="R33" s="58"/>
      <c r="S33" s="58"/>
      <c r="T33" s="58"/>
      <c r="U33" s="58"/>
    </row>
    <row r="34" spans="1:21" x14ac:dyDescent="0.2">
      <c r="F34" s="69"/>
      <c r="I34" s="58"/>
      <c r="J34" s="58"/>
      <c r="K34" s="58"/>
      <c r="L34" s="58"/>
      <c r="M34" s="58"/>
      <c r="N34" s="58"/>
      <c r="O34" s="58"/>
      <c r="P34" s="58"/>
      <c r="Q34" s="58"/>
      <c r="R34" s="58"/>
      <c r="S34" s="58"/>
      <c r="T34" s="58"/>
      <c r="U34" s="58"/>
    </row>
    <row r="35" spans="1:21" x14ac:dyDescent="0.2">
      <c r="F35" s="69"/>
      <c r="G35" s="70"/>
      <c r="I35" s="58"/>
      <c r="J35" s="58"/>
      <c r="K35" s="58"/>
      <c r="L35" s="58"/>
      <c r="M35" s="58"/>
      <c r="N35" s="58"/>
      <c r="O35" s="58"/>
      <c r="P35" s="58"/>
      <c r="Q35" s="58"/>
      <c r="R35" s="58"/>
      <c r="S35" s="58"/>
      <c r="T35" s="58"/>
      <c r="U35" s="58"/>
    </row>
    <row r="36" spans="1:21" x14ac:dyDescent="0.2">
      <c r="A36" s="70"/>
      <c r="B36" s="131" t="s">
        <v>935</v>
      </c>
      <c r="C36" s="131"/>
      <c r="D36" s="131"/>
      <c r="E36" s="131"/>
      <c r="F36" s="69"/>
      <c r="G36" s="131" t="s">
        <v>936</v>
      </c>
      <c r="H36" s="131"/>
      <c r="I36" s="131"/>
      <c r="J36" s="131"/>
      <c r="K36" s="58"/>
      <c r="L36" s="58"/>
      <c r="M36" s="58"/>
      <c r="N36" s="58"/>
      <c r="O36" s="58"/>
      <c r="P36" s="58"/>
      <c r="Q36" s="58"/>
      <c r="R36" s="58"/>
      <c r="S36" s="58"/>
      <c r="T36" s="58"/>
      <c r="U36" s="58"/>
    </row>
    <row r="37" spans="1:21" x14ac:dyDescent="0.2">
      <c r="A37" s="51"/>
      <c r="B37" s="64"/>
      <c r="C37" s="64" t="s">
        <v>932</v>
      </c>
      <c r="D37" s="86" t="s">
        <v>937</v>
      </c>
      <c r="E37" s="71" t="e">
        <f>AVERAGE(B37:B49)</f>
        <v>#DIV/0!</v>
      </c>
      <c r="F37" s="69"/>
      <c r="G37" s="64" t="s">
        <v>903</v>
      </c>
      <c r="H37" s="64"/>
      <c r="I37" s="64" t="s">
        <v>938</v>
      </c>
      <c r="J37" s="71" t="e">
        <f>AVERAGE(G37:G49)</f>
        <v>#DIV/0!</v>
      </c>
      <c r="K37" s="58"/>
      <c r="L37" s="58"/>
      <c r="M37" s="58"/>
      <c r="N37" s="58"/>
      <c r="O37" s="58"/>
      <c r="P37" s="58"/>
      <c r="Q37" s="58"/>
      <c r="R37" s="58"/>
      <c r="S37" s="58"/>
      <c r="T37" s="58"/>
      <c r="U37" s="58"/>
    </row>
    <row r="38" spans="1:21" x14ac:dyDescent="0.2">
      <c r="A38" s="51"/>
      <c r="B38" s="68"/>
      <c r="C38" s="68"/>
      <c r="D38" s="68"/>
      <c r="E38" s="58"/>
      <c r="F38" s="69"/>
      <c r="G38" s="68"/>
      <c r="H38" s="68"/>
      <c r="I38" s="68"/>
      <c r="J38" s="68"/>
      <c r="K38" s="58"/>
      <c r="L38" s="58"/>
      <c r="M38" s="58"/>
      <c r="N38" s="58"/>
      <c r="O38" s="58"/>
      <c r="P38" s="58"/>
      <c r="Q38" s="58"/>
      <c r="R38" s="58"/>
      <c r="S38" s="58"/>
      <c r="T38" s="58"/>
      <c r="U38" s="58"/>
    </row>
    <row r="39" spans="1:21" x14ac:dyDescent="0.2">
      <c r="A39" s="51"/>
      <c r="B39" s="68"/>
      <c r="C39" s="67"/>
      <c r="D39" s="68"/>
      <c r="E39" s="72"/>
      <c r="F39" s="69"/>
      <c r="G39" s="68"/>
      <c r="H39" s="67"/>
      <c r="I39" s="68"/>
      <c r="J39" s="68"/>
      <c r="K39" s="58"/>
      <c r="L39" s="58"/>
      <c r="M39" s="58"/>
      <c r="N39" s="58"/>
      <c r="O39" s="58"/>
      <c r="P39" s="58"/>
      <c r="Q39" s="58"/>
      <c r="R39" s="58"/>
      <c r="S39" s="58"/>
      <c r="T39" s="58"/>
      <c r="U39" s="58"/>
    </row>
    <row r="40" spans="1:21" x14ac:dyDescent="0.2">
      <c r="A40" s="69"/>
      <c r="B40" s="68"/>
      <c r="C40" s="68"/>
      <c r="D40" s="68"/>
      <c r="E40" s="72"/>
      <c r="F40" s="69"/>
      <c r="G40" s="68"/>
      <c r="H40" s="68"/>
      <c r="I40" s="68"/>
      <c r="J40" s="87"/>
    </row>
    <row r="41" spans="1:21" x14ac:dyDescent="0.2">
      <c r="A41" s="51"/>
      <c r="B41" s="68"/>
      <c r="C41" s="67"/>
      <c r="D41" s="68"/>
      <c r="E41" s="72"/>
      <c r="F41" s="69"/>
      <c r="G41" s="68"/>
      <c r="H41" s="67"/>
      <c r="I41" s="68"/>
      <c r="J41" s="68"/>
    </row>
    <row r="42" spans="1:21" x14ac:dyDescent="0.2">
      <c r="A42" s="51"/>
      <c r="B42" s="60"/>
      <c r="C42" s="60"/>
      <c r="D42" s="60"/>
      <c r="E42" s="60"/>
      <c r="F42" s="60"/>
      <c r="G42" s="60"/>
      <c r="H42" s="60"/>
      <c r="I42" s="58"/>
      <c r="J42" s="58"/>
    </row>
    <row r="43" spans="1:21" x14ac:dyDescent="0.2">
      <c r="A43" s="51"/>
      <c r="B43" s="60"/>
      <c r="C43" s="60"/>
      <c r="D43" s="60"/>
      <c r="E43" s="60"/>
      <c r="F43" s="60"/>
      <c r="G43" s="60"/>
      <c r="H43" s="60"/>
      <c r="I43" s="58"/>
      <c r="J43" s="58"/>
    </row>
    <row r="44" spans="1:21" x14ac:dyDescent="0.2">
      <c r="A44" s="51"/>
      <c r="B44" s="60"/>
      <c r="C44" s="60"/>
      <c r="D44" s="60"/>
      <c r="E44" s="60"/>
      <c r="F44" s="60"/>
      <c r="G44" s="60"/>
      <c r="H44" s="60"/>
      <c r="I44" s="58"/>
      <c r="J44" s="58"/>
    </row>
    <row r="45" spans="1:21" x14ac:dyDescent="0.2">
      <c r="A45" s="51"/>
      <c r="B45" s="60"/>
      <c r="C45" s="60"/>
      <c r="D45" s="60"/>
      <c r="E45" s="60"/>
      <c r="F45" s="60"/>
      <c r="G45" s="60"/>
      <c r="H45" s="60"/>
      <c r="I45" s="58"/>
      <c r="J45" s="58"/>
    </row>
    <row r="46" spans="1:21" x14ac:dyDescent="0.2">
      <c r="A46" s="51"/>
      <c r="B46" s="60"/>
      <c r="C46" s="60"/>
      <c r="D46" s="60"/>
      <c r="E46" s="60"/>
      <c r="F46" s="60"/>
      <c r="G46" s="60"/>
      <c r="H46" s="60"/>
      <c r="I46" s="58"/>
      <c r="J46" s="58"/>
    </row>
    <row r="47" spans="1:21" x14ac:dyDescent="0.2">
      <c r="A47" s="51"/>
      <c r="B47" s="60"/>
      <c r="C47" s="60"/>
      <c r="D47" s="60"/>
      <c r="E47" s="60"/>
      <c r="F47" s="60"/>
      <c r="G47" s="60"/>
      <c r="H47" s="60"/>
      <c r="I47" s="58"/>
      <c r="J47" s="58"/>
    </row>
    <row r="48" spans="1:21" x14ac:dyDescent="0.2">
      <c r="A48" s="51"/>
      <c r="B48" s="60"/>
      <c r="C48" s="60"/>
      <c r="D48" s="60"/>
      <c r="E48" s="60"/>
      <c r="F48" s="60"/>
      <c r="G48" s="60"/>
      <c r="H48" s="60"/>
      <c r="I48" s="58"/>
      <c r="J48" s="58"/>
    </row>
    <row r="49" spans="1:10" ht="13.5" thickBot="1" x14ac:dyDescent="0.25">
      <c r="A49" s="51"/>
      <c r="B49" s="73"/>
      <c r="C49" s="73"/>
      <c r="D49" s="73"/>
      <c r="E49" s="73"/>
      <c r="F49" s="74"/>
      <c r="G49" s="58"/>
      <c r="H49" s="58"/>
      <c r="I49" s="58"/>
      <c r="J49" s="58"/>
    </row>
    <row r="50" spans="1:10" ht="15" customHeight="1" x14ac:dyDescent="0.2">
      <c r="A50" s="132" t="s">
        <v>939</v>
      </c>
      <c r="B50" s="133"/>
      <c r="C50" s="133"/>
      <c r="D50" s="133"/>
      <c r="E50" s="133"/>
      <c r="F50" s="134"/>
    </row>
    <row r="51" spans="1:10" ht="13.5" thickBot="1" x14ac:dyDescent="0.25">
      <c r="A51" s="75"/>
      <c r="B51" s="76" t="s">
        <v>940</v>
      </c>
      <c r="C51" s="77" t="e">
        <f>AVERAGE(E37,J37)</f>
        <v>#DIV/0!</v>
      </c>
      <c r="D51" s="78"/>
      <c r="E51" s="76"/>
      <c r="F51" s="79"/>
    </row>
    <row r="52" spans="1:10" x14ac:dyDescent="0.2">
      <c r="A52" s="51"/>
      <c r="B52" s="51" t="s">
        <v>941</v>
      </c>
      <c r="C52" s="51">
        <f>MAX(B37:B49,G37:G49)-MIN(B37:B49,G37:G49)</f>
        <v>0</v>
      </c>
      <c r="D52" s="51"/>
      <c r="E52" s="51"/>
      <c r="F52" s="51"/>
      <c r="G52" s="51"/>
    </row>
    <row r="53" spans="1:10" x14ac:dyDescent="0.2">
      <c r="A53" s="51"/>
      <c r="B53" s="50" t="s">
        <v>942</v>
      </c>
      <c r="C53" s="50"/>
      <c r="D53" s="80"/>
      <c r="E53" s="51"/>
      <c r="F53" s="51"/>
      <c r="G53" s="51"/>
    </row>
    <row r="54" spans="1:10" x14ac:dyDescent="0.2">
      <c r="A54" s="51"/>
      <c r="B54" s="50" t="s">
        <v>943</v>
      </c>
      <c r="C54" s="50"/>
      <c r="D54" s="51"/>
      <c r="E54" s="51"/>
      <c r="F54" s="51"/>
      <c r="G54" s="51"/>
    </row>
    <row r="55" spans="1:10" x14ac:dyDescent="0.2">
      <c r="A55" s="51"/>
      <c r="B55" s="50" t="s">
        <v>944</v>
      </c>
      <c r="C55" s="50"/>
      <c r="D55" s="51"/>
      <c r="E55" s="51"/>
      <c r="F55" s="51"/>
      <c r="G55" s="51"/>
    </row>
    <row r="56" spans="1:10" x14ac:dyDescent="0.2">
      <c r="A56" s="51"/>
      <c r="B56" s="50" t="s">
        <v>945</v>
      </c>
      <c r="C56" s="51"/>
      <c r="D56" s="50"/>
      <c r="E56" s="51"/>
      <c r="F56" s="51"/>
    </row>
    <row r="58" spans="1:10" x14ac:dyDescent="0.2">
      <c r="B58" s="64"/>
      <c r="C58" s="66"/>
    </row>
    <row r="59" spans="1:10" x14ac:dyDescent="0.2">
      <c r="B59" s="64"/>
      <c r="C59" s="64"/>
    </row>
    <row r="60" spans="1:10" x14ac:dyDescent="0.2">
      <c r="B60" s="64" t="s">
        <v>903</v>
      </c>
      <c r="C60" s="64"/>
    </row>
    <row r="61" spans="1:10" x14ac:dyDescent="0.2">
      <c r="B61" s="64"/>
      <c r="C61" s="66"/>
    </row>
    <row r="62" spans="1:10" x14ac:dyDescent="0.2">
      <c r="B62" s="64"/>
      <c r="C62" s="66"/>
    </row>
    <row r="63" spans="1:10" x14ac:dyDescent="0.2">
      <c r="B63" s="64"/>
      <c r="C63" s="66"/>
    </row>
    <row r="64" spans="1:10" x14ac:dyDescent="0.2">
      <c r="B64" s="64"/>
      <c r="C64" s="66"/>
    </row>
    <row r="65" spans="2:4" x14ac:dyDescent="0.2">
      <c r="B65" s="64"/>
      <c r="C65" s="66"/>
    </row>
    <row r="66" spans="2:4" x14ac:dyDescent="0.2">
      <c r="B66" s="64"/>
      <c r="C66" s="66"/>
    </row>
    <row r="67" spans="2:4" x14ac:dyDescent="0.2">
      <c r="B67" s="64"/>
      <c r="C67" s="66"/>
    </row>
    <row r="68" spans="2:4" x14ac:dyDescent="0.2">
      <c r="B68" s="64"/>
      <c r="C68" s="66"/>
    </row>
    <row r="69" spans="2:4" x14ac:dyDescent="0.2">
      <c r="B69" s="64"/>
      <c r="C69" s="66"/>
    </row>
    <row r="70" spans="2:4" x14ac:dyDescent="0.2">
      <c r="B70" s="64"/>
      <c r="C70" s="64"/>
    </row>
    <row r="71" spans="2:4" x14ac:dyDescent="0.2">
      <c r="B71" s="64"/>
      <c r="C71" s="66"/>
    </row>
    <row r="72" spans="2:4" x14ac:dyDescent="0.2">
      <c r="B72" s="64"/>
      <c r="C72" s="66"/>
    </row>
    <row r="73" spans="2:4" x14ac:dyDescent="0.2">
      <c r="B73" s="64"/>
      <c r="C73" s="66"/>
      <c r="D73" s="81"/>
    </row>
    <row r="74" spans="2:4" x14ac:dyDescent="0.2">
      <c r="B74" s="64"/>
      <c r="C74" s="64"/>
      <c r="D74" s="81"/>
    </row>
    <row r="75" spans="2:4" x14ac:dyDescent="0.2">
      <c r="B75" s="64"/>
      <c r="C75" s="64"/>
      <c r="D75" s="81"/>
    </row>
    <row r="76" spans="2:4" x14ac:dyDescent="0.2">
      <c r="B76" s="64"/>
      <c r="C76" s="64"/>
      <c r="D76" s="81"/>
    </row>
    <row r="77" spans="2:4" x14ac:dyDescent="0.2">
      <c r="B77" s="64"/>
      <c r="C77" s="66"/>
      <c r="D77" s="81"/>
    </row>
    <row r="78" spans="2:4" x14ac:dyDescent="0.2">
      <c r="B78" s="64"/>
      <c r="C78" s="64"/>
      <c r="D78" s="81"/>
    </row>
    <row r="79" spans="2:4" x14ac:dyDescent="0.2">
      <c r="B79" s="64"/>
      <c r="C79" s="64"/>
    </row>
    <row r="80" spans="2:4" x14ac:dyDescent="0.2">
      <c r="B80" s="64"/>
      <c r="C80" s="64"/>
    </row>
    <row r="81" spans="2:3" x14ac:dyDescent="0.2">
      <c r="B81" s="64"/>
      <c r="C81" s="64"/>
    </row>
    <row r="82" spans="2:3" x14ac:dyDescent="0.2">
      <c r="B82" s="64"/>
      <c r="C82" s="64"/>
    </row>
    <row r="83" spans="2:3" x14ac:dyDescent="0.2">
      <c r="B83" s="64"/>
      <c r="C83" s="64"/>
    </row>
    <row r="84" spans="2:3" x14ac:dyDescent="0.2">
      <c r="B84" s="64"/>
      <c r="C84" s="64"/>
    </row>
    <row r="85" spans="2:3" x14ac:dyDescent="0.2">
      <c r="B85" s="64"/>
      <c r="C85" s="64"/>
    </row>
    <row r="86" spans="2:3" x14ac:dyDescent="0.2">
      <c r="B86" s="64"/>
      <c r="C86" s="64"/>
    </row>
    <row r="87" spans="2:3" x14ac:dyDescent="0.2">
      <c r="B87" s="64"/>
      <c r="C87" s="64"/>
    </row>
    <row r="88" spans="2:3" x14ac:dyDescent="0.2">
      <c r="B88" s="64"/>
      <c r="C88" s="64"/>
    </row>
    <row r="89" spans="2:3" x14ac:dyDescent="0.2">
      <c r="B89" s="64"/>
      <c r="C89" s="66"/>
    </row>
    <row r="90" spans="2:3" x14ac:dyDescent="0.2">
      <c r="B90" s="64"/>
      <c r="C90" s="64"/>
    </row>
    <row r="91" spans="2:3" x14ac:dyDescent="0.2">
      <c r="B91" s="64"/>
      <c r="C91" s="64"/>
    </row>
    <row r="92" spans="2:3" x14ac:dyDescent="0.2">
      <c r="B92" s="64"/>
      <c r="C92" s="66"/>
    </row>
    <row r="93" spans="2:3" x14ac:dyDescent="0.2">
      <c r="B93" s="64"/>
      <c r="C93" s="64"/>
    </row>
    <row r="94" spans="2:3" x14ac:dyDescent="0.2">
      <c r="B94" s="64"/>
      <c r="C94" s="64"/>
    </row>
    <row r="95" spans="2:3" x14ac:dyDescent="0.2">
      <c r="B95" s="64"/>
      <c r="C95" s="64"/>
    </row>
    <row r="96" spans="2:3" x14ac:dyDescent="0.2">
      <c r="B96" s="64"/>
      <c r="C96" s="64"/>
    </row>
    <row r="97" spans="1:4" x14ac:dyDescent="0.2">
      <c r="B97" s="64"/>
      <c r="C97" s="64"/>
    </row>
    <row r="98" spans="1:4" x14ac:dyDescent="0.2">
      <c r="A98" s="69"/>
      <c r="B98" s="82"/>
      <c r="C98" s="82"/>
      <c r="D98" s="69"/>
    </row>
    <row r="99" spans="1:4" x14ac:dyDescent="0.2">
      <c r="D99" s="58"/>
    </row>
  </sheetData>
  <sortState ref="B58:C97">
    <sortCondition ref="C58:C97"/>
    <sortCondition ref="B58:B97"/>
  </sortState>
  <mergeCells count="3">
    <mergeCell ref="B36:E36"/>
    <mergeCell ref="G36:J36"/>
    <mergeCell ref="A50:F5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alculateV50.CalculateV50">
                <anchor moveWithCells="1" sizeWithCells="1">
                  <from>
                    <xdr:col>3</xdr:col>
                    <xdr:colOff>0</xdr:colOff>
                    <xdr:row>1</xdr:row>
                    <xdr:rowOff>9525</xdr:rowOff>
                  </from>
                  <to>
                    <xdr:col>4</xdr:col>
                    <xdr:colOff>0</xdr:colOff>
                    <xdr:row>2</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5"/>
  <sheetViews>
    <sheetView workbookViewId="0">
      <selection activeCell="G8" sqref="G8"/>
    </sheetView>
  </sheetViews>
  <sheetFormatPr defaultRowHeight="15" x14ac:dyDescent="0.25"/>
  <cols>
    <col min="2" max="2" width="77.5703125" customWidth="1"/>
  </cols>
  <sheetData>
    <row r="1" spans="1:5" ht="15" customHeight="1" thickBot="1" x14ac:dyDescent="0.3">
      <c r="A1" s="7" t="s">
        <v>16</v>
      </c>
      <c r="B1" s="8" t="s">
        <v>40</v>
      </c>
      <c r="C1" s="3"/>
      <c r="D1" s="3"/>
      <c r="E1" s="4"/>
    </row>
    <row r="2" spans="1:5" ht="15" customHeight="1" thickBot="1" x14ac:dyDescent="0.3">
      <c r="A2" s="9" t="s">
        <v>17</v>
      </c>
      <c r="B2" s="10" t="s">
        <v>41</v>
      </c>
      <c r="C2" s="5"/>
      <c r="D2" s="5"/>
      <c r="E2" s="6"/>
    </row>
    <row r="3" spans="1:5" ht="15" customHeight="1" thickBot="1" x14ac:dyDescent="0.3">
      <c r="A3" s="9" t="s">
        <v>19</v>
      </c>
      <c r="B3" s="10" t="s">
        <v>42</v>
      </c>
      <c r="C3" s="5"/>
      <c r="D3" s="5"/>
      <c r="E3" s="6"/>
    </row>
    <row r="4" spans="1:5" ht="15" customHeight="1" thickBot="1" x14ac:dyDescent="0.3">
      <c r="A4" s="9" t="s">
        <v>21</v>
      </c>
      <c r="B4" s="10" t="s">
        <v>43</v>
      </c>
      <c r="C4" s="5"/>
      <c r="D4" s="5"/>
      <c r="E4" s="6"/>
    </row>
    <row r="5" spans="1:5" ht="15" customHeight="1" thickBot="1" x14ac:dyDescent="0.3">
      <c r="A5" s="9" t="s">
        <v>23</v>
      </c>
      <c r="B5" s="10" t="s">
        <v>44</v>
      </c>
      <c r="C5" s="5"/>
      <c r="D5" s="5"/>
      <c r="E5" s="6"/>
    </row>
    <row r="6" spans="1:5" ht="15" customHeight="1" thickBot="1" x14ac:dyDescent="0.3">
      <c r="A6" s="9" t="s">
        <v>25</v>
      </c>
      <c r="B6" s="10" t="s">
        <v>26</v>
      </c>
      <c r="C6" s="5"/>
      <c r="D6" s="5"/>
      <c r="E6" s="6"/>
    </row>
    <row r="7" spans="1:5" ht="15" customHeight="1" thickBot="1" x14ac:dyDescent="0.3">
      <c r="A7" s="9" t="s">
        <v>27</v>
      </c>
      <c r="B7" s="10" t="s">
        <v>45</v>
      </c>
      <c r="C7" s="5"/>
      <c r="D7" s="5"/>
      <c r="E7" s="6"/>
    </row>
    <row r="8" spans="1:5" ht="15" customHeight="1" thickBot="1" x14ac:dyDescent="0.3">
      <c r="A8" s="9" t="s">
        <v>29</v>
      </c>
      <c r="B8" s="10" t="s">
        <v>30</v>
      </c>
      <c r="C8" s="5"/>
      <c r="D8" s="5"/>
      <c r="E8" s="6"/>
    </row>
    <row r="9" spans="1:5" ht="15" customHeight="1" thickBot="1" x14ac:dyDescent="0.3">
      <c r="A9" s="9" t="s">
        <v>31</v>
      </c>
      <c r="B9" s="10" t="s">
        <v>32</v>
      </c>
      <c r="C9" s="5"/>
      <c r="D9" s="5"/>
      <c r="E9" s="6"/>
    </row>
    <row r="10" spans="1:5" ht="15" customHeight="1" thickBot="1" x14ac:dyDescent="0.3">
      <c r="A10" s="9" t="s">
        <v>33</v>
      </c>
      <c r="B10" s="10" t="s">
        <v>34</v>
      </c>
      <c r="C10" s="5"/>
      <c r="D10" s="5"/>
      <c r="E10" s="6"/>
    </row>
    <row r="11" spans="1:5" ht="15" customHeight="1" thickBot="1" x14ac:dyDescent="0.3">
      <c r="A11" s="9" t="s">
        <v>35</v>
      </c>
      <c r="B11" s="10" t="s">
        <v>46</v>
      </c>
      <c r="C11" s="5"/>
      <c r="D11" s="5"/>
      <c r="E11" s="6"/>
    </row>
    <row r="12" spans="1:5" ht="15.75" thickBot="1" x14ac:dyDescent="0.3">
      <c r="A12" s="9" t="s">
        <v>37</v>
      </c>
      <c r="B12" s="10" t="s">
        <v>38</v>
      </c>
      <c r="C12" s="1"/>
      <c r="D12" s="1"/>
      <c r="E12" s="2"/>
    </row>
    <row r="13" spans="1:5" ht="15.75" customHeight="1" thickBot="1" x14ac:dyDescent="0.3">
      <c r="A13" s="9" t="s">
        <v>47</v>
      </c>
      <c r="B13" s="10" t="s">
        <v>48</v>
      </c>
    </row>
    <row r="14" spans="1:5" ht="15.75" customHeight="1" thickBot="1" x14ac:dyDescent="0.3">
      <c r="A14" s="9" t="s">
        <v>49</v>
      </c>
      <c r="B14" s="10" t="s">
        <v>50</v>
      </c>
    </row>
    <row r="15" spans="1:5" ht="15.75" customHeight="1" thickBot="1" x14ac:dyDescent="0.3">
      <c r="A15" s="9" t="s">
        <v>51</v>
      </c>
      <c r="B15" s="10" t="s">
        <v>52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413"/>
  <sheetViews>
    <sheetView workbookViewId="0">
      <selection activeCell="C7" sqref="C7"/>
    </sheetView>
  </sheetViews>
  <sheetFormatPr defaultColWidth="9.140625" defaultRowHeight="15" x14ac:dyDescent="0.25"/>
  <cols>
    <col min="1" max="1" width="14.7109375" style="11" customWidth="1"/>
    <col min="2" max="2" width="33.7109375" style="11" customWidth="1"/>
    <col min="3" max="3" width="19.28515625" style="11" customWidth="1"/>
    <col min="4" max="5" width="9.140625" style="11"/>
    <col min="6" max="6" width="15.140625" style="11" customWidth="1"/>
    <col min="7" max="7" width="13.140625" style="11" customWidth="1"/>
    <col min="8" max="8" width="32.5703125" style="11" customWidth="1"/>
    <col min="9" max="16384" width="9.140625" style="11"/>
  </cols>
  <sheetData>
    <row r="1" spans="1:9" ht="25.5" customHeight="1" x14ac:dyDescent="0.25">
      <c r="A1" s="16" t="s">
        <v>56</v>
      </c>
      <c r="B1" s="16" t="s">
        <v>40</v>
      </c>
      <c r="C1" s="12" t="s">
        <v>57</v>
      </c>
      <c r="D1" s="12" t="s">
        <v>58</v>
      </c>
      <c r="E1" s="12" t="s">
        <v>59</v>
      </c>
      <c r="F1" s="12" t="s">
        <v>60</v>
      </c>
      <c r="G1" s="16"/>
      <c r="H1" s="16"/>
      <c r="I1" s="16"/>
    </row>
    <row r="2" spans="1:9" x14ac:dyDescent="0.25">
      <c r="A2" s="11" t="s">
        <v>606</v>
      </c>
      <c r="B2" s="13" t="s">
        <v>635</v>
      </c>
      <c r="C2" s="13" t="s">
        <v>636</v>
      </c>
      <c r="D2" s="13" t="s">
        <v>64</v>
      </c>
      <c r="E2" s="13" t="s">
        <v>120</v>
      </c>
      <c r="F2" s="13" t="s">
        <v>637</v>
      </c>
      <c r="G2" s="14"/>
      <c r="H2" s="14"/>
      <c r="I2" s="16"/>
    </row>
    <row r="3" spans="1:9" x14ac:dyDescent="0.25">
      <c r="A3" s="11" t="s">
        <v>607</v>
      </c>
      <c r="B3" s="13" t="s">
        <v>638</v>
      </c>
      <c r="C3" s="13" t="s">
        <v>636</v>
      </c>
      <c r="D3" s="13" t="s">
        <v>64</v>
      </c>
      <c r="E3" s="13" t="s">
        <v>120</v>
      </c>
      <c r="F3" s="13" t="s">
        <v>639</v>
      </c>
      <c r="G3" s="14"/>
      <c r="H3" s="14"/>
      <c r="I3" s="16"/>
    </row>
    <row r="4" spans="1:9" x14ac:dyDescent="0.25">
      <c r="A4" s="11" t="s">
        <v>608</v>
      </c>
      <c r="B4" s="13" t="s">
        <v>640</v>
      </c>
      <c r="C4" s="13" t="s">
        <v>641</v>
      </c>
      <c r="D4" s="13" t="s">
        <v>64</v>
      </c>
      <c r="E4" s="13" t="s">
        <v>120</v>
      </c>
      <c r="F4" s="13" t="s">
        <v>637</v>
      </c>
      <c r="G4" s="14"/>
      <c r="H4" s="14"/>
      <c r="I4" s="16"/>
    </row>
    <row r="5" spans="1:9" x14ac:dyDescent="0.25">
      <c r="A5" s="11" t="s">
        <v>609</v>
      </c>
      <c r="B5" s="13" t="s">
        <v>642</v>
      </c>
      <c r="C5" s="13" t="s">
        <v>641</v>
      </c>
      <c r="D5" s="13" t="s">
        <v>64</v>
      </c>
      <c r="E5" s="13" t="s">
        <v>65</v>
      </c>
      <c r="F5" s="13" t="s">
        <v>639</v>
      </c>
      <c r="G5" s="14"/>
      <c r="H5" s="14"/>
      <c r="I5" s="16"/>
    </row>
    <row r="6" spans="1:9" x14ac:dyDescent="0.25">
      <c r="A6" s="11" t="s">
        <v>643</v>
      </c>
      <c r="B6" s="13" t="s">
        <v>642</v>
      </c>
      <c r="C6" s="13" t="s">
        <v>641</v>
      </c>
      <c r="D6" s="13" t="s">
        <v>64</v>
      </c>
      <c r="E6" s="13" t="s">
        <v>120</v>
      </c>
      <c r="F6" s="13" t="s">
        <v>639</v>
      </c>
      <c r="G6" s="14"/>
      <c r="H6" s="14"/>
      <c r="I6" s="16"/>
    </row>
    <row r="7" spans="1:9" x14ac:dyDescent="0.25">
      <c r="A7" t="s">
        <v>644</v>
      </c>
      <c r="B7" t="s">
        <v>645</v>
      </c>
      <c r="C7" s="13" t="s">
        <v>646</v>
      </c>
      <c r="D7" s="13" t="s">
        <v>64</v>
      </c>
      <c r="E7" s="13" t="s">
        <v>65</v>
      </c>
      <c r="F7" s="17" t="s">
        <v>647</v>
      </c>
      <c r="G7" s="14"/>
      <c r="H7" s="14"/>
      <c r="I7" s="16"/>
    </row>
    <row r="8" spans="1:9" x14ac:dyDescent="0.25">
      <c r="A8" t="s">
        <v>648</v>
      </c>
      <c r="B8" t="s">
        <v>649</v>
      </c>
      <c r="C8" s="13" t="s">
        <v>646</v>
      </c>
      <c r="D8" s="13" t="s">
        <v>69</v>
      </c>
      <c r="E8" s="13" t="s">
        <v>65</v>
      </c>
      <c r="F8" s="17" t="s">
        <v>647</v>
      </c>
      <c r="G8" s="14"/>
      <c r="H8" s="14"/>
      <c r="I8" s="16"/>
    </row>
    <row r="9" spans="1:9" x14ac:dyDescent="0.25">
      <c r="A9" t="s">
        <v>650</v>
      </c>
      <c r="B9" t="s">
        <v>651</v>
      </c>
      <c r="C9" s="13" t="s">
        <v>646</v>
      </c>
      <c r="D9" s="13" t="s">
        <v>72</v>
      </c>
      <c r="E9" s="13" t="s">
        <v>65</v>
      </c>
      <c r="F9" s="17" t="s">
        <v>647</v>
      </c>
      <c r="G9" s="14"/>
      <c r="H9" s="14"/>
      <c r="I9" s="16"/>
    </row>
    <row r="10" spans="1:9" x14ac:dyDescent="0.25">
      <c r="A10" t="s">
        <v>652</v>
      </c>
      <c r="B10" t="s">
        <v>653</v>
      </c>
      <c r="C10" s="13" t="s">
        <v>646</v>
      </c>
      <c r="D10" s="13" t="s">
        <v>654</v>
      </c>
      <c r="E10" s="13" t="s">
        <v>65</v>
      </c>
      <c r="F10" s="17" t="s">
        <v>647</v>
      </c>
      <c r="G10" s="14"/>
      <c r="H10" s="14"/>
      <c r="I10" s="16"/>
    </row>
    <row r="11" spans="1:9" x14ac:dyDescent="0.25">
      <c r="A11" t="s">
        <v>655</v>
      </c>
      <c r="B11" t="s">
        <v>656</v>
      </c>
      <c r="C11" s="13" t="s">
        <v>646</v>
      </c>
      <c r="D11" s="13" t="s">
        <v>550</v>
      </c>
      <c r="E11" s="13" t="s">
        <v>65</v>
      </c>
      <c r="F11" s="17" t="s">
        <v>647</v>
      </c>
      <c r="G11" s="14"/>
      <c r="H11" s="14"/>
      <c r="I11" s="16"/>
    </row>
    <row r="12" spans="1:9" x14ac:dyDescent="0.25">
      <c r="A12" t="s">
        <v>655</v>
      </c>
      <c r="B12" t="s">
        <v>656</v>
      </c>
      <c r="C12" s="13" t="s">
        <v>646</v>
      </c>
      <c r="D12" s="13" t="s">
        <v>550</v>
      </c>
      <c r="E12" s="13" t="s">
        <v>65</v>
      </c>
      <c r="F12" s="17" t="s">
        <v>647</v>
      </c>
      <c r="G12" s="14"/>
      <c r="H12" s="14"/>
      <c r="I12" s="16"/>
    </row>
    <row r="13" spans="1:9" x14ac:dyDescent="0.25">
      <c r="A13" t="s">
        <v>657</v>
      </c>
      <c r="B13" t="s">
        <v>658</v>
      </c>
      <c r="C13" s="13" t="s">
        <v>646</v>
      </c>
      <c r="D13" s="13" t="s">
        <v>64</v>
      </c>
      <c r="E13" s="13" t="s">
        <v>120</v>
      </c>
      <c r="F13" s="17" t="s">
        <v>647</v>
      </c>
      <c r="G13" s="14"/>
      <c r="H13" s="14"/>
      <c r="I13" s="16"/>
    </row>
    <row r="14" spans="1:9" x14ac:dyDescent="0.25">
      <c r="A14" t="s">
        <v>659</v>
      </c>
      <c r="B14" t="s">
        <v>660</v>
      </c>
      <c r="C14" s="13" t="s">
        <v>646</v>
      </c>
      <c r="D14" s="13" t="s">
        <v>69</v>
      </c>
      <c r="E14" s="13" t="s">
        <v>120</v>
      </c>
      <c r="F14" s="17" t="s">
        <v>647</v>
      </c>
      <c r="G14" s="14"/>
      <c r="H14" s="14"/>
      <c r="I14" s="16"/>
    </row>
    <row r="15" spans="1:9" x14ac:dyDescent="0.25">
      <c r="A15" t="s">
        <v>661</v>
      </c>
      <c r="B15" t="s">
        <v>662</v>
      </c>
      <c r="C15" s="13" t="s">
        <v>646</v>
      </c>
      <c r="D15" s="13" t="s">
        <v>72</v>
      </c>
      <c r="E15" s="13" t="s">
        <v>120</v>
      </c>
      <c r="F15" s="17" t="s">
        <v>647</v>
      </c>
      <c r="G15" s="14"/>
      <c r="H15" s="14"/>
      <c r="I15" s="16"/>
    </row>
    <row r="16" spans="1:9" x14ac:dyDescent="0.25">
      <c r="A16" t="s">
        <v>663</v>
      </c>
      <c r="B16" t="s">
        <v>664</v>
      </c>
      <c r="C16" s="13" t="s">
        <v>646</v>
      </c>
      <c r="D16" s="13" t="s">
        <v>64</v>
      </c>
      <c r="E16" s="13" t="s">
        <v>120</v>
      </c>
      <c r="F16" s="17" t="s">
        <v>647</v>
      </c>
      <c r="G16" s="14"/>
      <c r="H16" s="14"/>
      <c r="I16" s="16"/>
    </row>
    <row r="17" spans="1:9" x14ac:dyDescent="0.25">
      <c r="A17" t="s">
        <v>665</v>
      </c>
      <c r="B17" t="s">
        <v>666</v>
      </c>
      <c r="C17" s="13" t="s">
        <v>646</v>
      </c>
      <c r="D17" s="13" t="s">
        <v>69</v>
      </c>
      <c r="E17" s="13" t="s">
        <v>120</v>
      </c>
      <c r="F17" s="17" t="s">
        <v>647</v>
      </c>
      <c r="G17" s="14"/>
      <c r="H17" s="14"/>
      <c r="I17" s="16"/>
    </row>
    <row r="18" spans="1:9" x14ac:dyDescent="0.25">
      <c r="A18" t="s">
        <v>667</v>
      </c>
      <c r="B18" t="s">
        <v>668</v>
      </c>
      <c r="C18" s="13" t="s">
        <v>646</v>
      </c>
      <c r="D18" s="13" t="s">
        <v>72</v>
      </c>
      <c r="E18" s="13" t="s">
        <v>120</v>
      </c>
      <c r="F18" s="17" t="s">
        <v>647</v>
      </c>
      <c r="G18" s="14"/>
      <c r="H18" s="14"/>
      <c r="I18" s="16"/>
    </row>
    <row r="19" spans="1:9" x14ac:dyDescent="0.25">
      <c r="A19" t="s">
        <v>669</v>
      </c>
      <c r="B19" t="s">
        <v>670</v>
      </c>
      <c r="C19" s="13" t="s">
        <v>646</v>
      </c>
      <c r="D19" s="13" t="s">
        <v>128</v>
      </c>
      <c r="E19" s="13" t="s">
        <v>65</v>
      </c>
      <c r="F19" s="17" t="s">
        <v>647</v>
      </c>
      <c r="G19" s="14"/>
      <c r="H19" s="14"/>
      <c r="I19" s="16"/>
    </row>
    <row r="20" spans="1:9" x14ac:dyDescent="0.25">
      <c r="A20" t="s">
        <v>671</v>
      </c>
      <c r="B20" t="s">
        <v>672</v>
      </c>
      <c r="C20" s="13" t="s">
        <v>646</v>
      </c>
      <c r="D20" s="13" t="s">
        <v>75</v>
      </c>
      <c r="E20" s="13" t="s">
        <v>65</v>
      </c>
      <c r="F20" s="17" t="s">
        <v>647</v>
      </c>
      <c r="G20" s="14"/>
      <c r="H20" s="14"/>
      <c r="I20" s="16"/>
    </row>
    <row r="21" spans="1:9" x14ac:dyDescent="0.25">
      <c r="A21" t="s">
        <v>673</v>
      </c>
      <c r="B21" t="s">
        <v>674</v>
      </c>
      <c r="C21" s="13" t="s">
        <v>646</v>
      </c>
      <c r="D21" s="13" t="s">
        <v>155</v>
      </c>
      <c r="E21" s="13" t="s">
        <v>65</v>
      </c>
      <c r="F21" s="17" t="s">
        <v>647</v>
      </c>
      <c r="G21" s="14"/>
      <c r="H21" s="14"/>
      <c r="I21" s="16"/>
    </row>
    <row r="22" spans="1:9" x14ac:dyDescent="0.25">
      <c r="A22" t="s">
        <v>675</v>
      </c>
      <c r="B22" t="s">
        <v>676</v>
      </c>
      <c r="C22" s="13" t="s">
        <v>646</v>
      </c>
      <c r="D22" s="13" t="s">
        <v>64</v>
      </c>
      <c r="E22" s="13" t="s">
        <v>65</v>
      </c>
      <c r="F22" s="17" t="s">
        <v>647</v>
      </c>
      <c r="G22" s="14"/>
      <c r="H22" s="14"/>
      <c r="I22" s="16"/>
    </row>
    <row r="23" spans="1:9" x14ac:dyDescent="0.25">
      <c r="A23" t="s">
        <v>677</v>
      </c>
      <c r="B23" t="s">
        <v>678</v>
      </c>
      <c r="C23" s="13" t="s">
        <v>646</v>
      </c>
      <c r="D23" s="13" t="s">
        <v>128</v>
      </c>
      <c r="E23" s="13" t="s">
        <v>65</v>
      </c>
      <c r="F23" s="17" t="s">
        <v>647</v>
      </c>
      <c r="G23" s="14"/>
      <c r="H23" s="14"/>
      <c r="I23" s="16"/>
    </row>
    <row r="24" spans="1:9" x14ac:dyDescent="0.25">
      <c r="A24" t="s">
        <v>679</v>
      </c>
      <c r="B24" t="s">
        <v>680</v>
      </c>
      <c r="C24" s="13" t="s">
        <v>646</v>
      </c>
      <c r="D24" s="13" t="s">
        <v>69</v>
      </c>
      <c r="E24" s="13" t="s">
        <v>65</v>
      </c>
      <c r="F24" s="17" t="s">
        <v>647</v>
      </c>
      <c r="G24" s="14"/>
      <c r="H24" s="14"/>
      <c r="I24" s="16"/>
    </row>
    <row r="25" spans="1:9" x14ac:dyDescent="0.25">
      <c r="A25" t="s">
        <v>681</v>
      </c>
      <c r="B25" t="s">
        <v>682</v>
      </c>
      <c r="C25" s="13" t="s">
        <v>646</v>
      </c>
      <c r="D25" s="13" t="s">
        <v>72</v>
      </c>
      <c r="E25" s="13" t="s">
        <v>65</v>
      </c>
      <c r="F25" s="17" t="s">
        <v>647</v>
      </c>
      <c r="G25" s="14"/>
      <c r="H25" s="14"/>
      <c r="I25" s="16"/>
    </row>
    <row r="26" spans="1:9" x14ac:dyDescent="0.25">
      <c r="A26" t="s">
        <v>683</v>
      </c>
      <c r="B26" t="s">
        <v>684</v>
      </c>
      <c r="C26" s="13" t="s">
        <v>646</v>
      </c>
      <c r="D26" s="13" t="s">
        <v>75</v>
      </c>
      <c r="E26" s="13" t="s">
        <v>65</v>
      </c>
      <c r="F26" s="17" t="s">
        <v>647</v>
      </c>
      <c r="G26" s="14"/>
      <c r="H26" s="14"/>
      <c r="I26" s="16"/>
    </row>
    <row r="27" spans="1:9" x14ac:dyDescent="0.25">
      <c r="A27" t="s">
        <v>685</v>
      </c>
      <c r="B27" t="s">
        <v>686</v>
      </c>
      <c r="C27" s="13" t="s">
        <v>646</v>
      </c>
      <c r="D27" s="13" t="s">
        <v>64</v>
      </c>
      <c r="E27" s="13" t="s">
        <v>65</v>
      </c>
      <c r="F27" s="17" t="s">
        <v>647</v>
      </c>
      <c r="G27" s="14"/>
      <c r="H27" s="14"/>
      <c r="I27" s="16"/>
    </row>
    <row r="28" spans="1:9" x14ac:dyDescent="0.25">
      <c r="A28" t="s">
        <v>687</v>
      </c>
      <c r="B28" t="s">
        <v>688</v>
      </c>
      <c r="C28" s="13" t="s">
        <v>646</v>
      </c>
      <c r="D28" s="13" t="s">
        <v>69</v>
      </c>
      <c r="E28" s="13" t="s">
        <v>65</v>
      </c>
      <c r="F28" s="17" t="s">
        <v>647</v>
      </c>
      <c r="G28" s="14"/>
      <c r="H28" s="14"/>
      <c r="I28" s="16"/>
    </row>
    <row r="29" spans="1:9" x14ac:dyDescent="0.25">
      <c r="A29" t="s">
        <v>689</v>
      </c>
      <c r="B29" t="s">
        <v>690</v>
      </c>
      <c r="C29" s="13" t="s">
        <v>646</v>
      </c>
      <c r="D29" s="13" t="s">
        <v>75</v>
      </c>
      <c r="E29" s="13" t="s">
        <v>65</v>
      </c>
      <c r="F29" s="17" t="s">
        <v>647</v>
      </c>
      <c r="G29" s="14"/>
      <c r="H29" s="14"/>
      <c r="I29" s="16"/>
    </row>
    <row r="30" spans="1:9" x14ac:dyDescent="0.25">
      <c r="A30" t="s">
        <v>691</v>
      </c>
      <c r="B30" t="s">
        <v>692</v>
      </c>
      <c r="C30" s="13" t="s">
        <v>646</v>
      </c>
      <c r="D30" s="13" t="s">
        <v>75</v>
      </c>
      <c r="E30" s="13" t="s">
        <v>65</v>
      </c>
      <c r="F30" s="17" t="s">
        <v>647</v>
      </c>
      <c r="G30" s="14"/>
      <c r="H30" s="14"/>
      <c r="I30" s="16"/>
    </row>
    <row r="31" spans="1:9" x14ac:dyDescent="0.25">
      <c r="A31" t="s">
        <v>693</v>
      </c>
      <c r="B31" t="s">
        <v>694</v>
      </c>
      <c r="C31" s="13" t="s">
        <v>646</v>
      </c>
      <c r="D31" s="13" t="s">
        <v>64</v>
      </c>
      <c r="E31" s="13" t="s">
        <v>65</v>
      </c>
      <c r="F31" s="17" t="s">
        <v>647</v>
      </c>
      <c r="G31" s="14"/>
      <c r="H31" s="14"/>
      <c r="I31" s="16"/>
    </row>
    <row r="32" spans="1:9" x14ac:dyDescent="0.25">
      <c r="A32" t="s">
        <v>695</v>
      </c>
      <c r="B32" t="s">
        <v>696</v>
      </c>
      <c r="C32" s="13" t="s">
        <v>646</v>
      </c>
      <c r="D32" s="13" t="s">
        <v>69</v>
      </c>
      <c r="E32" s="13" t="s">
        <v>65</v>
      </c>
      <c r="F32" s="17" t="s">
        <v>647</v>
      </c>
      <c r="G32" s="14"/>
      <c r="H32" s="14"/>
      <c r="I32" s="16"/>
    </row>
    <row r="33" spans="1:9" x14ac:dyDescent="0.25">
      <c r="A33" t="s">
        <v>697</v>
      </c>
      <c r="B33" t="s">
        <v>698</v>
      </c>
      <c r="C33" s="13" t="s">
        <v>646</v>
      </c>
      <c r="D33" s="13" t="s">
        <v>72</v>
      </c>
      <c r="E33" s="13" t="s">
        <v>65</v>
      </c>
      <c r="F33" s="17" t="s">
        <v>647</v>
      </c>
      <c r="G33" s="14"/>
      <c r="H33" s="14"/>
      <c r="I33" s="16"/>
    </row>
    <row r="34" spans="1:9" x14ac:dyDescent="0.25">
      <c r="A34" t="s">
        <v>699</v>
      </c>
      <c r="B34" t="s">
        <v>700</v>
      </c>
      <c r="C34" s="13" t="s">
        <v>646</v>
      </c>
      <c r="D34" s="13" t="s">
        <v>654</v>
      </c>
      <c r="E34" s="13" t="s">
        <v>65</v>
      </c>
      <c r="F34" s="17" t="s">
        <v>647</v>
      </c>
      <c r="G34" s="14"/>
      <c r="H34" s="14"/>
      <c r="I34" s="16"/>
    </row>
    <row r="35" spans="1:9" x14ac:dyDescent="0.25">
      <c r="A35" t="s">
        <v>701</v>
      </c>
      <c r="B35" t="s">
        <v>702</v>
      </c>
      <c r="C35" s="13" t="s">
        <v>646</v>
      </c>
      <c r="D35" s="13" t="s">
        <v>550</v>
      </c>
      <c r="E35" s="13" t="s">
        <v>65</v>
      </c>
      <c r="F35" s="17" t="s">
        <v>647</v>
      </c>
      <c r="G35" s="14"/>
      <c r="H35" s="14"/>
      <c r="I35" s="16"/>
    </row>
    <row r="36" spans="1:9" x14ac:dyDescent="0.25">
      <c r="A36" t="s">
        <v>703</v>
      </c>
      <c r="B36" t="s">
        <v>704</v>
      </c>
      <c r="C36" s="13" t="s">
        <v>646</v>
      </c>
      <c r="D36" s="13" t="s">
        <v>64</v>
      </c>
      <c r="E36" s="13" t="s">
        <v>120</v>
      </c>
      <c r="F36" s="17" t="s">
        <v>647</v>
      </c>
      <c r="G36" s="14"/>
      <c r="H36" s="14"/>
      <c r="I36" s="16"/>
    </row>
    <row r="37" spans="1:9" x14ac:dyDescent="0.25">
      <c r="A37" t="s">
        <v>705</v>
      </c>
      <c r="B37" t="s">
        <v>706</v>
      </c>
      <c r="C37" s="13" t="s">
        <v>646</v>
      </c>
      <c r="D37" s="13" t="s">
        <v>69</v>
      </c>
      <c r="E37" s="13" t="s">
        <v>120</v>
      </c>
      <c r="F37" s="17" t="s">
        <v>647</v>
      </c>
      <c r="G37" s="14"/>
      <c r="H37" s="14"/>
      <c r="I37" s="16"/>
    </row>
    <row r="38" spans="1:9" x14ac:dyDescent="0.25">
      <c r="A38" t="s">
        <v>707</v>
      </c>
      <c r="B38" t="s">
        <v>708</v>
      </c>
      <c r="C38" s="13" t="s">
        <v>646</v>
      </c>
      <c r="D38" s="13" t="s">
        <v>72</v>
      </c>
      <c r="E38" s="13" t="s">
        <v>120</v>
      </c>
      <c r="F38" s="17" t="s">
        <v>647</v>
      </c>
      <c r="G38" s="14"/>
      <c r="H38" s="14"/>
      <c r="I38" s="16"/>
    </row>
    <row r="39" spans="1:9" x14ac:dyDescent="0.25">
      <c r="A39" t="s">
        <v>709</v>
      </c>
      <c r="B39" t="s">
        <v>710</v>
      </c>
      <c r="C39" s="13" t="s">
        <v>646</v>
      </c>
      <c r="D39" s="13" t="s">
        <v>64</v>
      </c>
      <c r="E39" s="13" t="s">
        <v>120</v>
      </c>
      <c r="F39" s="17" t="s">
        <v>647</v>
      </c>
      <c r="G39" s="14"/>
      <c r="H39" s="14"/>
      <c r="I39" s="16"/>
    </row>
    <row r="40" spans="1:9" x14ac:dyDescent="0.25">
      <c r="A40" t="s">
        <v>711</v>
      </c>
      <c r="B40" t="s">
        <v>712</v>
      </c>
      <c r="C40" s="13" t="s">
        <v>646</v>
      </c>
      <c r="D40" s="13" t="s">
        <v>69</v>
      </c>
      <c r="E40" s="13" t="s">
        <v>120</v>
      </c>
      <c r="F40" s="17" t="s">
        <v>647</v>
      </c>
      <c r="G40" s="14"/>
      <c r="H40" s="14"/>
      <c r="I40" s="16"/>
    </row>
    <row r="41" spans="1:9" x14ac:dyDescent="0.25">
      <c r="A41" t="s">
        <v>713</v>
      </c>
      <c r="B41" t="s">
        <v>714</v>
      </c>
      <c r="C41" s="13" t="s">
        <v>646</v>
      </c>
      <c r="D41" s="13" t="s">
        <v>72</v>
      </c>
      <c r="E41" s="13" t="s">
        <v>120</v>
      </c>
      <c r="F41" s="17" t="s">
        <v>647</v>
      </c>
      <c r="G41" s="14"/>
      <c r="H41" s="14"/>
      <c r="I41" s="16"/>
    </row>
    <row r="42" spans="1:9" x14ac:dyDescent="0.25">
      <c r="A42" t="s">
        <v>715</v>
      </c>
      <c r="B42" t="s">
        <v>716</v>
      </c>
      <c r="C42" s="13" t="s">
        <v>646</v>
      </c>
      <c r="D42" s="13" t="s">
        <v>128</v>
      </c>
      <c r="E42" s="13" t="s">
        <v>65</v>
      </c>
      <c r="F42" s="17" t="s">
        <v>647</v>
      </c>
      <c r="G42" s="14"/>
      <c r="H42" s="14"/>
      <c r="I42" s="16"/>
    </row>
    <row r="43" spans="1:9" x14ac:dyDescent="0.25">
      <c r="A43" t="s">
        <v>717</v>
      </c>
      <c r="B43" t="s">
        <v>718</v>
      </c>
      <c r="C43" s="13" t="s">
        <v>646</v>
      </c>
      <c r="D43" s="13" t="s">
        <v>75</v>
      </c>
      <c r="E43" s="13" t="s">
        <v>65</v>
      </c>
      <c r="F43" s="17" t="s">
        <v>647</v>
      </c>
      <c r="G43" s="14"/>
      <c r="H43" s="14"/>
      <c r="I43" s="16"/>
    </row>
    <row r="44" spans="1:9" x14ac:dyDescent="0.25">
      <c r="A44" t="s">
        <v>719</v>
      </c>
      <c r="B44" t="s">
        <v>720</v>
      </c>
      <c r="C44" s="13" t="s">
        <v>646</v>
      </c>
      <c r="D44" s="13" t="s">
        <v>64</v>
      </c>
      <c r="E44" s="13" t="s">
        <v>65</v>
      </c>
      <c r="F44" s="17" t="s">
        <v>647</v>
      </c>
      <c r="G44" s="14"/>
      <c r="H44" s="14"/>
      <c r="I44" s="16"/>
    </row>
    <row r="45" spans="1:9" x14ac:dyDescent="0.25">
      <c r="A45" t="s">
        <v>721</v>
      </c>
      <c r="B45" t="s">
        <v>722</v>
      </c>
      <c r="C45" s="13" t="s">
        <v>646</v>
      </c>
      <c r="D45" s="13" t="s">
        <v>64</v>
      </c>
      <c r="E45" s="13" t="s">
        <v>65</v>
      </c>
      <c r="F45" s="17" t="s">
        <v>647</v>
      </c>
      <c r="G45" s="14"/>
      <c r="H45" s="14"/>
      <c r="I45" s="16"/>
    </row>
    <row r="46" spans="1:9" x14ac:dyDescent="0.25">
      <c r="A46" t="s">
        <v>723</v>
      </c>
      <c r="B46" t="s">
        <v>724</v>
      </c>
      <c r="C46" s="13" t="s">
        <v>646</v>
      </c>
      <c r="D46" s="13" t="s">
        <v>128</v>
      </c>
      <c r="E46" s="13" t="s">
        <v>65</v>
      </c>
      <c r="F46" s="17" t="s">
        <v>647</v>
      </c>
      <c r="G46" s="14"/>
      <c r="H46" s="14"/>
      <c r="I46" s="16"/>
    </row>
    <row r="47" spans="1:9" x14ac:dyDescent="0.25">
      <c r="A47" t="s">
        <v>725</v>
      </c>
      <c r="B47" t="s">
        <v>726</v>
      </c>
      <c r="C47" s="13" t="s">
        <v>646</v>
      </c>
      <c r="D47" s="13" t="s">
        <v>69</v>
      </c>
      <c r="E47" s="13" t="s">
        <v>65</v>
      </c>
      <c r="F47" s="17" t="s">
        <v>647</v>
      </c>
      <c r="G47" s="14"/>
      <c r="H47" s="14"/>
      <c r="I47" s="16"/>
    </row>
    <row r="48" spans="1:9" x14ac:dyDescent="0.25">
      <c r="A48" t="s">
        <v>727</v>
      </c>
      <c r="B48" t="s">
        <v>728</v>
      </c>
      <c r="C48" s="13" t="s">
        <v>646</v>
      </c>
      <c r="D48" s="13" t="s">
        <v>72</v>
      </c>
      <c r="E48" s="13" t="s">
        <v>65</v>
      </c>
      <c r="F48" s="17" t="s">
        <v>647</v>
      </c>
      <c r="G48" s="14"/>
      <c r="H48" s="14"/>
      <c r="I48" s="16"/>
    </row>
    <row r="49" spans="1:9" x14ac:dyDescent="0.25">
      <c r="A49" t="s">
        <v>729</v>
      </c>
      <c r="B49" t="s">
        <v>730</v>
      </c>
      <c r="C49" s="13" t="s">
        <v>646</v>
      </c>
      <c r="D49" s="13" t="s">
        <v>75</v>
      </c>
      <c r="E49" s="13" t="s">
        <v>65</v>
      </c>
      <c r="F49" s="17" t="s">
        <v>647</v>
      </c>
      <c r="G49" s="14"/>
      <c r="H49" s="14"/>
      <c r="I49" s="16"/>
    </row>
    <row r="50" spans="1:9" x14ac:dyDescent="0.25">
      <c r="A50" t="s">
        <v>731</v>
      </c>
      <c r="B50" t="s">
        <v>732</v>
      </c>
      <c r="C50" s="13" t="s">
        <v>646</v>
      </c>
      <c r="D50" s="13" t="s">
        <v>64</v>
      </c>
      <c r="E50" s="13" t="s">
        <v>65</v>
      </c>
      <c r="F50" s="17" t="s">
        <v>647</v>
      </c>
      <c r="G50" s="14"/>
      <c r="H50" s="14"/>
      <c r="I50" s="16"/>
    </row>
    <row r="51" spans="1:9" x14ac:dyDescent="0.25">
      <c r="A51" t="s">
        <v>733</v>
      </c>
      <c r="B51" t="s">
        <v>734</v>
      </c>
      <c r="C51" s="13" t="s">
        <v>646</v>
      </c>
      <c r="D51" s="13" t="s">
        <v>64</v>
      </c>
      <c r="E51" s="13" t="s">
        <v>65</v>
      </c>
      <c r="F51" s="17" t="s">
        <v>647</v>
      </c>
      <c r="G51" s="14"/>
      <c r="H51" s="14"/>
      <c r="I51" s="16"/>
    </row>
    <row r="52" spans="1:9" x14ac:dyDescent="0.25">
      <c r="A52" t="s">
        <v>735</v>
      </c>
      <c r="B52" t="s">
        <v>736</v>
      </c>
      <c r="C52" s="13" t="s">
        <v>646</v>
      </c>
      <c r="D52" s="13" t="s">
        <v>69</v>
      </c>
      <c r="E52" s="13" t="s">
        <v>65</v>
      </c>
      <c r="F52" s="17" t="s">
        <v>647</v>
      </c>
      <c r="G52" s="14"/>
      <c r="H52" s="14"/>
      <c r="I52" s="16"/>
    </row>
    <row r="53" spans="1:9" x14ac:dyDescent="0.25">
      <c r="A53" t="s">
        <v>737</v>
      </c>
      <c r="B53" t="s">
        <v>738</v>
      </c>
      <c r="C53" s="13" t="s">
        <v>646</v>
      </c>
      <c r="D53" s="13" t="s">
        <v>75</v>
      </c>
      <c r="E53" s="13" t="s">
        <v>65</v>
      </c>
      <c r="F53" s="17" t="s">
        <v>647</v>
      </c>
      <c r="G53" s="14"/>
      <c r="H53" s="14"/>
      <c r="I53" s="16"/>
    </row>
    <row r="54" spans="1:9" x14ac:dyDescent="0.25">
      <c r="A54" t="s">
        <v>739</v>
      </c>
      <c r="B54" t="s">
        <v>740</v>
      </c>
      <c r="C54" s="13" t="s">
        <v>646</v>
      </c>
      <c r="D54" s="13" t="s">
        <v>75</v>
      </c>
      <c r="E54" s="13" t="s">
        <v>65</v>
      </c>
      <c r="F54" s="17" t="s">
        <v>647</v>
      </c>
      <c r="G54" s="14"/>
      <c r="H54" s="14"/>
      <c r="I54" s="16"/>
    </row>
    <row r="55" spans="1:9" x14ac:dyDescent="0.25">
      <c r="A55" t="s">
        <v>741</v>
      </c>
      <c r="B55" t="s">
        <v>742</v>
      </c>
      <c r="C55" s="13" t="s">
        <v>646</v>
      </c>
      <c r="D55" s="13" t="s">
        <v>550</v>
      </c>
      <c r="E55" s="13" t="s">
        <v>65</v>
      </c>
      <c r="F55" s="17" t="s">
        <v>647</v>
      </c>
      <c r="G55" s="14"/>
      <c r="H55" s="14"/>
      <c r="I55" s="16"/>
    </row>
    <row r="56" spans="1:9" x14ac:dyDescent="0.25">
      <c r="A56" s="13" t="s">
        <v>743</v>
      </c>
      <c r="B56" s="11" t="s">
        <v>491</v>
      </c>
      <c r="C56" s="13" t="s">
        <v>744</v>
      </c>
      <c r="D56" s="13" t="s">
        <v>155</v>
      </c>
      <c r="E56" s="13" t="s">
        <v>120</v>
      </c>
      <c r="F56" s="13" t="s">
        <v>745</v>
      </c>
      <c r="G56" s="14"/>
      <c r="H56" s="14"/>
      <c r="I56" s="16"/>
    </row>
    <row r="57" spans="1:9" x14ac:dyDescent="0.25">
      <c r="A57" s="11" t="s">
        <v>610</v>
      </c>
      <c r="B57" s="11" t="s">
        <v>611</v>
      </c>
      <c r="C57" s="13" t="s">
        <v>611</v>
      </c>
      <c r="D57" s="13" t="s">
        <v>64</v>
      </c>
      <c r="E57" s="13" t="s">
        <v>120</v>
      </c>
      <c r="F57" s="13" t="s">
        <v>746</v>
      </c>
      <c r="G57" s="14"/>
      <c r="H57" s="14"/>
      <c r="I57" s="16"/>
    </row>
    <row r="58" spans="1:9" x14ac:dyDescent="0.25">
      <c r="A58" s="14" t="s">
        <v>617</v>
      </c>
      <c r="B58" s="14" t="s">
        <v>618</v>
      </c>
      <c r="C58" s="13" t="s">
        <v>154</v>
      </c>
      <c r="D58" s="13" t="s">
        <v>550</v>
      </c>
      <c r="E58" s="13" t="s">
        <v>120</v>
      </c>
      <c r="F58" s="13" t="s">
        <v>747</v>
      </c>
      <c r="G58" s="14"/>
      <c r="H58" s="14"/>
      <c r="I58" s="16"/>
    </row>
    <row r="59" spans="1:9" x14ac:dyDescent="0.25">
      <c r="A59" s="11" t="s">
        <v>61</v>
      </c>
      <c r="B59" s="11" t="s">
        <v>62</v>
      </c>
      <c r="C59" s="13" t="s">
        <v>63</v>
      </c>
      <c r="D59" s="13" t="s">
        <v>64</v>
      </c>
      <c r="E59" s="13" t="s">
        <v>65</v>
      </c>
      <c r="F59" s="13" t="s">
        <v>639</v>
      </c>
      <c r="G59" s="14"/>
      <c r="H59" s="14"/>
      <c r="I59" s="16"/>
    </row>
    <row r="60" spans="1:9" x14ac:dyDescent="0.25">
      <c r="A60" s="11" t="s">
        <v>67</v>
      </c>
      <c r="B60" s="11" t="s">
        <v>68</v>
      </c>
      <c r="C60" s="13" t="s">
        <v>63</v>
      </c>
      <c r="D60" s="13" t="s">
        <v>69</v>
      </c>
      <c r="E60" s="13" t="s">
        <v>65</v>
      </c>
      <c r="F60" s="13" t="s">
        <v>639</v>
      </c>
      <c r="G60" s="14"/>
      <c r="H60" s="14"/>
      <c r="I60" s="16"/>
    </row>
    <row r="61" spans="1:9" x14ac:dyDescent="0.25">
      <c r="A61" s="11" t="s">
        <v>70</v>
      </c>
      <c r="B61" s="11" t="s">
        <v>71</v>
      </c>
      <c r="C61" s="13" t="s">
        <v>63</v>
      </c>
      <c r="D61" s="13" t="s">
        <v>72</v>
      </c>
      <c r="E61" s="13" t="s">
        <v>65</v>
      </c>
      <c r="F61" s="13" t="s">
        <v>639</v>
      </c>
      <c r="G61" s="14"/>
      <c r="H61" s="14"/>
      <c r="I61" s="16"/>
    </row>
    <row r="62" spans="1:9" x14ac:dyDescent="0.25">
      <c r="A62" s="13" t="s">
        <v>73</v>
      </c>
      <c r="B62" s="11" t="s">
        <v>74</v>
      </c>
      <c r="C62" s="13" t="s">
        <v>63</v>
      </c>
      <c r="D62" s="13" t="s">
        <v>75</v>
      </c>
      <c r="E62" s="13" t="s">
        <v>65</v>
      </c>
      <c r="F62" s="13" t="s">
        <v>639</v>
      </c>
      <c r="G62" s="14"/>
      <c r="H62" s="14"/>
      <c r="I62" s="16"/>
    </row>
    <row r="63" spans="1:9" x14ac:dyDescent="0.25">
      <c r="A63" s="11" t="s">
        <v>76</v>
      </c>
      <c r="B63" s="11" t="s">
        <v>77</v>
      </c>
      <c r="C63" s="13" t="s">
        <v>63</v>
      </c>
      <c r="D63" s="13" t="s">
        <v>78</v>
      </c>
      <c r="E63" s="13" t="s">
        <v>65</v>
      </c>
      <c r="F63" s="13" t="s">
        <v>639</v>
      </c>
      <c r="G63" s="14"/>
      <c r="H63" s="14"/>
      <c r="I63" s="16"/>
    </row>
    <row r="64" spans="1:9" x14ac:dyDescent="0.25">
      <c r="A64" s="11" t="s">
        <v>79</v>
      </c>
      <c r="B64" s="11" t="s">
        <v>80</v>
      </c>
      <c r="C64" s="13" t="s">
        <v>63</v>
      </c>
      <c r="D64" s="13" t="s">
        <v>81</v>
      </c>
      <c r="E64" s="13" t="s">
        <v>65</v>
      </c>
      <c r="F64" s="13" t="s">
        <v>639</v>
      </c>
      <c r="G64" s="14"/>
      <c r="H64" s="14"/>
      <c r="I64" s="16"/>
    </row>
    <row r="65" spans="1:9" x14ac:dyDescent="0.25">
      <c r="A65" s="11" t="s">
        <v>82</v>
      </c>
      <c r="B65" s="11" t="s">
        <v>83</v>
      </c>
      <c r="C65" s="13" t="s">
        <v>63</v>
      </c>
      <c r="D65" s="13" t="s">
        <v>64</v>
      </c>
      <c r="E65" s="13" t="s">
        <v>65</v>
      </c>
      <c r="F65" s="13" t="s">
        <v>639</v>
      </c>
      <c r="G65" s="14"/>
      <c r="H65" s="14"/>
      <c r="I65" s="16"/>
    </row>
    <row r="66" spans="1:9" x14ac:dyDescent="0.25">
      <c r="A66" s="11" t="s">
        <v>84</v>
      </c>
      <c r="B66" s="11" t="s">
        <v>85</v>
      </c>
      <c r="C66" s="13" t="s">
        <v>63</v>
      </c>
      <c r="D66" s="13" t="s">
        <v>69</v>
      </c>
      <c r="E66" s="13" t="s">
        <v>65</v>
      </c>
      <c r="F66" s="13" t="s">
        <v>639</v>
      </c>
      <c r="G66" s="14"/>
      <c r="H66" s="14"/>
      <c r="I66" s="16"/>
    </row>
    <row r="67" spans="1:9" x14ac:dyDescent="0.25">
      <c r="A67" s="11" t="s">
        <v>86</v>
      </c>
      <c r="B67" s="11" t="s">
        <v>87</v>
      </c>
      <c r="C67" s="13" t="s">
        <v>63</v>
      </c>
      <c r="D67" s="13" t="s">
        <v>75</v>
      </c>
      <c r="E67" s="13" t="s">
        <v>65</v>
      </c>
      <c r="F67" s="13" t="s">
        <v>639</v>
      </c>
      <c r="G67" s="14"/>
      <c r="H67" s="14"/>
      <c r="I67" s="16"/>
    </row>
    <row r="68" spans="1:9" x14ac:dyDescent="0.25">
      <c r="A68" s="11" t="s">
        <v>88</v>
      </c>
      <c r="B68" s="11" t="s">
        <v>89</v>
      </c>
      <c r="C68" s="13" t="s">
        <v>63</v>
      </c>
      <c r="D68" s="13" t="s">
        <v>81</v>
      </c>
      <c r="E68" s="13" t="s">
        <v>65</v>
      </c>
      <c r="F68" s="13" t="s">
        <v>639</v>
      </c>
      <c r="G68" s="14"/>
      <c r="H68" s="14"/>
      <c r="I68" s="16"/>
    </row>
    <row r="69" spans="1:9" x14ac:dyDescent="0.25">
      <c r="A69" s="11" t="s">
        <v>90</v>
      </c>
      <c r="B69" s="11" t="s">
        <v>62</v>
      </c>
      <c r="C69" s="13" t="s">
        <v>63</v>
      </c>
      <c r="D69" s="13" t="s">
        <v>64</v>
      </c>
      <c r="E69" s="13" t="s">
        <v>65</v>
      </c>
      <c r="F69" s="13" t="s">
        <v>639</v>
      </c>
      <c r="G69" s="14"/>
      <c r="H69" s="14"/>
      <c r="I69" s="16"/>
    </row>
    <row r="70" spans="1:9" x14ac:dyDescent="0.25">
      <c r="A70" s="11" t="s">
        <v>91</v>
      </c>
      <c r="B70" s="11" t="s">
        <v>68</v>
      </c>
      <c r="C70" s="13" t="s">
        <v>63</v>
      </c>
      <c r="D70" s="13" t="s">
        <v>69</v>
      </c>
      <c r="E70" s="13" t="s">
        <v>65</v>
      </c>
      <c r="F70" s="13" t="s">
        <v>639</v>
      </c>
      <c r="G70" s="14"/>
      <c r="H70" s="14"/>
      <c r="I70" s="16"/>
    </row>
    <row r="71" spans="1:9" x14ac:dyDescent="0.25">
      <c r="A71" s="11" t="s">
        <v>92</v>
      </c>
      <c r="B71" s="11" t="s">
        <v>71</v>
      </c>
      <c r="C71" s="13" t="s">
        <v>63</v>
      </c>
      <c r="D71" s="13" t="s">
        <v>72</v>
      </c>
      <c r="E71" s="13" t="s">
        <v>65</v>
      </c>
      <c r="F71" s="13" t="s">
        <v>639</v>
      </c>
      <c r="G71" s="14"/>
      <c r="H71" s="14"/>
      <c r="I71" s="16"/>
    </row>
    <row r="72" spans="1:9" x14ac:dyDescent="0.25">
      <c r="A72" s="11" t="s">
        <v>93</v>
      </c>
      <c r="B72" s="11" t="s">
        <v>94</v>
      </c>
      <c r="C72" s="13" t="s">
        <v>95</v>
      </c>
      <c r="D72" s="13" t="s">
        <v>64</v>
      </c>
      <c r="E72" s="13" t="s">
        <v>65</v>
      </c>
      <c r="F72" s="13" t="s">
        <v>639</v>
      </c>
      <c r="G72" s="14"/>
      <c r="H72" s="14"/>
      <c r="I72" s="16"/>
    </row>
    <row r="73" spans="1:9" x14ac:dyDescent="0.25">
      <c r="A73" s="11" t="s">
        <v>96</v>
      </c>
      <c r="B73" s="11" t="s">
        <v>97</v>
      </c>
      <c r="C73" s="13" t="s">
        <v>95</v>
      </c>
      <c r="D73" s="13" t="s">
        <v>69</v>
      </c>
      <c r="E73" s="13" t="s">
        <v>65</v>
      </c>
      <c r="F73" s="13" t="s">
        <v>639</v>
      </c>
      <c r="G73" s="14"/>
      <c r="H73" s="14"/>
      <c r="I73" s="16"/>
    </row>
    <row r="74" spans="1:9" x14ac:dyDescent="0.25">
      <c r="A74" s="11" t="s">
        <v>98</v>
      </c>
      <c r="B74" s="11" t="s">
        <v>99</v>
      </c>
      <c r="C74" s="13" t="s">
        <v>95</v>
      </c>
      <c r="D74" s="13" t="s">
        <v>72</v>
      </c>
      <c r="E74" s="13" t="s">
        <v>65</v>
      </c>
      <c r="F74" s="13" t="s">
        <v>639</v>
      </c>
      <c r="G74" s="14"/>
      <c r="H74" s="14"/>
      <c r="I74" s="16"/>
    </row>
    <row r="75" spans="1:9" x14ac:dyDescent="0.25">
      <c r="A75" s="11" t="s">
        <v>100</v>
      </c>
      <c r="B75" s="11" t="s">
        <v>101</v>
      </c>
      <c r="C75" s="13" t="s">
        <v>95</v>
      </c>
      <c r="D75" s="13" t="s">
        <v>75</v>
      </c>
      <c r="E75" s="13" t="s">
        <v>65</v>
      </c>
      <c r="F75" s="13" t="s">
        <v>639</v>
      </c>
      <c r="G75" s="14"/>
      <c r="H75" s="14"/>
      <c r="I75" s="16"/>
    </row>
    <row r="76" spans="1:9" x14ac:dyDescent="0.25">
      <c r="A76" s="11" t="s">
        <v>102</v>
      </c>
      <c r="B76" s="11" t="s">
        <v>103</v>
      </c>
      <c r="C76" s="13" t="s">
        <v>95</v>
      </c>
      <c r="D76" s="13" t="s">
        <v>78</v>
      </c>
      <c r="E76" s="13" t="s">
        <v>65</v>
      </c>
      <c r="F76" s="13" t="s">
        <v>639</v>
      </c>
      <c r="G76" s="14"/>
      <c r="H76" s="14"/>
      <c r="I76" s="16"/>
    </row>
    <row r="77" spans="1:9" x14ac:dyDescent="0.25">
      <c r="A77" s="11" t="s">
        <v>104</v>
      </c>
      <c r="B77" s="11" t="s">
        <v>105</v>
      </c>
      <c r="C77" s="13" t="s">
        <v>95</v>
      </c>
      <c r="D77" s="13" t="s">
        <v>81</v>
      </c>
      <c r="E77" s="13" t="s">
        <v>65</v>
      </c>
      <c r="F77" s="13" t="s">
        <v>639</v>
      </c>
      <c r="G77" s="14"/>
      <c r="H77" s="14"/>
      <c r="I77" s="16"/>
    </row>
    <row r="78" spans="1:9" x14ac:dyDescent="0.25">
      <c r="A78" s="11" t="s">
        <v>106</v>
      </c>
      <c r="B78" s="11" t="s">
        <v>107</v>
      </c>
      <c r="C78" s="13" t="s">
        <v>95</v>
      </c>
      <c r="D78" s="13" t="s">
        <v>64</v>
      </c>
      <c r="E78" s="13" t="s">
        <v>65</v>
      </c>
      <c r="F78" s="13" t="s">
        <v>639</v>
      </c>
      <c r="G78" s="14"/>
      <c r="H78" s="14"/>
      <c r="I78" s="16"/>
    </row>
    <row r="79" spans="1:9" x14ac:dyDescent="0.25">
      <c r="A79" s="11" t="s">
        <v>108</v>
      </c>
      <c r="B79" s="11" t="s">
        <v>109</v>
      </c>
      <c r="C79" s="13" t="s">
        <v>95</v>
      </c>
      <c r="D79" s="13" t="s">
        <v>69</v>
      </c>
      <c r="E79" s="13" t="s">
        <v>65</v>
      </c>
      <c r="F79" s="13" t="s">
        <v>639</v>
      </c>
      <c r="G79" s="14"/>
      <c r="H79" s="14"/>
      <c r="I79" s="16"/>
    </row>
    <row r="80" spans="1:9" x14ac:dyDescent="0.25">
      <c r="A80" s="11" t="s">
        <v>110</v>
      </c>
      <c r="B80" s="11" t="s">
        <v>111</v>
      </c>
      <c r="C80" s="13" t="s">
        <v>95</v>
      </c>
      <c r="D80" s="13" t="s">
        <v>75</v>
      </c>
      <c r="E80" s="13" t="s">
        <v>65</v>
      </c>
      <c r="F80" s="13" t="s">
        <v>639</v>
      </c>
      <c r="G80" s="14"/>
      <c r="H80" s="14"/>
      <c r="I80" s="16"/>
    </row>
    <row r="81" spans="1:9" x14ac:dyDescent="0.25">
      <c r="A81" s="11" t="s">
        <v>112</v>
      </c>
      <c r="B81" s="11" t="s">
        <v>113</v>
      </c>
      <c r="C81" s="13" t="s">
        <v>95</v>
      </c>
      <c r="D81" s="13" t="s">
        <v>81</v>
      </c>
      <c r="E81" s="13" t="s">
        <v>65</v>
      </c>
      <c r="F81" s="13" t="s">
        <v>639</v>
      </c>
      <c r="G81" s="14"/>
      <c r="H81" s="14"/>
      <c r="I81" s="16"/>
    </row>
    <row r="82" spans="1:9" x14ac:dyDescent="0.25">
      <c r="A82" s="11" t="s">
        <v>114</v>
      </c>
      <c r="B82" s="11" t="s">
        <v>94</v>
      </c>
      <c r="C82" s="13" t="s">
        <v>95</v>
      </c>
      <c r="D82" s="13" t="s">
        <v>64</v>
      </c>
      <c r="E82" s="13" t="s">
        <v>65</v>
      </c>
      <c r="F82" s="13" t="s">
        <v>639</v>
      </c>
      <c r="G82" s="14"/>
      <c r="H82" s="14"/>
      <c r="I82" s="16"/>
    </row>
    <row r="83" spans="1:9" x14ac:dyDescent="0.25">
      <c r="A83" s="11" t="s">
        <v>115</v>
      </c>
      <c r="B83" s="11" t="s">
        <v>97</v>
      </c>
      <c r="C83" s="13" t="s">
        <v>95</v>
      </c>
      <c r="D83" s="13" t="s">
        <v>69</v>
      </c>
      <c r="E83" s="13" t="s">
        <v>65</v>
      </c>
      <c r="F83" s="13" t="s">
        <v>639</v>
      </c>
      <c r="G83" s="14"/>
      <c r="H83" s="14"/>
      <c r="I83" s="16"/>
    </row>
    <row r="84" spans="1:9" x14ac:dyDescent="0.25">
      <c r="A84" s="11" t="s">
        <v>116</v>
      </c>
      <c r="B84" s="11" t="s">
        <v>99</v>
      </c>
      <c r="C84" s="13" t="s">
        <v>95</v>
      </c>
      <c r="D84" s="13" t="s">
        <v>72</v>
      </c>
      <c r="E84" s="13" t="s">
        <v>65</v>
      </c>
      <c r="F84" s="13" t="s">
        <v>639</v>
      </c>
      <c r="G84" s="14"/>
      <c r="H84" s="14"/>
      <c r="I84" s="16"/>
    </row>
    <row r="85" spans="1:9" x14ac:dyDescent="0.25">
      <c r="A85" s="13" t="s">
        <v>748</v>
      </c>
      <c r="B85" s="11" t="s">
        <v>749</v>
      </c>
      <c r="C85" s="13" t="s">
        <v>750</v>
      </c>
      <c r="D85" s="13" t="s">
        <v>64</v>
      </c>
      <c r="E85" s="13" t="s">
        <v>65</v>
      </c>
      <c r="F85" s="13" t="s">
        <v>639</v>
      </c>
      <c r="G85" s="14"/>
      <c r="H85" s="14"/>
      <c r="I85" s="16"/>
    </row>
    <row r="86" spans="1:9" x14ac:dyDescent="0.25">
      <c r="A86" s="11" t="s">
        <v>117</v>
      </c>
      <c r="B86" s="11" t="s">
        <v>118</v>
      </c>
      <c r="C86" s="13" t="s">
        <v>119</v>
      </c>
      <c r="D86" s="13" t="s">
        <v>64</v>
      </c>
      <c r="E86" s="13" t="s">
        <v>120</v>
      </c>
      <c r="F86" s="13" t="s">
        <v>639</v>
      </c>
      <c r="G86" s="14"/>
      <c r="H86" s="14"/>
      <c r="I86" s="16"/>
    </row>
    <row r="87" spans="1:9" x14ac:dyDescent="0.25">
      <c r="A87" s="11" t="s">
        <v>121</v>
      </c>
      <c r="B87" s="11" t="s">
        <v>118</v>
      </c>
      <c r="C87" s="13" t="s">
        <v>119</v>
      </c>
      <c r="D87" s="13" t="s">
        <v>64</v>
      </c>
      <c r="E87" s="13" t="s">
        <v>120</v>
      </c>
      <c r="F87" s="13" t="s">
        <v>639</v>
      </c>
      <c r="G87" s="14"/>
      <c r="H87" s="14"/>
      <c r="I87" s="16"/>
    </row>
    <row r="88" spans="1:9" x14ac:dyDescent="0.25">
      <c r="A88" s="11" t="s">
        <v>122</v>
      </c>
      <c r="B88" s="11" t="s">
        <v>123</v>
      </c>
      <c r="C88" s="13" t="s">
        <v>119</v>
      </c>
      <c r="D88" s="13" t="s">
        <v>69</v>
      </c>
      <c r="E88" s="13" t="s">
        <v>120</v>
      </c>
      <c r="F88" s="13" t="s">
        <v>639</v>
      </c>
      <c r="G88" s="14"/>
      <c r="H88" s="14"/>
      <c r="I88" s="16"/>
    </row>
    <row r="89" spans="1:9" x14ac:dyDescent="0.25">
      <c r="A89" s="11" t="s">
        <v>124</v>
      </c>
      <c r="B89" s="11" t="s">
        <v>125</v>
      </c>
      <c r="C89" s="13" t="s">
        <v>119</v>
      </c>
      <c r="D89" s="13" t="s">
        <v>72</v>
      </c>
      <c r="E89" s="13" t="s">
        <v>120</v>
      </c>
      <c r="F89" s="13" t="s">
        <v>639</v>
      </c>
      <c r="G89" s="14"/>
      <c r="H89" s="14"/>
      <c r="I89" s="16"/>
    </row>
    <row r="90" spans="1:9" x14ac:dyDescent="0.25">
      <c r="A90" s="11" t="s">
        <v>126</v>
      </c>
      <c r="B90" s="11" t="s">
        <v>127</v>
      </c>
      <c r="C90" s="13" t="s">
        <v>119</v>
      </c>
      <c r="D90" s="13" t="s">
        <v>128</v>
      </c>
      <c r="E90" s="13" t="s">
        <v>120</v>
      </c>
      <c r="F90" s="13" t="s">
        <v>639</v>
      </c>
      <c r="G90" s="14"/>
      <c r="H90" s="14"/>
      <c r="I90" s="16"/>
    </row>
    <row r="91" spans="1:9" x14ac:dyDescent="0.25">
      <c r="A91" s="11" t="s">
        <v>129</v>
      </c>
      <c r="B91" s="11" t="s">
        <v>130</v>
      </c>
      <c r="C91" s="13" t="s">
        <v>119</v>
      </c>
      <c r="D91" s="13" t="s">
        <v>75</v>
      </c>
      <c r="E91" s="13" t="s">
        <v>120</v>
      </c>
      <c r="F91" s="13" t="s">
        <v>639</v>
      </c>
      <c r="G91" s="14"/>
      <c r="H91" s="14"/>
      <c r="I91" s="16"/>
    </row>
    <row r="92" spans="1:9" x14ac:dyDescent="0.25">
      <c r="A92" s="11" t="s">
        <v>131</v>
      </c>
      <c r="B92" s="11" t="s">
        <v>132</v>
      </c>
      <c r="C92" s="13" t="s">
        <v>119</v>
      </c>
      <c r="D92" s="13" t="s">
        <v>78</v>
      </c>
      <c r="E92" s="13" t="s">
        <v>120</v>
      </c>
      <c r="F92" s="13" t="s">
        <v>639</v>
      </c>
      <c r="G92" s="14"/>
      <c r="H92" s="14"/>
      <c r="I92" s="16"/>
    </row>
    <row r="93" spans="1:9" x14ac:dyDescent="0.25">
      <c r="A93" s="11" t="s">
        <v>133</v>
      </c>
      <c r="B93" s="11" t="s">
        <v>134</v>
      </c>
      <c r="C93" s="13" t="s">
        <v>119</v>
      </c>
      <c r="D93" s="13" t="s">
        <v>64</v>
      </c>
      <c r="E93" s="13" t="s">
        <v>120</v>
      </c>
      <c r="F93" s="13" t="s">
        <v>639</v>
      </c>
      <c r="G93" s="14"/>
      <c r="H93" s="14"/>
      <c r="I93" s="16"/>
    </row>
    <row r="94" spans="1:9" x14ac:dyDescent="0.25">
      <c r="A94" s="11" t="s">
        <v>135</v>
      </c>
      <c r="B94" s="11" t="s">
        <v>136</v>
      </c>
      <c r="C94" s="13" t="s">
        <v>119</v>
      </c>
      <c r="D94" s="13" t="s">
        <v>75</v>
      </c>
      <c r="E94" s="13" t="s">
        <v>120</v>
      </c>
      <c r="F94" s="13" t="s">
        <v>639</v>
      </c>
      <c r="G94" s="14"/>
      <c r="H94" s="14"/>
      <c r="I94" s="16"/>
    </row>
    <row r="95" spans="1:9" x14ac:dyDescent="0.25">
      <c r="A95" s="11" t="s">
        <v>137</v>
      </c>
      <c r="B95" s="11" t="s">
        <v>138</v>
      </c>
      <c r="C95" s="13" t="s">
        <v>119</v>
      </c>
      <c r="D95" s="13" t="s">
        <v>128</v>
      </c>
      <c r="E95" s="13" t="s">
        <v>120</v>
      </c>
      <c r="F95" s="13" t="s">
        <v>639</v>
      </c>
      <c r="G95" s="14"/>
      <c r="H95" s="14"/>
      <c r="I95" s="16"/>
    </row>
    <row r="96" spans="1:9" x14ac:dyDescent="0.25">
      <c r="A96" s="11" t="s">
        <v>139</v>
      </c>
      <c r="B96" s="11" t="s">
        <v>140</v>
      </c>
      <c r="C96" s="13" t="s">
        <v>119</v>
      </c>
      <c r="D96" s="13" t="s">
        <v>141</v>
      </c>
      <c r="E96" s="13" t="s">
        <v>120</v>
      </c>
      <c r="F96" s="13" t="s">
        <v>639</v>
      </c>
      <c r="G96" s="14"/>
      <c r="H96" s="14"/>
      <c r="I96" s="16"/>
    </row>
    <row r="97" spans="1:9" x14ac:dyDescent="0.25">
      <c r="A97" s="11" t="s">
        <v>142</v>
      </c>
      <c r="B97" s="11" t="s">
        <v>143</v>
      </c>
      <c r="C97" s="13" t="s">
        <v>119</v>
      </c>
      <c r="D97" s="13" t="s">
        <v>64</v>
      </c>
      <c r="E97" s="13" t="s">
        <v>120</v>
      </c>
      <c r="F97" s="13" t="s">
        <v>639</v>
      </c>
      <c r="G97" s="14"/>
      <c r="H97" s="14"/>
      <c r="I97" s="16"/>
    </row>
    <row r="98" spans="1:9" x14ac:dyDescent="0.25">
      <c r="A98" s="11" t="s">
        <v>144</v>
      </c>
      <c r="B98" s="11" t="s">
        <v>145</v>
      </c>
      <c r="C98" s="13" t="s">
        <v>119</v>
      </c>
      <c r="D98" s="13" t="s">
        <v>78</v>
      </c>
      <c r="E98" s="13" t="s">
        <v>120</v>
      </c>
      <c r="F98" s="13" t="s">
        <v>639</v>
      </c>
      <c r="G98" s="14"/>
      <c r="H98" s="14"/>
      <c r="I98" s="16"/>
    </row>
    <row r="99" spans="1:9" x14ac:dyDescent="0.25">
      <c r="A99" s="11" t="s">
        <v>146</v>
      </c>
      <c r="B99" s="11" t="s">
        <v>147</v>
      </c>
      <c r="C99" s="13" t="s">
        <v>119</v>
      </c>
      <c r="D99" s="13" t="s">
        <v>75</v>
      </c>
      <c r="E99" s="13" t="s">
        <v>120</v>
      </c>
      <c r="F99" s="13" t="s">
        <v>639</v>
      </c>
      <c r="G99" s="14"/>
      <c r="H99" s="14"/>
      <c r="I99" s="16"/>
    </row>
    <row r="100" spans="1:9" x14ac:dyDescent="0.25">
      <c r="A100" s="11" t="s">
        <v>148</v>
      </c>
      <c r="B100" s="11" t="s">
        <v>149</v>
      </c>
      <c r="C100" s="13" t="s">
        <v>119</v>
      </c>
      <c r="D100" s="13" t="s">
        <v>72</v>
      </c>
      <c r="E100" s="13" t="s">
        <v>120</v>
      </c>
      <c r="F100" s="13" t="s">
        <v>639</v>
      </c>
      <c r="G100" s="14"/>
      <c r="H100" s="14"/>
      <c r="I100" s="16"/>
    </row>
    <row r="101" spans="1:9" x14ac:dyDescent="0.25">
      <c r="A101" s="11" t="s">
        <v>150</v>
      </c>
      <c r="B101" s="11" t="s">
        <v>123</v>
      </c>
      <c r="C101" s="13" t="s">
        <v>119</v>
      </c>
      <c r="D101" s="13" t="s">
        <v>69</v>
      </c>
      <c r="E101" s="13" t="s">
        <v>120</v>
      </c>
      <c r="F101" s="13" t="s">
        <v>639</v>
      </c>
      <c r="G101" s="14"/>
      <c r="H101" s="14"/>
      <c r="I101" s="16"/>
    </row>
    <row r="102" spans="1:9" x14ac:dyDescent="0.25">
      <c r="A102" s="11" t="s">
        <v>151</v>
      </c>
      <c r="B102" s="11" t="s">
        <v>127</v>
      </c>
      <c r="C102" s="13" t="s">
        <v>119</v>
      </c>
      <c r="D102" s="13" t="s">
        <v>128</v>
      </c>
      <c r="E102" s="13" t="s">
        <v>120</v>
      </c>
      <c r="F102" s="13" t="s">
        <v>639</v>
      </c>
      <c r="G102" s="14"/>
      <c r="H102" s="14"/>
      <c r="I102" s="16"/>
    </row>
    <row r="103" spans="1:9" x14ac:dyDescent="0.25">
      <c r="A103" s="15" t="s">
        <v>619</v>
      </c>
      <c r="B103" s="15" t="s">
        <v>620</v>
      </c>
      <c r="C103" s="13" t="s">
        <v>119</v>
      </c>
      <c r="D103" s="13" t="s">
        <v>621</v>
      </c>
      <c r="E103" s="13" t="s">
        <v>120</v>
      </c>
      <c r="F103" s="13" t="s">
        <v>639</v>
      </c>
      <c r="G103" s="14"/>
      <c r="H103" s="14"/>
      <c r="I103" s="16"/>
    </row>
    <row r="104" spans="1:9" x14ac:dyDescent="0.25">
      <c r="A104" s="11" t="s">
        <v>433</v>
      </c>
      <c r="B104" s="11" t="s">
        <v>434</v>
      </c>
      <c r="C104" s="13" t="s">
        <v>435</v>
      </c>
      <c r="D104" s="13" t="s">
        <v>75</v>
      </c>
      <c r="E104" s="13" t="s">
        <v>120</v>
      </c>
      <c r="F104" s="13" t="s">
        <v>29</v>
      </c>
      <c r="G104" s="14"/>
      <c r="H104" s="14"/>
      <c r="I104" s="16"/>
    </row>
    <row r="105" spans="1:9" x14ac:dyDescent="0.25">
      <c r="A105" s="11" t="s">
        <v>436</v>
      </c>
      <c r="B105" s="11" t="s">
        <v>437</v>
      </c>
      <c r="C105" s="13" t="s">
        <v>435</v>
      </c>
      <c r="D105" s="13" t="s">
        <v>64</v>
      </c>
      <c r="E105" s="13" t="s">
        <v>120</v>
      </c>
      <c r="F105" s="13" t="s">
        <v>751</v>
      </c>
      <c r="G105" s="14"/>
      <c r="H105" s="14"/>
      <c r="I105" s="16"/>
    </row>
    <row r="106" spans="1:9" x14ac:dyDescent="0.25">
      <c r="A106" s="11" t="s">
        <v>438</v>
      </c>
      <c r="B106" s="11" t="s">
        <v>439</v>
      </c>
      <c r="C106" s="13" t="s">
        <v>435</v>
      </c>
      <c r="D106" s="13" t="s">
        <v>128</v>
      </c>
      <c r="E106" s="13" t="s">
        <v>120</v>
      </c>
      <c r="F106" s="13" t="s">
        <v>751</v>
      </c>
      <c r="G106" s="14"/>
      <c r="H106" s="14"/>
      <c r="I106" s="16"/>
    </row>
    <row r="107" spans="1:9" x14ac:dyDescent="0.25">
      <c r="A107" s="11" t="s">
        <v>440</v>
      </c>
      <c r="B107" s="11" t="s">
        <v>441</v>
      </c>
      <c r="C107" s="13" t="s">
        <v>435</v>
      </c>
      <c r="D107" s="13" t="s">
        <v>72</v>
      </c>
      <c r="E107" s="13" t="s">
        <v>120</v>
      </c>
      <c r="F107" s="13" t="s">
        <v>751</v>
      </c>
      <c r="G107" s="14"/>
      <c r="H107" s="14"/>
      <c r="I107" s="16"/>
    </row>
    <row r="108" spans="1:9" x14ac:dyDescent="0.25">
      <c r="A108" s="11" t="s">
        <v>442</v>
      </c>
      <c r="B108" s="11" t="s">
        <v>443</v>
      </c>
      <c r="C108" s="13" t="s">
        <v>435</v>
      </c>
      <c r="D108" s="13" t="s">
        <v>75</v>
      </c>
      <c r="E108" s="13" t="s">
        <v>120</v>
      </c>
      <c r="F108" s="13" t="s">
        <v>751</v>
      </c>
      <c r="G108" s="14"/>
      <c r="H108" s="14"/>
      <c r="I108" s="16"/>
    </row>
    <row r="109" spans="1:9" x14ac:dyDescent="0.25">
      <c r="A109" s="11" t="s">
        <v>444</v>
      </c>
      <c r="B109" s="11" t="s">
        <v>445</v>
      </c>
      <c r="C109" s="13" t="s">
        <v>435</v>
      </c>
      <c r="D109" s="13" t="s">
        <v>64</v>
      </c>
      <c r="E109" s="13" t="s">
        <v>120</v>
      </c>
      <c r="F109" s="13" t="s">
        <v>29</v>
      </c>
      <c r="G109" s="14"/>
      <c r="H109" s="14"/>
      <c r="I109" s="16"/>
    </row>
    <row r="110" spans="1:9" x14ac:dyDescent="0.25">
      <c r="A110" s="11" t="s">
        <v>446</v>
      </c>
      <c r="B110" s="11" t="s">
        <v>447</v>
      </c>
      <c r="C110" s="13" t="s">
        <v>435</v>
      </c>
      <c r="D110" s="13" t="s">
        <v>128</v>
      </c>
      <c r="E110" s="13" t="s">
        <v>120</v>
      </c>
      <c r="F110" s="13" t="s">
        <v>29</v>
      </c>
      <c r="G110" s="14"/>
      <c r="H110" s="14"/>
      <c r="I110" s="16"/>
    </row>
    <row r="111" spans="1:9" x14ac:dyDescent="0.25">
      <c r="A111" s="11" t="s">
        <v>448</v>
      </c>
      <c r="B111" s="11" t="s">
        <v>449</v>
      </c>
      <c r="C111" s="13" t="s">
        <v>435</v>
      </c>
      <c r="D111" s="13" t="s">
        <v>72</v>
      </c>
      <c r="E111" s="13" t="s">
        <v>120</v>
      </c>
      <c r="F111" s="13" t="s">
        <v>29</v>
      </c>
      <c r="G111" s="14"/>
      <c r="H111" s="14"/>
      <c r="I111" s="16"/>
    </row>
    <row r="112" spans="1:9" x14ac:dyDescent="0.25">
      <c r="A112" s="11" t="s">
        <v>450</v>
      </c>
      <c r="B112" s="11" t="s">
        <v>451</v>
      </c>
      <c r="C112" s="13" t="s">
        <v>435</v>
      </c>
      <c r="D112" s="13" t="s">
        <v>64</v>
      </c>
      <c r="E112" s="13" t="s">
        <v>65</v>
      </c>
      <c r="F112" s="13" t="s">
        <v>29</v>
      </c>
      <c r="G112" s="14"/>
      <c r="H112" s="14"/>
      <c r="I112" s="16"/>
    </row>
    <row r="113" spans="1:9" x14ac:dyDescent="0.25">
      <c r="A113" s="11" t="s">
        <v>452</v>
      </c>
      <c r="B113" s="11" t="s">
        <v>453</v>
      </c>
      <c r="C113" s="13" t="s">
        <v>435</v>
      </c>
      <c r="D113" s="13" t="s">
        <v>128</v>
      </c>
      <c r="E113" s="13" t="s">
        <v>65</v>
      </c>
      <c r="F113" s="13" t="s">
        <v>29</v>
      </c>
      <c r="G113" s="14"/>
      <c r="H113" s="14"/>
      <c r="I113" s="16"/>
    </row>
    <row r="114" spans="1:9" x14ac:dyDescent="0.25">
      <c r="A114" s="11" t="s">
        <v>454</v>
      </c>
      <c r="B114" s="11" t="s">
        <v>455</v>
      </c>
      <c r="C114" s="13" t="s">
        <v>435</v>
      </c>
      <c r="D114" s="13" t="s">
        <v>69</v>
      </c>
      <c r="E114" s="13" t="s">
        <v>65</v>
      </c>
      <c r="F114" s="13" t="s">
        <v>29</v>
      </c>
      <c r="G114" s="14"/>
      <c r="H114" s="14"/>
      <c r="I114" s="16"/>
    </row>
    <row r="115" spans="1:9" x14ac:dyDescent="0.25">
      <c r="A115" s="11" t="s">
        <v>456</v>
      </c>
      <c r="B115" s="11" t="s">
        <v>457</v>
      </c>
      <c r="C115" s="13" t="s">
        <v>435</v>
      </c>
      <c r="D115" s="13" t="s">
        <v>72</v>
      </c>
      <c r="E115" s="13" t="s">
        <v>65</v>
      </c>
      <c r="F115" s="13" t="s">
        <v>29</v>
      </c>
      <c r="G115" s="14"/>
      <c r="H115" s="14"/>
      <c r="I115" s="16"/>
    </row>
    <row r="116" spans="1:9" x14ac:dyDescent="0.25">
      <c r="A116" s="11" t="s">
        <v>458</v>
      </c>
      <c r="B116" s="11" t="s">
        <v>459</v>
      </c>
      <c r="C116" s="13" t="s">
        <v>435</v>
      </c>
      <c r="D116" s="13" t="s">
        <v>75</v>
      </c>
      <c r="E116" s="13" t="s">
        <v>65</v>
      </c>
      <c r="F116" s="13" t="s">
        <v>29</v>
      </c>
      <c r="G116" s="14"/>
      <c r="H116" s="14"/>
      <c r="I116" s="16"/>
    </row>
    <row r="117" spans="1:9" x14ac:dyDescent="0.25">
      <c r="A117" s="11" t="s">
        <v>460</v>
      </c>
      <c r="B117" s="11" t="s">
        <v>461</v>
      </c>
      <c r="C117" s="13" t="s">
        <v>435</v>
      </c>
      <c r="D117" s="13" t="s">
        <v>69</v>
      </c>
      <c r="E117" s="13" t="s">
        <v>120</v>
      </c>
      <c r="F117" s="13" t="s">
        <v>29</v>
      </c>
      <c r="G117" s="14"/>
      <c r="H117" s="14"/>
      <c r="I117" s="16"/>
    </row>
    <row r="118" spans="1:9" x14ac:dyDescent="0.25">
      <c r="A118" s="11" t="s">
        <v>462</v>
      </c>
      <c r="B118" s="11" t="s">
        <v>463</v>
      </c>
      <c r="C118" s="13" t="s">
        <v>435</v>
      </c>
      <c r="D118" s="13" t="s">
        <v>69</v>
      </c>
      <c r="E118" s="13" t="s">
        <v>120</v>
      </c>
      <c r="F118" s="13" t="s">
        <v>29</v>
      </c>
      <c r="G118" s="14"/>
      <c r="H118" s="14"/>
      <c r="I118" s="16"/>
    </row>
    <row r="119" spans="1:9" x14ac:dyDescent="0.25">
      <c r="A119" s="11" t="s">
        <v>464</v>
      </c>
      <c r="B119" s="11" t="s">
        <v>465</v>
      </c>
      <c r="C119" s="13" t="s">
        <v>435</v>
      </c>
      <c r="D119" s="13" t="s">
        <v>64</v>
      </c>
      <c r="E119" s="13" t="s">
        <v>120</v>
      </c>
      <c r="F119" s="13" t="s">
        <v>751</v>
      </c>
      <c r="G119" s="14"/>
      <c r="H119" s="14"/>
      <c r="I119" s="16"/>
    </row>
    <row r="120" spans="1:9" x14ac:dyDescent="0.25">
      <c r="A120" s="11" t="s">
        <v>466</v>
      </c>
      <c r="B120" s="11" t="s">
        <v>467</v>
      </c>
      <c r="C120" s="13" t="s">
        <v>435</v>
      </c>
      <c r="D120" s="13" t="s">
        <v>128</v>
      </c>
      <c r="E120" s="13" t="s">
        <v>120</v>
      </c>
      <c r="F120" s="13" t="s">
        <v>751</v>
      </c>
      <c r="G120" s="14"/>
      <c r="H120" s="14"/>
      <c r="I120" s="16"/>
    </row>
    <row r="121" spans="1:9" x14ac:dyDescent="0.25">
      <c r="A121" s="11" t="s">
        <v>468</v>
      </c>
      <c r="B121" s="11" t="s">
        <v>469</v>
      </c>
      <c r="C121" s="13" t="s">
        <v>435</v>
      </c>
      <c r="D121" s="13" t="s">
        <v>75</v>
      </c>
      <c r="E121" s="13" t="s">
        <v>120</v>
      </c>
      <c r="F121" s="13" t="s">
        <v>751</v>
      </c>
      <c r="G121" s="14"/>
      <c r="H121" s="14"/>
      <c r="I121" s="16"/>
    </row>
    <row r="122" spans="1:9" x14ac:dyDescent="0.25">
      <c r="A122" s="11" t="s">
        <v>470</v>
      </c>
      <c r="B122" s="11" t="s">
        <v>471</v>
      </c>
      <c r="C122" s="13" t="s">
        <v>435</v>
      </c>
      <c r="D122" s="13" t="s">
        <v>64</v>
      </c>
      <c r="E122" s="13" t="s">
        <v>120</v>
      </c>
      <c r="F122" s="13" t="s">
        <v>29</v>
      </c>
      <c r="G122" s="14"/>
      <c r="H122" s="14"/>
      <c r="I122" s="16"/>
    </row>
    <row r="123" spans="1:9" x14ac:dyDescent="0.25">
      <c r="A123" s="11" t="s">
        <v>472</v>
      </c>
      <c r="B123" s="11" t="s">
        <v>473</v>
      </c>
      <c r="C123" s="13" t="s">
        <v>435</v>
      </c>
      <c r="D123" s="13" t="s">
        <v>69</v>
      </c>
      <c r="E123" s="13" t="s">
        <v>120</v>
      </c>
      <c r="F123" s="13" t="s">
        <v>29</v>
      </c>
      <c r="G123" s="14"/>
      <c r="H123" s="14"/>
      <c r="I123" s="16"/>
    </row>
    <row r="124" spans="1:9" x14ac:dyDescent="0.25">
      <c r="A124" s="11" t="s">
        <v>474</v>
      </c>
      <c r="B124" s="11" t="s">
        <v>475</v>
      </c>
      <c r="C124" s="13" t="s">
        <v>435</v>
      </c>
      <c r="D124" s="13" t="s">
        <v>72</v>
      </c>
      <c r="E124" s="13" t="s">
        <v>120</v>
      </c>
      <c r="F124" s="13" t="s">
        <v>29</v>
      </c>
      <c r="G124" s="14"/>
      <c r="H124" s="14"/>
      <c r="I124" s="16"/>
    </row>
    <row r="125" spans="1:9" x14ac:dyDescent="0.25">
      <c r="A125" s="11" t="s">
        <v>476</v>
      </c>
      <c r="B125" s="11" t="s">
        <v>477</v>
      </c>
      <c r="C125" s="13" t="s">
        <v>435</v>
      </c>
      <c r="D125" s="13" t="s">
        <v>64</v>
      </c>
      <c r="E125" s="13" t="s">
        <v>120</v>
      </c>
      <c r="F125" s="13" t="s">
        <v>746</v>
      </c>
      <c r="G125" s="14"/>
      <c r="H125" s="14"/>
      <c r="I125" s="16"/>
    </row>
    <row r="126" spans="1:9" x14ac:dyDescent="0.25">
      <c r="A126" s="11" t="s">
        <v>478</v>
      </c>
      <c r="B126" s="11" t="s">
        <v>479</v>
      </c>
      <c r="C126" s="13" t="s">
        <v>435</v>
      </c>
      <c r="D126" s="13" t="s">
        <v>128</v>
      </c>
      <c r="E126" s="13" t="s">
        <v>120</v>
      </c>
      <c r="F126" s="13" t="s">
        <v>746</v>
      </c>
      <c r="G126" s="14"/>
      <c r="H126" s="14"/>
      <c r="I126" s="16"/>
    </row>
    <row r="127" spans="1:9" x14ac:dyDescent="0.25">
      <c r="A127" s="11" t="s">
        <v>480</v>
      </c>
      <c r="B127" s="11" t="s">
        <v>481</v>
      </c>
      <c r="C127" s="13" t="s">
        <v>435</v>
      </c>
      <c r="D127" s="13" t="s">
        <v>72</v>
      </c>
      <c r="E127" s="13" t="s">
        <v>120</v>
      </c>
      <c r="F127" s="13" t="s">
        <v>746</v>
      </c>
      <c r="G127" s="14"/>
      <c r="H127" s="14"/>
      <c r="I127" s="16"/>
    </row>
    <row r="128" spans="1:9" x14ac:dyDescent="0.25">
      <c r="A128" s="11" t="s">
        <v>482</v>
      </c>
      <c r="B128" s="11" t="s">
        <v>483</v>
      </c>
      <c r="C128" s="13" t="s">
        <v>435</v>
      </c>
      <c r="D128" s="13" t="s">
        <v>75</v>
      </c>
      <c r="E128" s="13" t="s">
        <v>120</v>
      </c>
      <c r="F128" s="13" t="s">
        <v>746</v>
      </c>
      <c r="G128" s="14"/>
      <c r="H128" s="14"/>
      <c r="I128" s="16"/>
    </row>
    <row r="129" spans="1:9" x14ac:dyDescent="0.25">
      <c r="A129" s="11" t="s">
        <v>484</v>
      </c>
      <c r="B129" s="11" t="s">
        <v>485</v>
      </c>
      <c r="C129" s="13" t="s">
        <v>435</v>
      </c>
      <c r="D129" s="13" t="s">
        <v>69</v>
      </c>
      <c r="E129" s="13" t="s">
        <v>120</v>
      </c>
      <c r="F129" s="13" t="s">
        <v>746</v>
      </c>
      <c r="G129" s="14"/>
      <c r="H129" s="14"/>
      <c r="I129" s="16"/>
    </row>
    <row r="130" spans="1:9" x14ac:dyDescent="0.25">
      <c r="A130" s="11" t="s">
        <v>486</v>
      </c>
      <c r="B130" s="11" t="s">
        <v>487</v>
      </c>
      <c r="C130" s="13" t="s">
        <v>435</v>
      </c>
      <c r="D130" s="13" t="s">
        <v>75</v>
      </c>
      <c r="E130" s="13" t="s">
        <v>120</v>
      </c>
      <c r="F130" s="13" t="s">
        <v>29</v>
      </c>
      <c r="G130" s="14"/>
      <c r="H130" s="14"/>
      <c r="I130" s="16"/>
    </row>
    <row r="131" spans="1:9" x14ac:dyDescent="0.25">
      <c r="A131" s="13" t="s">
        <v>752</v>
      </c>
      <c r="B131" s="11" t="s">
        <v>753</v>
      </c>
      <c r="C131" s="13" t="s">
        <v>754</v>
      </c>
      <c r="D131" s="13" t="s">
        <v>64</v>
      </c>
      <c r="E131" s="13" t="s">
        <v>120</v>
      </c>
      <c r="F131" s="13" t="s">
        <v>746</v>
      </c>
      <c r="G131" s="14"/>
      <c r="H131" s="14"/>
      <c r="I131" s="16"/>
    </row>
    <row r="132" spans="1:9" ht="15.75" x14ac:dyDescent="0.25">
      <c r="A132" s="18" t="s">
        <v>488</v>
      </c>
      <c r="B132" s="13" t="s">
        <v>489</v>
      </c>
      <c r="C132" s="13" t="s">
        <v>435</v>
      </c>
      <c r="D132" s="13" t="s">
        <v>69</v>
      </c>
      <c r="E132" s="13" t="s">
        <v>120</v>
      </c>
      <c r="F132" s="13" t="s">
        <v>746</v>
      </c>
      <c r="G132" s="14"/>
      <c r="H132" s="14"/>
      <c r="I132" s="16"/>
    </row>
    <row r="133" spans="1:9" x14ac:dyDescent="0.25">
      <c r="A133" s="11" t="s">
        <v>490</v>
      </c>
      <c r="B133" s="11" t="s">
        <v>491</v>
      </c>
      <c r="C133" s="13" t="s">
        <v>435</v>
      </c>
      <c r="D133" s="13" t="s">
        <v>64</v>
      </c>
      <c r="E133" s="13" t="s">
        <v>120</v>
      </c>
      <c r="F133" s="13" t="s">
        <v>746</v>
      </c>
      <c r="G133" s="14"/>
      <c r="H133" s="14"/>
      <c r="I133" s="16"/>
    </row>
    <row r="134" spans="1:9" x14ac:dyDescent="0.25">
      <c r="A134" s="11" t="s">
        <v>492</v>
      </c>
      <c r="B134" s="11" t="s">
        <v>493</v>
      </c>
      <c r="C134" s="13" t="s">
        <v>435</v>
      </c>
      <c r="D134" s="13" t="s">
        <v>141</v>
      </c>
      <c r="E134" s="13" t="s">
        <v>120</v>
      </c>
      <c r="F134" s="13" t="s">
        <v>746</v>
      </c>
      <c r="G134" s="14"/>
      <c r="H134" s="14"/>
      <c r="I134" s="16"/>
    </row>
    <row r="135" spans="1:9" x14ac:dyDescent="0.25">
      <c r="A135" s="11" t="s">
        <v>494</v>
      </c>
      <c r="B135" s="11" t="s">
        <v>495</v>
      </c>
      <c r="C135" s="13" t="s">
        <v>435</v>
      </c>
      <c r="D135" s="13" t="s">
        <v>165</v>
      </c>
      <c r="E135" s="13" t="s">
        <v>65</v>
      </c>
      <c r="F135" s="13" t="s">
        <v>29</v>
      </c>
      <c r="G135" s="14"/>
      <c r="H135" s="14"/>
      <c r="I135" s="16"/>
    </row>
    <row r="136" spans="1:9" x14ac:dyDescent="0.25">
      <c r="A136" s="11" t="s">
        <v>496</v>
      </c>
      <c r="B136" s="11" t="s">
        <v>497</v>
      </c>
      <c r="C136" s="13" t="s">
        <v>435</v>
      </c>
      <c r="D136" s="13" t="s">
        <v>78</v>
      </c>
      <c r="E136" s="13" t="s">
        <v>65</v>
      </c>
      <c r="F136" s="13" t="s">
        <v>29</v>
      </c>
      <c r="G136" s="14"/>
      <c r="H136" s="14"/>
      <c r="I136" s="16"/>
    </row>
    <row r="137" spans="1:9" x14ac:dyDescent="0.25">
      <c r="A137" s="11" t="s">
        <v>498</v>
      </c>
      <c r="B137" s="11" t="s">
        <v>499</v>
      </c>
      <c r="C137" s="13" t="s">
        <v>435</v>
      </c>
      <c r="D137" s="13" t="s">
        <v>64</v>
      </c>
      <c r="E137" s="13" t="s">
        <v>120</v>
      </c>
      <c r="F137" s="13" t="s">
        <v>29</v>
      </c>
      <c r="G137" s="14"/>
      <c r="H137" s="14"/>
      <c r="I137" s="16"/>
    </row>
    <row r="138" spans="1:9" x14ac:dyDescent="0.25">
      <c r="A138" s="11" t="s">
        <v>500</v>
      </c>
      <c r="B138" s="11" t="s">
        <v>501</v>
      </c>
      <c r="C138" s="13" t="s">
        <v>435</v>
      </c>
      <c r="D138" s="13" t="s">
        <v>75</v>
      </c>
      <c r="E138" s="13" t="s">
        <v>120</v>
      </c>
      <c r="F138" s="13" t="s">
        <v>29</v>
      </c>
      <c r="G138" s="14"/>
      <c r="H138" s="14"/>
      <c r="I138" s="16"/>
    </row>
    <row r="139" spans="1:9" x14ac:dyDescent="0.25">
      <c r="A139" s="11" t="s">
        <v>502</v>
      </c>
      <c r="B139" s="11" t="s">
        <v>503</v>
      </c>
      <c r="C139" s="13" t="s">
        <v>435</v>
      </c>
      <c r="D139" s="13" t="s">
        <v>69</v>
      </c>
      <c r="E139" s="13" t="s">
        <v>120</v>
      </c>
      <c r="F139" s="13" t="s">
        <v>29</v>
      </c>
      <c r="G139" s="14"/>
      <c r="H139" s="14"/>
      <c r="I139" s="16"/>
    </row>
    <row r="140" spans="1:9" x14ac:dyDescent="0.25">
      <c r="A140" s="11" t="s">
        <v>504</v>
      </c>
      <c r="B140" s="11" t="s">
        <v>505</v>
      </c>
      <c r="C140" s="13" t="s">
        <v>435</v>
      </c>
      <c r="D140" s="13" t="s">
        <v>75</v>
      </c>
      <c r="E140" s="13" t="s">
        <v>120</v>
      </c>
      <c r="F140" s="13" t="s">
        <v>29</v>
      </c>
      <c r="G140" s="14"/>
      <c r="H140" s="14"/>
      <c r="I140" s="16"/>
    </row>
    <row r="141" spans="1:9" x14ac:dyDescent="0.25">
      <c r="A141" s="11" t="s">
        <v>506</v>
      </c>
      <c r="B141" s="11" t="s">
        <v>507</v>
      </c>
      <c r="C141" s="13" t="s">
        <v>435</v>
      </c>
      <c r="D141" s="13" t="s">
        <v>422</v>
      </c>
      <c r="E141" s="13" t="s">
        <v>120</v>
      </c>
      <c r="F141" s="13" t="s">
        <v>29</v>
      </c>
      <c r="G141" s="14"/>
      <c r="H141" s="14"/>
      <c r="I141" s="16"/>
    </row>
    <row r="142" spans="1:9" x14ac:dyDescent="0.25">
      <c r="A142" s="11" t="s">
        <v>508</v>
      </c>
      <c r="B142" s="11" t="s">
        <v>509</v>
      </c>
      <c r="C142" s="13" t="s">
        <v>435</v>
      </c>
      <c r="D142" s="13" t="s">
        <v>64</v>
      </c>
      <c r="E142" s="13" t="s">
        <v>65</v>
      </c>
      <c r="F142" s="13" t="s">
        <v>29</v>
      </c>
      <c r="G142" s="14"/>
      <c r="H142" s="14"/>
      <c r="I142" s="16"/>
    </row>
    <row r="143" spans="1:9" x14ac:dyDescent="0.25">
      <c r="A143" s="11" t="s">
        <v>510</v>
      </c>
      <c r="B143" s="11" t="s">
        <v>511</v>
      </c>
      <c r="C143" s="13" t="s">
        <v>435</v>
      </c>
      <c r="D143" s="13" t="s">
        <v>69</v>
      </c>
      <c r="E143" s="13" t="s">
        <v>120</v>
      </c>
      <c r="F143" s="13" t="s">
        <v>29</v>
      </c>
      <c r="G143" s="14"/>
      <c r="H143" s="14"/>
      <c r="I143" s="16"/>
    </row>
    <row r="144" spans="1:9" x14ac:dyDescent="0.25">
      <c r="A144" s="11" t="s">
        <v>512</v>
      </c>
      <c r="B144" s="11" t="s">
        <v>513</v>
      </c>
      <c r="C144" s="13" t="s">
        <v>435</v>
      </c>
      <c r="D144" s="13" t="s">
        <v>78</v>
      </c>
      <c r="E144" s="13" t="s">
        <v>120</v>
      </c>
      <c r="F144" s="13" t="s">
        <v>29</v>
      </c>
      <c r="G144" s="14"/>
      <c r="H144" s="14"/>
      <c r="I144" s="16"/>
    </row>
    <row r="145" spans="1:9" x14ac:dyDescent="0.25">
      <c r="A145" s="11" t="s">
        <v>512</v>
      </c>
      <c r="B145" s="11" t="s">
        <v>513</v>
      </c>
      <c r="C145" s="13" t="s">
        <v>435</v>
      </c>
      <c r="D145" s="13" t="s">
        <v>78</v>
      </c>
      <c r="E145" s="13" t="s">
        <v>120</v>
      </c>
      <c r="F145" s="13" t="s">
        <v>29</v>
      </c>
      <c r="G145" s="14"/>
      <c r="H145" s="14"/>
      <c r="I145" s="16"/>
    </row>
    <row r="146" spans="1:9" x14ac:dyDescent="0.25">
      <c r="A146" s="11" t="s">
        <v>514</v>
      </c>
      <c r="B146" s="11" t="s">
        <v>515</v>
      </c>
      <c r="C146" s="13" t="s">
        <v>435</v>
      </c>
      <c r="D146" s="13" t="s">
        <v>69</v>
      </c>
      <c r="E146" s="13" t="s">
        <v>120</v>
      </c>
      <c r="F146" s="13" t="s">
        <v>29</v>
      </c>
      <c r="G146" s="14"/>
      <c r="H146" s="14"/>
      <c r="I146" s="16"/>
    </row>
    <row r="147" spans="1:9" x14ac:dyDescent="0.25">
      <c r="A147" s="11" t="s">
        <v>349</v>
      </c>
      <c r="B147" s="11" t="s">
        <v>350</v>
      </c>
      <c r="C147" s="13" t="s">
        <v>351</v>
      </c>
      <c r="D147" s="13" t="s">
        <v>64</v>
      </c>
      <c r="E147" s="13" t="s">
        <v>65</v>
      </c>
      <c r="F147" s="13" t="s">
        <v>751</v>
      </c>
      <c r="G147" s="14"/>
      <c r="H147" s="14"/>
      <c r="I147" s="16"/>
    </row>
    <row r="148" spans="1:9" x14ac:dyDescent="0.25">
      <c r="A148" s="11" t="s">
        <v>352</v>
      </c>
      <c r="B148" s="11" t="s">
        <v>353</v>
      </c>
      <c r="C148" s="13" t="s">
        <v>351</v>
      </c>
      <c r="D148" s="13" t="s">
        <v>128</v>
      </c>
      <c r="E148" s="13" t="s">
        <v>65</v>
      </c>
      <c r="F148" s="13" t="s">
        <v>751</v>
      </c>
      <c r="G148" s="14"/>
      <c r="H148" s="14"/>
      <c r="I148" s="16"/>
    </row>
    <row r="149" spans="1:9" x14ac:dyDescent="0.25">
      <c r="A149" s="11" t="s">
        <v>354</v>
      </c>
      <c r="B149" s="11" t="s">
        <v>355</v>
      </c>
      <c r="C149" s="13" t="s">
        <v>351</v>
      </c>
      <c r="D149" s="13" t="s">
        <v>72</v>
      </c>
      <c r="E149" s="13" t="s">
        <v>65</v>
      </c>
      <c r="F149" s="13" t="s">
        <v>751</v>
      </c>
      <c r="G149" s="14"/>
      <c r="H149" s="14"/>
      <c r="I149" s="16"/>
    </row>
    <row r="150" spans="1:9" x14ac:dyDescent="0.25">
      <c r="A150" s="11" t="s">
        <v>356</v>
      </c>
      <c r="B150" s="11" t="s">
        <v>357</v>
      </c>
      <c r="C150" s="13" t="s">
        <v>351</v>
      </c>
      <c r="D150" s="13" t="s">
        <v>75</v>
      </c>
      <c r="E150" s="13" t="s">
        <v>65</v>
      </c>
      <c r="F150" s="13" t="s">
        <v>751</v>
      </c>
      <c r="G150" s="14"/>
      <c r="H150" s="14"/>
      <c r="I150" s="16"/>
    </row>
    <row r="151" spans="1:9" x14ac:dyDescent="0.25">
      <c r="A151" s="11" t="s">
        <v>358</v>
      </c>
      <c r="B151" s="11" t="s">
        <v>359</v>
      </c>
      <c r="C151" s="13" t="s">
        <v>351</v>
      </c>
      <c r="D151" s="13" t="s">
        <v>64</v>
      </c>
      <c r="E151" s="13" t="s">
        <v>120</v>
      </c>
      <c r="F151" s="13" t="s">
        <v>29</v>
      </c>
      <c r="G151" s="14"/>
      <c r="H151" s="14"/>
      <c r="I151" s="16"/>
    </row>
    <row r="152" spans="1:9" x14ac:dyDescent="0.25">
      <c r="A152" s="11" t="s">
        <v>360</v>
      </c>
      <c r="B152" s="11" t="s">
        <v>361</v>
      </c>
      <c r="C152" s="13" t="s">
        <v>351</v>
      </c>
      <c r="D152" s="13" t="s">
        <v>128</v>
      </c>
      <c r="E152" s="13" t="s">
        <v>120</v>
      </c>
      <c r="F152" s="13" t="s">
        <v>29</v>
      </c>
      <c r="G152" s="14"/>
      <c r="H152" s="14"/>
      <c r="I152" s="16"/>
    </row>
    <row r="153" spans="1:9" x14ac:dyDescent="0.25">
      <c r="A153" s="11" t="s">
        <v>362</v>
      </c>
      <c r="B153" s="11" t="s">
        <v>363</v>
      </c>
      <c r="C153" s="13" t="s">
        <v>351</v>
      </c>
      <c r="D153" s="13" t="s">
        <v>72</v>
      </c>
      <c r="E153" s="13" t="s">
        <v>120</v>
      </c>
      <c r="F153" s="13" t="s">
        <v>29</v>
      </c>
      <c r="G153" s="14"/>
      <c r="H153" s="14"/>
      <c r="I153" s="16"/>
    </row>
    <row r="154" spans="1:9" x14ac:dyDescent="0.25">
      <c r="A154" s="11" t="s">
        <v>364</v>
      </c>
      <c r="B154" s="11" t="s">
        <v>365</v>
      </c>
      <c r="C154" s="13" t="s">
        <v>351</v>
      </c>
      <c r="D154" s="13" t="s">
        <v>64</v>
      </c>
      <c r="E154" s="13" t="s">
        <v>65</v>
      </c>
      <c r="F154" s="13" t="s">
        <v>29</v>
      </c>
      <c r="G154" s="14"/>
      <c r="H154" s="14"/>
      <c r="I154" s="16"/>
    </row>
    <row r="155" spans="1:9" x14ac:dyDescent="0.25">
      <c r="A155" s="11" t="s">
        <v>366</v>
      </c>
      <c r="B155" s="11" t="s">
        <v>367</v>
      </c>
      <c r="C155" s="13" t="s">
        <v>351</v>
      </c>
      <c r="D155" s="13" t="s">
        <v>128</v>
      </c>
      <c r="E155" s="13" t="s">
        <v>65</v>
      </c>
      <c r="F155" s="13" t="s">
        <v>29</v>
      </c>
      <c r="G155" s="14"/>
      <c r="H155" s="14"/>
      <c r="I155" s="16"/>
    </row>
    <row r="156" spans="1:9" x14ac:dyDescent="0.25">
      <c r="A156" s="11" t="s">
        <v>368</v>
      </c>
      <c r="B156" s="11" t="s">
        <v>369</v>
      </c>
      <c r="C156" s="13" t="s">
        <v>351</v>
      </c>
      <c r="D156" s="13" t="s">
        <v>69</v>
      </c>
      <c r="E156" s="13" t="s">
        <v>65</v>
      </c>
      <c r="F156" s="13" t="s">
        <v>29</v>
      </c>
      <c r="G156" s="14"/>
      <c r="H156" s="14"/>
      <c r="I156" s="16"/>
    </row>
    <row r="157" spans="1:9" x14ac:dyDescent="0.25">
      <c r="A157" s="11" t="s">
        <v>370</v>
      </c>
      <c r="B157" s="11" t="s">
        <v>371</v>
      </c>
      <c r="C157" s="13" t="s">
        <v>351</v>
      </c>
      <c r="D157" s="13" t="s">
        <v>72</v>
      </c>
      <c r="E157" s="13" t="s">
        <v>65</v>
      </c>
      <c r="F157" s="13" t="s">
        <v>29</v>
      </c>
      <c r="G157" s="14"/>
      <c r="H157" s="14"/>
      <c r="I157" s="16"/>
    </row>
    <row r="158" spans="1:9" x14ac:dyDescent="0.25">
      <c r="A158" s="11" t="s">
        <v>372</v>
      </c>
      <c r="B158" s="11" t="s">
        <v>373</v>
      </c>
      <c r="C158" s="13" t="s">
        <v>351</v>
      </c>
      <c r="D158" s="13" t="s">
        <v>75</v>
      </c>
      <c r="E158" s="13" t="s">
        <v>65</v>
      </c>
      <c r="F158" s="13" t="s">
        <v>29</v>
      </c>
      <c r="G158" s="14"/>
      <c r="H158" s="14"/>
      <c r="I158" s="16"/>
    </row>
    <row r="159" spans="1:9" x14ac:dyDescent="0.25">
      <c r="A159" s="11" t="s">
        <v>374</v>
      </c>
      <c r="B159" s="11" t="s">
        <v>375</v>
      </c>
      <c r="C159" s="13" t="s">
        <v>351</v>
      </c>
      <c r="D159" s="13" t="s">
        <v>69</v>
      </c>
      <c r="E159" s="13" t="s">
        <v>120</v>
      </c>
      <c r="F159" s="13" t="s">
        <v>29</v>
      </c>
      <c r="G159" s="14"/>
      <c r="H159" s="14"/>
      <c r="I159" s="16"/>
    </row>
    <row r="160" spans="1:9" x14ac:dyDescent="0.25">
      <c r="A160" s="11" t="s">
        <v>376</v>
      </c>
      <c r="B160" s="11" t="s">
        <v>377</v>
      </c>
      <c r="C160" s="13" t="s">
        <v>351</v>
      </c>
      <c r="D160" s="13" t="s">
        <v>69</v>
      </c>
      <c r="E160" s="13" t="s">
        <v>120</v>
      </c>
      <c r="F160" s="13" t="s">
        <v>29</v>
      </c>
      <c r="G160" s="14"/>
      <c r="H160" s="14"/>
      <c r="I160" s="16"/>
    </row>
    <row r="161" spans="1:9" x14ac:dyDescent="0.25">
      <c r="A161" s="11" t="s">
        <v>378</v>
      </c>
      <c r="B161" s="11" t="s">
        <v>379</v>
      </c>
      <c r="C161" s="13" t="s">
        <v>351</v>
      </c>
      <c r="D161" s="13" t="s">
        <v>64</v>
      </c>
      <c r="E161" s="13" t="s">
        <v>120</v>
      </c>
      <c r="F161" s="13" t="s">
        <v>751</v>
      </c>
      <c r="G161" s="14"/>
      <c r="H161" s="14"/>
      <c r="I161" s="16"/>
    </row>
    <row r="162" spans="1:9" x14ac:dyDescent="0.25">
      <c r="A162" s="11" t="s">
        <v>380</v>
      </c>
      <c r="B162" s="11" t="s">
        <v>381</v>
      </c>
      <c r="C162" s="13" t="s">
        <v>351</v>
      </c>
      <c r="D162" s="13" t="s">
        <v>128</v>
      </c>
      <c r="E162" s="13" t="s">
        <v>120</v>
      </c>
      <c r="F162" s="13" t="s">
        <v>751</v>
      </c>
      <c r="G162" s="14"/>
      <c r="H162" s="14"/>
      <c r="I162" s="16"/>
    </row>
    <row r="163" spans="1:9" x14ac:dyDescent="0.25">
      <c r="A163" s="11" t="s">
        <v>382</v>
      </c>
      <c r="B163" s="11" t="s">
        <v>383</v>
      </c>
      <c r="C163" s="13" t="s">
        <v>351</v>
      </c>
      <c r="D163" s="13" t="s">
        <v>75</v>
      </c>
      <c r="E163" s="13" t="s">
        <v>120</v>
      </c>
      <c r="F163" s="13" t="s">
        <v>751</v>
      </c>
      <c r="G163" s="14"/>
      <c r="H163" s="14"/>
      <c r="I163" s="16"/>
    </row>
    <row r="164" spans="1:9" x14ac:dyDescent="0.25">
      <c r="A164" s="11" t="s">
        <v>384</v>
      </c>
      <c r="B164" s="11" t="s">
        <v>385</v>
      </c>
      <c r="C164" s="13" t="s">
        <v>351</v>
      </c>
      <c r="D164" s="13" t="s">
        <v>64</v>
      </c>
      <c r="E164" s="13" t="s">
        <v>120</v>
      </c>
      <c r="F164" s="13" t="s">
        <v>29</v>
      </c>
      <c r="G164" s="14"/>
      <c r="H164" s="14"/>
      <c r="I164" s="16"/>
    </row>
    <row r="165" spans="1:9" x14ac:dyDescent="0.25">
      <c r="A165" s="11" t="s">
        <v>386</v>
      </c>
      <c r="B165" s="11" t="s">
        <v>387</v>
      </c>
      <c r="C165" s="13" t="s">
        <v>351</v>
      </c>
      <c r="D165" s="13" t="s">
        <v>69</v>
      </c>
      <c r="E165" s="13" t="s">
        <v>120</v>
      </c>
      <c r="F165" s="13" t="s">
        <v>29</v>
      </c>
      <c r="G165" s="14"/>
      <c r="H165" s="14"/>
      <c r="I165" s="16"/>
    </row>
    <row r="166" spans="1:9" x14ac:dyDescent="0.25">
      <c r="A166" s="13" t="s">
        <v>386</v>
      </c>
      <c r="B166" s="11" t="s">
        <v>387</v>
      </c>
      <c r="C166" s="13" t="s">
        <v>755</v>
      </c>
      <c r="D166" s="13" t="s">
        <v>69</v>
      </c>
      <c r="E166" s="13" t="s">
        <v>120</v>
      </c>
      <c r="F166" s="13" t="s">
        <v>746</v>
      </c>
      <c r="G166" s="14"/>
      <c r="H166" s="14"/>
      <c r="I166" s="16"/>
    </row>
    <row r="167" spans="1:9" x14ac:dyDescent="0.25">
      <c r="A167" s="11" t="s">
        <v>388</v>
      </c>
      <c r="B167" s="11" t="s">
        <v>389</v>
      </c>
      <c r="C167" s="13" t="s">
        <v>351</v>
      </c>
      <c r="D167" s="13" t="s">
        <v>72</v>
      </c>
      <c r="E167" s="13" t="s">
        <v>120</v>
      </c>
      <c r="F167" s="13" t="s">
        <v>29</v>
      </c>
      <c r="G167" s="14"/>
      <c r="H167" s="14"/>
      <c r="I167" s="16"/>
    </row>
    <row r="168" spans="1:9" x14ac:dyDescent="0.25">
      <c r="A168" s="11" t="s">
        <v>390</v>
      </c>
      <c r="B168" s="11" t="s">
        <v>391</v>
      </c>
      <c r="C168" s="13" t="s">
        <v>351</v>
      </c>
      <c r="D168" s="13" t="s">
        <v>64</v>
      </c>
      <c r="E168" s="13" t="s">
        <v>120</v>
      </c>
      <c r="F168" s="13" t="s">
        <v>746</v>
      </c>
      <c r="G168" s="14"/>
      <c r="H168" s="14"/>
      <c r="I168" s="16"/>
    </row>
    <row r="169" spans="1:9" x14ac:dyDescent="0.25">
      <c r="A169" s="11" t="s">
        <v>392</v>
      </c>
      <c r="B169" s="11" t="s">
        <v>393</v>
      </c>
      <c r="C169" s="13" t="s">
        <v>351</v>
      </c>
      <c r="D169" s="13" t="s">
        <v>128</v>
      </c>
      <c r="E169" s="13" t="s">
        <v>120</v>
      </c>
      <c r="F169" s="13" t="s">
        <v>746</v>
      </c>
      <c r="G169" s="14"/>
      <c r="H169" s="14"/>
      <c r="I169" s="16"/>
    </row>
    <row r="170" spans="1:9" x14ac:dyDescent="0.25">
      <c r="A170" s="11" t="s">
        <v>394</v>
      </c>
      <c r="B170" s="11" t="s">
        <v>395</v>
      </c>
      <c r="C170" s="13" t="s">
        <v>351</v>
      </c>
      <c r="D170" s="13" t="s">
        <v>72</v>
      </c>
      <c r="E170" s="13" t="s">
        <v>120</v>
      </c>
      <c r="F170" s="13" t="s">
        <v>746</v>
      </c>
      <c r="G170" s="14"/>
      <c r="H170" s="14"/>
      <c r="I170" s="16"/>
    </row>
    <row r="171" spans="1:9" x14ac:dyDescent="0.25">
      <c r="A171" s="11" t="s">
        <v>396</v>
      </c>
      <c r="B171" s="11" t="s">
        <v>397</v>
      </c>
      <c r="C171" s="13" t="s">
        <v>351</v>
      </c>
      <c r="D171" s="13" t="s">
        <v>75</v>
      </c>
      <c r="E171" s="13" t="s">
        <v>120</v>
      </c>
      <c r="F171" s="13" t="s">
        <v>746</v>
      </c>
      <c r="G171" s="14"/>
      <c r="H171" s="14"/>
      <c r="I171" s="16"/>
    </row>
    <row r="172" spans="1:9" x14ac:dyDescent="0.25">
      <c r="A172" s="11" t="s">
        <v>398</v>
      </c>
      <c r="B172" s="11" t="s">
        <v>399</v>
      </c>
      <c r="C172" s="13" t="s">
        <v>351</v>
      </c>
      <c r="D172" s="13" t="s">
        <v>69</v>
      </c>
      <c r="E172" s="13" t="s">
        <v>120</v>
      </c>
      <c r="F172" s="13" t="s">
        <v>746</v>
      </c>
      <c r="G172" s="14"/>
      <c r="H172" s="14"/>
      <c r="I172" s="16"/>
    </row>
    <row r="173" spans="1:9" x14ac:dyDescent="0.25">
      <c r="A173" s="11" t="s">
        <v>400</v>
      </c>
      <c r="B173" s="11" t="s">
        <v>401</v>
      </c>
      <c r="C173" s="13" t="s">
        <v>351</v>
      </c>
      <c r="D173" s="13" t="s">
        <v>75</v>
      </c>
      <c r="E173" s="13" t="s">
        <v>120</v>
      </c>
      <c r="F173" s="13" t="s">
        <v>29</v>
      </c>
      <c r="G173" s="14"/>
      <c r="H173" s="14"/>
      <c r="I173" s="16"/>
    </row>
    <row r="174" spans="1:9" x14ac:dyDescent="0.25">
      <c r="A174" s="11" t="s">
        <v>402</v>
      </c>
      <c r="B174" s="11" t="s">
        <v>403</v>
      </c>
      <c r="C174" s="13" t="s">
        <v>351</v>
      </c>
      <c r="D174" s="13" t="s">
        <v>64</v>
      </c>
      <c r="E174" s="13" t="s">
        <v>120</v>
      </c>
      <c r="F174" s="13" t="s">
        <v>746</v>
      </c>
      <c r="G174" s="14"/>
      <c r="H174" s="14"/>
      <c r="I174" s="16"/>
    </row>
    <row r="175" spans="1:9" x14ac:dyDescent="0.25">
      <c r="A175" s="11" t="s">
        <v>404</v>
      </c>
      <c r="B175" s="11" t="s">
        <v>405</v>
      </c>
      <c r="C175" s="13" t="s">
        <v>351</v>
      </c>
      <c r="D175" s="13" t="s">
        <v>64</v>
      </c>
      <c r="E175" s="13" t="s">
        <v>120</v>
      </c>
      <c r="F175" s="13" t="s">
        <v>746</v>
      </c>
      <c r="G175" s="14"/>
      <c r="H175" s="14"/>
      <c r="I175" s="16"/>
    </row>
    <row r="176" spans="1:9" x14ac:dyDescent="0.25">
      <c r="A176" s="11" t="s">
        <v>406</v>
      </c>
      <c r="B176" s="11" t="s">
        <v>407</v>
      </c>
      <c r="C176" s="13" t="s">
        <v>351</v>
      </c>
      <c r="D176" s="13" t="s">
        <v>141</v>
      </c>
      <c r="E176" s="13" t="s">
        <v>120</v>
      </c>
      <c r="F176" s="13" t="s">
        <v>746</v>
      </c>
      <c r="G176" s="14"/>
      <c r="H176" s="14"/>
      <c r="I176" s="16"/>
    </row>
    <row r="177" spans="1:9" x14ac:dyDescent="0.25">
      <c r="A177" s="11" t="s">
        <v>408</v>
      </c>
      <c r="B177" s="11" t="s">
        <v>409</v>
      </c>
      <c r="C177" s="13" t="s">
        <v>351</v>
      </c>
      <c r="D177" s="13" t="s">
        <v>165</v>
      </c>
      <c r="E177" s="13" t="s">
        <v>65</v>
      </c>
      <c r="F177" s="13" t="s">
        <v>29</v>
      </c>
      <c r="G177" s="14"/>
      <c r="H177" s="14"/>
      <c r="I177" s="16"/>
    </row>
    <row r="178" spans="1:9" x14ac:dyDescent="0.25">
      <c r="A178" s="11" t="s">
        <v>410</v>
      </c>
      <c r="B178" s="11" t="s">
        <v>411</v>
      </c>
      <c r="C178" s="13" t="s">
        <v>351</v>
      </c>
      <c r="D178" s="13" t="s">
        <v>78</v>
      </c>
      <c r="E178" s="13" t="s">
        <v>65</v>
      </c>
      <c r="F178" s="13" t="s">
        <v>29</v>
      </c>
      <c r="G178" s="14"/>
      <c r="H178" s="14"/>
      <c r="I178" s="16"/>
    </row>
    <row r="179" spans="1:9" x14ac:dyDescent="0.25">
      <c r="A179" s="11" t="s">
        <v>412</v>
      </c>
      <c r="B179" s="11" t="s">
        <v>413</v>
      </c>
      <c r="C179" s="13" t="s">
        <v>351</v>
      </c>
      <c r="D179" s="13" t="s">
        <v>72</v>
      </c>
      <c r="E179" s="13" t="s">
        <v>120</v>
      </c>
      <c r="F179" s="13" t="s">
        <v>29</v>
      </c>
      <c r="G179" s="14"/>
      <c r="H179" s="14"/>
      <c r="I179" s="16"/>
    </row>
    <row r="180" spans="1:9" x14ac:dyDescent="0.25">
      <c r="A180" s="11" t="s">
        <v>414</v>
      </c>
      <c r="B180" s="11" t="s">
        <v>415</v>
      </c>
      <c r="C180" s="13" t="s">
        <v>351</v>
      </c>
      <c r="D180" s="13" t="s">
        <v>64</v>
      </c>
      <c r="E180" s="13" t="s">
        <v>120</v>
      </c>
      <c r="F180" s="13" t="s">
        <v>29</v>
      </c>
      <c r="G180" s="14"/>
      <c r="H180" s="14"/>
      <c r="I180" s="16"/>
    </row>
    <row r="181" spans="1:9" x14ac:dyDescent="0.25">
      <c r="A181" s="11" t="s">
        <v>416</v>
      </c>
      <c r="B181" s="11" t="s">
        <v>417</v>
      </c>
      <c r="C181" s="13" t="s">
        <v>351</v>
      </c>
      <c r="D181" s="13" t="s">
        <v>75</v>
      </c>
      <c r="E181" s="13" t="s">
        <v>120</v>
      </c>
      <c r="F181" s="13" t="s">
        <v>29</v>
      </c>
      <c r="G181" s="14"/>
      <c r="H181" s="14"/>
      <c r="I181" s="16"/>
    </row>
    <row r="182" spans="1:9" x14ac:dyDescent="0.25">
      <c r="A182" s="11" t="s">
        <v>418</v>
      </c>
      <c r="B182" s="11" t="s">
        <v>419</v>
      </c>
      <c r="C182" s="13" t="s">
        <v>351</v>
      </c>
      <c r="D182" s="13" t="s">
        <v>69</v>
      </c>
      <c r="E182" s="13" t="s">
        <v>120</v>
      </c>
      <c r="F182" s="13" t="s">
        <v>29</v>
      </c>
      <c r="G182" s="14"/>
      <c r="H182" s="14"/>
      <c r="I182" s="16"/>
    </row>
    <row r="183" spans="1:9" x14ac:dyDescent="0.25">
      <c r="A183" s="11" t="s">
        <v>420</v>
      </c>
      <c r="B183" s="11" t="s">
        <v>421</v>
      </c>
      <c r="C183" s="13" t="s">
        <v>351</v>
      </c>
      <c r="D183" s="13" t="s">
        <v>422</v>
      </c>
      <c r="E183" s="13" t="s">
        <v>120</v>
      </c>
      <c r="F183" s="13" t="s">
        <v>29</v>
      </c>
      <c r="G183" s="14"/>
      <c r="H183" s="14"/>
      <c r="I183" s="16"/>
    </row>
    <row r="184" spans="1:9" x14ac:dyDescent="0.25">
      <c r="A184" s="11" t="s">
        <v>423</v>
      </c>
      <c r="B184" s="11" t="s">
        <v>424</v>
      </c>
      <c r="C184" s="13" t="s">
        <v>351</v>
      </c>
      <c r="D184" s="13" t="s">
        <v>64</v>
      </c>
      <c r="E184" s="13" t="s">
        <v>65</v>
      </c>
      <c r="F184" s="13" t="s">
        <v>29</v>
      </c>
      <c r="G184" s="14"/>
      <c r="H184" s="14"/>
      <c r="I184" s="16"/>
    </row>
    <row r="185" spans="1:9" x14ac:dyDescent="0.25">
      <c r="A185" s="11" t="s">
        <v>425</v>
      </c>
      <c r="B185" s="11" t="s">
        <v>426</v>
      </c>
      <c r="C185" s="13" t="s">
        <v>351</v>
      </c>
      <c r="D185" s="13" t="s">
        <v>69</v>
      </c>
      <c r="E185" s="13" t="s">
        <v>120</v>
      </c>
      <c r="F185" s="13" t="s">
        <v>29</v>
      </c>
      <c r="G185" s="14"/>
      <c r="H185" s="14"/>
      <c r="I185" s="16"/>
    </row>
    <row r="186" spans="1:9" x14ac:dyDescent="0.25">
      <c r="A186" s="11" t="s">
        <v>427</v>
      </c>
      <c r="B186" s="11" t="s">
        <v>428</v>
      </c>
      <c r="C186" s="13" t="s">
        <v>351</v>
      </c>
      <c r="D186" s="13" t="s">
        <v>78</v>
      </c>
      <c r="E186" s="13" t="s">
        <v>120</v>
      </c>
      <c r="F186" s="13" t="s">
        <v>29</v>
      </c>
      <c r="G186" s="14"/>
      <c r="H186" s="14"/>
      <c r="I186" s="16"/>
    </row>
    <row r="187" spans="1:9" x14ac:dyDescent="0.25">
      <c r="A187" s="14" t="s">
        <v>429</v>
      </c>
      <c r="B187" s="14" t="s">
        <v>430</v>
      </c>
      <c r="C187" s="13" t="s">
        <v>351</v>
      </c>
      <c r="D187" s="13" t="s">
        <v>64</v>
      </c>
      <c r="E187" s="13" t="s">
        <v>120</v>
      </c>
      <c r="F187" s="13" t="s">
        <v>29</v>
      </c>
      <c r="G187" s="14"/>
      <c r="H187" s="14"/>
      <c r="I187" s="16"/>
    </row>
    <row r="188" spans="1:9" x14ac:dyDescent="0.25">
      <c r="A188" s="14" t="s">
        <v>431</v>
      </c>
      <c r="B188" s="14" t="s">
        <v>432</v>
      </c>
      <c r="C188" s="13" t="s">
        <v>351</v>
      </c>
      <c r="D188" s="13" t="s">
        <v>75</v>
      </c>
      <c r="E188" s="13" t="s">
        <v>120</v>
      </c>
      <c r="F188" s="13" t="s">
        <v>29</v>
      </c>
      <c r="G188" s="14"/>
      <c r="H188" s="14"/>
      <c r="I188" s="16"/>
    </row>
    <row r="189" spans="1:9" x14ac:dyDescent="0.25">
      <c r="A189" s="11" t="s">
        <v>152</v>
      </c>
      <c r="B189" s="11" t="s">
        <v>153</v>
      </c>
      <c r="C189" s="13" t="s">
        <v>154</v>
      </c>
      <c r="D189" s="13" t="s">
        <v>155</v>
      </c>
      <c r="E189" s="13" t="s">
        <v>120</v>
      </c>
      <c r="F189" s="13" t="s">
        <v>745</v>
      </c>
      <c r="G189" s="14"/>
      <c r="H189" s="14"/>
      <c r="I189" s="16"/>
    </row>
    <row r="190" spans="1:9" x14ac:dyDescent="0.25">
      <c r="A190" s="11" t="s">
        <v>156</v>
      </c>
      <c r="B190" s="11" t="s">
        <v>157</v>
      </c>
      <c r="C190" s="13" t="s">
        <v>154</v>
      </c>
      <c r="D190" s="13" t="s">
        <v>64</v>
      </c>
      <c r="E190" s="13" t="s">
        <v>65</v>
      </c>
      <c r="F190" s="13" t="s">
        <v>639</v>
      </c>
      <c r="G190" s="14"/>
      <c r="H190" s="14"/>
      <c r="I190" s="16"/>
    </row>
    <row r="191" spans="1:9" x14ac:dyDescent="0.25">
      <c r="A191" s="11" t="s">
        <v>158</v>
      </c>
      <c r="B191" s="11" t="s">
        <v>159</v>
      </c>
      <c r="C191" s="13" t="s">
        <v>154</v>
      </c>
      <c r="D191" s="13" t="s">
        <v>69</v>
      </c>
      <c r="E191" s="13" t="s">
        <v>65</v>
      </c>
      <c r="F191" s="13" t="s">
        <v>639</v>
      </c>
      <c r="G191" s="14"/>
      <c r="H191" s="14"/>
      <c r="I191" s="16"/>
    </row>
    <row r="192" spans="1:9" x14ac:dyDescent="0.25">
      <c r="A192" s="11" t="s">
        <v>160</v>
      </c>
      <c r="B192" s="11" t="s">
        <v>161</v>
      </c>
      <c r="C192" s="13" t="s">
        <v>154</v>
      </c>
      <c r="D192" s="13" t="s">
        <v>162</v>
      </c>
      <c r="E192" s="13" t="s">
        <v>65</v>
      </c>
      <c r="F192" s="13" t="s">
        <v>639</v>
      </c>
      <c r="G192" s="14"/>
      <c r="H192" s="14"/>
      <c r="I192" s="16"/>
    </row>
    <row r="193" spans="1:9" x14ac:dyDescent="0.25">
      <c r="A193" s="11" t="s">
        <v>163</v>
      </c>
      <c r="B193" s="11" t="s">
        <v>164</v>
      </c>
      <c r="C193" s="13" t="s">
        <v>154</v>
      </c>
      <c r="D193" s="13" t="s">
        <v>165</v>
      </c>
      <c r="E193" s="13" t="s">
        <v>65</v>
      </c>
      <c r="F193" s="13" t="s">
        <v>639</v>
      </c>
      <c r="G193" s="14"/>
      <c r="H193" s="14"/>
      <c r="I193" s="16"/>
    </row>
    <row r="194" spans="1:9" x14ac:dyDescent="0.25">
      <c r="A194" s="11" t="s">
        <v>166</v>
      </c>
      <c r="B194" s="11" t="s">
        <v>167</v>
      </c>
      <c r="C194" s="13" t="s">
        <v>154</v>
      </c>
      <c r="D194" s="13" t="s">
        <v>128</v>
      </c>
      <c r="E194" s="13" t="s">
        <v>65</v>
      </c>
      <c r="F194" s="13" t="s">
        <v>639</v>
      </c>
      <c r="G194" s="14"/>
      <c r="H194" s="14"/>
      <c r="I194" s="16"/>
    </row>
    <row r="195" spans="1:9" x14ac:dyDescent="0.25">
      <c r="A195" s="11" t="s">
        <v>168</v>
      </c>
      <c r="B195" s="11" t="s">
        <v>169</v>
      </c>
      <c r="C195" s="13" t="s">
        <v>154</v>
      </c>
      <c r="D195" s="13" t="s">
        <v>78</v>
      </c>
      <c r="E195" s="13" t="s">
        <v>65</v>
      </c>
      <c r="F195" s="13" t="s">
        <v>639</v>
      </c>
      <c r="G195" s="14"/>
      <c r="H195" s="14"/>
      <c r="I195" s="16"/>
    </row>
    <row r="196" spans="1:9" x14ac:dyDescent="0.25">
      <c r="A196" s="11" t="s">
        <v>170</v>
      </c>
      <c r="B196" s="11" t="s">
        <v>171</v>
      </c>
      <c r="C196" s="13" t="s">
        <v>154</v>
      </c>
      <c r="D196" s="13" t="s">
        <v>64</v>
      </c>
      <c r="E196" s="13" t="s">
        <v>120</v>
      </c>
      <c r="F196" s="13" t="s">
        <v>639</v>
      </c>
      <c r="G196" s="14"/>
      <c r="H196" s="14"/>
      <c r="I196" s="16"/>
    </row>
    <row r="197" spans="1:9" x14ac:dyDescent="0.25">
      <c r="A197" s="11" t="s">
        <v>172</v>
      </c>
      <c r="B197" s="11" t="s">
        <v>173</v>
      </c>
      <c r="C197" s="13" t="s">
        <v>154</v>
      </c>
      <c r="D197" s="13" t="s">
        <v>69</v>
      </c>
      <c r="E197" s="13" t="s">
        <v>120</v>
      </c>
      <c r="F197" s="13" t="s">
        <v>639</v>
      </c>
      <c r="G197" s="14"/>
      <c r="H197" s="14"/>
      <c r="I197" s="16"/>
    </row>
    <row r="198" spans="1:9" x14ac:dyDescent="0.25">
      <c r="A198" s="11" t="s">
        <v>174</v>
      </c>
      <c r="B198" s="11" t="s">
        <v>175</v>
      </c>
      <c r="C198" s="13" t="s">
        <v>154</v>
      </c>
      <c r="D198" s="13" t="s">
        <v>128</v>
      </c>
      <c r="E198" s="13" t="s">
        <v>120</v>
      </c>
      <c r="F198" s="13" t="s">
        <v>639</v>
      </c>
      <c r="G198" s="14"/>
      <c r="H198" s="14"/>
      <c r="I198" s="16"/>
    </row>
    <row r="199" spans="1:9" x14ac:dyDescent="0.25">
      <c r="A199" s="11" t="s">
        <v>176</v>
      </c>
      <c r="B199" s="11" t="s">
        <v>177</v>
      </c>
      <c r="C199" s="13" t="s">
        <v>154</v>
      </c>
      <c r="D199" s="13" t="s">
        <v>72</v>
      </c>
      <c r="E199" s="13" t="s">
        <v>120</v>
      </c>
      <c r="F199" s="13" t="s">
        <v>639</v>
      </c>
      <c r="G199" s="14"/>
      <c r="H199" s="14"/>
      <c r="I199" s="16"/>
    </row>
    <row r="200" spans="1:9" x14ac:dyDescent="0.25">
      <c r="A200" s="11" t="s">
        <v>176</v>
      </c>
      <c r="B200" s="11" t="s">
        <v>177</v>
      </c>
      <c r="C200" s="13" t="s">
        <v>154</v>
      </c>
      <c r="D200" s="13" t="s">
        <v>72</v>
      </c>
      <c r="E200" s="13" t="s">
        <v>120</v>
      </c>
      <c r="F200" s="13" t="s">
        <v>639</v>
      </c>
      <c r="G200" s="14"/>
      <c r="H200" s="14"/>
      <c r="I200" s="16"/>
    </row>
    <row r="201" spans="1:9" x14ac:dyDescent="0.25">
      <c r="A201" s="11" t="s">
        <v>178</v>
      </c>
      <c r="B201" s="11" t="s">
        <v>179</v>
      </c>
      <c r="C201" s="13" t="s">
        <v>154</v>
      </c>
      <c r="D201" s="13" t="s">
        <v>75</v>
      </c>
      <c r="E201" s="13" t="s">
        <v>120</v>
      </c>
      <c r="F201" s="13" t="s">
        <v>639</v>
      </c>
      <c r="G201" s="14"/>
      <c r="H201" s="14"/>
      <c r="I201" s="16"/>
    </row>
    <row r="202" spans="1:9" x14ac:dyDescent="0.25">
      <c r="A202" s="11" t="s">
        <v>180</v>
      </c>
      <c r="B202" s="11" t="s">
        <v>181</v>
      </c>
      <c r="C202" s="13" t="s">
        <v>154</v>
      </c>
      <c r="D202" s="13" t="s">
        <v>182</v>
      </c>
      <c r="E202" s="13" t="s">
        <v>65</v>
      </c>
      <c r="F202" s="13" t="s">
        <v>639</v>
      </c>
      <c r="G202" s="14"/>
      <c r="H202" s="14"/>
      <c r="I202" s="16"/>
    </row>
    <row r="203" spans="1:9" x14ac:dyDescent="0.25">
      <c r="A203" s="11" t="s">
        <v>183</v>
      </c>
      <c r="B203" s="11" t="s">
        <v>184</v>
      </c>
      <c r="C203" s="13" t="s">
        <v>154</v>
      </c>
      <c r="D203" s="13" t="s">
        <v>75</v>
      </c>
      <c r="E203" s="13" t="s">
        <v>65</v>
      </c>
      <c r="F203" s="13" t="s">
        <v>639</v>
      </c>
      <c r="G203" s="14"/>
      <c r="H203" s="14"/>
      <c r="I203" s="16"/>
    </row>
    <row r="204" spans="1:9" x14ac:dyDescent="0.25">
      <c r="A204" s="11" t="s">
        <v>185</v>
      </c>
      <c r="B204" s="11" t="s">
        <v>186</v>
      </c>
      <c r="C204" s="13" t="s">
        <v>154</v>
      </c>
      <c r="D204" s="13" t="s">
        <v>78</v>
      </c>
      <c r="E204" s="13" t="s">
        <v>120</v>
      </c>
      <c r="F204" s="13" t="s">
        <v>639</v>
      </c>
      <c r="G204" s="14"/>
      <c r="H204" s="14"/>
      <c r="I204" s="16"/>
    </row>
    <row r="205" spans="1:9" x14ac:dyDescent="0.25">
      <c r="A205" s="11" t="s">
        <v>187</v>
      </c>
      <c r="B205" s="11" t="s">
        <v>188</v>
      </c>
      <c r="C205" s="13" t="s">
        <v>154</v>
      </c>
      <c r="D205" s="13" t="s">
        <v>165</v>
      </c>
      <c r="E205" s="13" t="s">
        <v>120</v>
      </c>
      <c r="F205" s="13" t="s">
        <v>639</v>
      </c>
      <c r="G205" s="14"/>
      <c r="H205" s="14"/>
      <c r="I205" s="16"/>
    </row>
    <row r="206" spans="1:9" x14ac:dyDescent="0.25">
      <c r="A206" s="11" t="s">
        <v>189</v>
      </c>
      <c r="B206" s="11" t="s">
        <v>190</v>
      </c>
      <c r="C206" s="13" t="s">
        <v>154</v>
      </c>
      <c r="D206" s="13" t="s">
        <v>191</v>
      </c>
      <c r="E206" s="13" t="s">
        <v>65</v>
      </c>
      <c r="F206" s="13" t="s">
        <v>639</v>
      </c>
      <c r="G206" s="14"/>
      <c r="H206" s="14"/>
      <c r="I206" s="16"/>
    </row>
    <row r="207" spans="1:9" x14ac:dyDescent="0.25">
      <c r="A207" s="11" t="s">
        <v>192</v>
      </c>
      <c r="B207" s="11" t="s">
        <v>193</v>
      </c>
      <c r="C207" s="13" t="s">
        <v>154</v>
      </c>
      <c r="D207" s="13" t="s">
        <v>64</v>
      </c>
      <c r="E207" s="13" t="s">
        <v>65</v>
      </c>
      <c r="F207" s="13" t="s">
        <v>639</v>
      </c>
      <c r="G207" s="14"/>
      <c r="H207" s="14"/>
      <c r="I207" s="16"/>
    </row>
    <row r="208" spans="1:9" x14ac:dyDescent="0.25">
      <c r="A208" s="11" t="s">
        <v>194</v>
      </c>
      <c r="B208" s="11" t="s">
        <v>195</v>
      </c>
      <c r="C208" s="13" t="s">
        <v>154</v>
      </c>
      <c r="D208" s="13" t="s">
        <v>69</v>
      </c>
      <c r="E208" s="13" t="s">
        <v>65</v>
      </c>
      <c r="F208" s="13" t="s">
        <v>639</v>
      </c>
      <c r="G208" s="14"/>
      <c r="H208" s="14"/>
      <c r="I208" s="16"/>
    </row>
    <row r="209" spans="1:9" x14ac:dyDescent="0.25">
      <c r="A209" s="11" t="s">
        <v>196</v>
      </c>
      <c r="B209" s="11" t="s">
        <v>197</v>
      </c>
      <c r="C209" s="13" t="s">
        <v>154</v>
      </c>
      <c r="D209" s="13" t="s">
        <v>64</v>
      </c>
      <c r="E209" s="13" t="s">
        <v>120</v>
      </c>
      <c r="F209" s="13" t="s">
        <v>639</v>
      </c>
      <c r="G209" s="14"/>
      <c r="H209" s="14"/>
      <c r="I209" s="16"/>
    </row>
    <row r="210" spans="1:9" x14ac:dyDescent="0.25">
      <c r="A210" s="11" t="s">
        <v>198</v>
      </c>
      <c r="B210" s="11" t="s">
        <v>199</v>
      </c>
      <c r="C210" s="13" t="s">
        <v>154</v>
      </c>
      <c r="D210" s="13" t="s">
        <v>69</v>
      </c>
      <c r="E210" s="13" t="s">
        <v>120</v>
      </c>
      <c r="F210" s="13" t="s">
        <v>639</v>
      </c>
      <c r="G210" s="14"/>
      <c r="H210" s="14"/>
      <c r="I210" s="16"/>
    </row>
    <row r="211" spans="1:9" x14ac:dyDescent="0.25">
      <c r="A211" s="11" t="s">
        <v>200</v>
      </c>
      <c r="B211" s="11" t="s">
        <v>201</v>
      </c>
      <c r="C211" s="13" t="s">
        <v>154</v>
      </c>
      <c r="D211" s="13" t="s">
        <v>128</v>
      </c>
      <c r="E211" s="13" t="s">
        <v>120</v>
      </c>
      <c r="F211" s="13" t="s">
        <v>639</v>
      </c>
      <c r="G211" s="14"/>
      <c r="H211" s="14"/>
      <c r="I211" s="16"/>
    </row>
    <row r="212" spans="1:9" x14ac:dyDescent="0.25">
      <c r="A212" s="11" t="s">
        <v>202</v>
      </c>
      <c r="B212" s="11" t="s">
        <v>203</v>
      </c>
      <c r="C212" s="13" t="s">
        <v>154</v>
      </c>
      <c r="D212" s="13" t="s">
        <v>72</v>
      </c>
      <c r="E212" s="13" t="s">
        <v>120</v>
      </c>
      <c r="F212" s="13" t="s">
        <v>639</v>
      </c>
      <c r="G212" s="14"/>
      <c r="H212" s="14"/>
      <c r="I212" s="16"/>
    </row>
    <row r="213" spans="1:9" x14ac:dyDescent="0.25">
      <c r="A213" s="11" t="s">
        <v>204</v>
      </c>
      <c r="B213" s="11" t="s">
        <v>205</v>
      </c>
      <c r="C213" s="13" t="s">
        <v>154</v>
      </c>
      <c r="D213" s="13" t="s">
        <v>75</v>
      </c>
      <c r="E213" s="13" t="s">
        <v>120</v>
      </c>
      <c r="F213" s="13" t="s">
        <v>639</v>
      </c>
      <c r="G213" s="14"/>
      <c r="H213" s="14"/>
      <c r="I213" s="16"/>
    </row>
    <row r="214" spans="1:9" x14ac:dyDescent="0.25">
      <c r="A214" s="19" t="s">
        <v>206</v>
      </c>
      <c r="B214" s="11" t="s">
        <v>207</v>
      </c>
      <c r="C214" s="13" t="s">
        <v>154</v>
      </c>
      <c r="D214" s="13" t="s">
        <v>78</v>
      </c>
      <c r="E214" s="13" t="s">
        <v>120</v>
      </c>
      <c r="F214" s="13" t="s">
        <v>639</v>
      </c>
      <c r="G214" s="14"/>
      <c r="H214" s="14"/>
      <c r="I214" s="16"/>
    </row>
    <row r="215" spans="1:9" x14ac:dyDescent="0.25">
      <c r="A215" s="11" t="s">
        <v>208</v>
      </c>
      <c r="B215" s="11" t="s">
        <v>209</v>
      </c>
      <c r="C215" s="13" t="s">
        <v>154</v>
      </c>
      <c r="D215" s="13" t="s">
        <v>210</v>
      </c>
      <c r="E215" s="13" t="s">
        <v>65</v>
      </c>
      <c r="F215" s="13" t="s">
        <v>639</v>
      </c>
      <c r="G215" s="14"/>
      <c r="H215" s="14"/>
      <c r="I215" s="16"/>
    </row>
    <row r="216" spans="1:9" x14ac:dyDescent="0.25">
      <c r="A216" s="11" t="s">
        <v>211</v>
      </c>
      <c r="B216" s="11" t="s">
        <v>212</v>
      </c>
      <c r="C216" s="13" t="s">
        <v>154</v>
      </c>
      <c r="D216" s="13" t="s">
        <v>78</v>
      </c>
      <c r="E216" s="13" t="s">
        <v>120</v>
      </c>
      <c r="F216" s="13" t="s">
        <v>639</v>
      </c>
      <c r="G216" s="14"/>
      <c r="H216" s="14"/>
      <c r="I216" s="16"/>
    </row>
    <row r="217" spans="1:9" x14ac:dyDescent="0.25">
      <c r="A217" s="11" t="s">
        <v>213</v>
      </c>
      <c r="B217" s="11" t="s">
        <v>214</v>
      </c>
      <c r="C217" s="13" t="s">
        <v>154</v>
      </c>
      <c r="D217" s="13" t="s">
        <v>78</v>
      </c>
      <c r="E217" s="13" t="s">
        <v>65</v>
      </c>
      <c r="F217" s="13" t="s">
        <v>639</v>
      </c>
      <c r="G217" s="14"/>
      <c r="H217" s="14"/>
      <c r="I217" s="16"/>
    </row>
    <row r="218" spans="1:9" x14ac:dyDescent="0.25">
      <c r="A218" s="11" t="s">
        <v>215</v>
      </c>
      <c r="B218" s="11" t="s">
        <v>181</v>
      </c>
      <c r="C218" s="13" t="s">
        <v>154</v>
      </c>
      <c r="D218" s="13" t="s">
        <v>182</v>
      </c>
      <c r="E218" s="13" t="s">
        <v>65</v>
      </c>
      <c r="F218" s="13" t="s">
        <v>639</v>
      </c>
      <c r="G218" s="14"/>
      <c r="H218" s="14"/>
      <c r="I218" s="16"/>
    </row>
    <row r="219" spans="1:9" x14ac:dyDescent="0.25">
      <c r="A219" s="11" t="s">
        <v>216</v>
      </c>
      <c r="B219" s="11" t="s">
        <v>217</v>
      </c>
      <c r="C219" s="13" t="s">
        <v>154</v>
      </c>
      <c r="D219" s="13" t="s">
        <v>141</v>
      </c>
      <c r="E219" s="13" t="s">
        <v>120</v>
      </c>
      <c r="F219" s="13" t="s">
        <v>639</v>
      </c>
      <c r="G219" s="14"/>
      <c r="H219" s="14"/>
      <c r="I219" s="16"/>
    </row>
    <row r="220" spans="1:9" x14ac:dyDescent="0.25">
      <c r="A220" s="11" t="s">
        <v>218</v>
      </c>
      <c r="B220" s="11" t="s">
        <v>219</v>
      </c>
      <c r="C220" s="13" t="s">
        <v>154</v>
      </c>
      <c r="D220" s="13" t="s">
        <v>220</v>
      </c>
      <c r="E220" s="13" t="s">
        <v>120</v>
      </c>
      <c r="F220" s="13" t="s">
        <v>639</v>
      </c>
      <c r="G220" s="14"/>
      <c r="H220" s="14"/>
      <c r="I220" s="16"/>
    </row>
    <row r="221" spans="1:9" x14ac:dyDescent="0.25">
      <c r="A221" s="11" t="s">
        <v>221</v>
      </c>
      <c r="B221" s="11" t="s">
        <v>222</v>
      </c>
      <c r="C221" s="13" t="s">
        <v>154</v>
      </c>
      <c r="D221" s="13" t="s">
        <v>78</v>
      </c>
      <c r="E221" s="13" t="s">
        <v>120</v>
      </c>
      <c r="F221" s="13" t="s">
        <v>639</v>
      </c>
      <c r="G221" s="14"/>
      <c r="H221" s="14"/>
      <c r="I221" s="16"/>
    </row>
    <row r="222" spans="1:9" x14ac:dyDescent="0.25">
      <c r="A222" s="11" t="s">
        <v>223</v>
      </c>
      <c r="B222" s="11" t="s">
        <v>175</v>
      </c>
      <c r="C222" s="13" t="s">
        <v>154</v>
      </c>
      <c r="D222" s="13" t="s">
        <v>128</v>
      </c>
      <c r="E222" s="13" t="s">
        <v>120</v>
      </c>
      <c r="F222" s="13" t="s">
        <v>639</v>
      </c>
      <c r="G222" s="14"/>
      <c r="H222" s="14"/>
      <c r="I222" s="16"/>
    </row>
    <row r="223" spans="1:9" x14ac:dyDescent="0.25">
      <c r="A223" s="11" t="s">
        <v>224</v>
      </c>
      <c r="B223" s="11" t="s">
        <v>173</v>
      </c>
      <c r="C223" s="13" t="s">
        <v>154</v>
      </c>
      <c r="D223" s="13" t="s">
        <v>69</v>
      </c>
      <c r="E223" s="13" t="s">
        <v>120</v>
      </c>
      <c r="F223" s="13" t="s">
        <v>639</v>
      </c>
      <c r="G223" s="14"/>
      <c r="H223" s="14"/>
      <c r="I223" s="16"/>
    </row>
    <row r="224" spans="1:9" x14ac:dyDescent="0.25">
      <c r="A224" s="11" t="s">
        <v>225</v>
      </c>
      <c r="B224" s="11" t="s">
        <v>226</v>
      </c>
      <c r="C224" s="13" t="s">
        <v>154</v>
      </c>
      <c r="D224" s="13" t="s">
        <v>75</v>
      </c>
      <c r="E224" s="13" t="s">
        <v>120</v>
      </c>
      <c r="F224" s="13" t="s">
        <v>639</v>
      </c>
      <c r="G224" s="14"/>
      <c r="H224" s="14"/>
      <c r="I224" s="16"/>
    </row>
    <row r="225" spans="1:9" x14ac:dyDescent="0.25">
      <c r="A225" s="11" t="s">
        <v>227</v>
      </c>
      <c r="B225" s="11" t="s">
        <v>228</v>
      </c>
      <c r="C225" s="13" t="s">
        <v>154</v>
      </c>
      <c r="D225" s="13" t="s">
        <v>72</v>
      </c>
      <c r="E225" s="13" t="s">
        <v>120</v>
      </c>
      <c r="F225" s="13" t="s">
        <v>639</v>
      </c>
      <c r="G225" s="14"/>
      <c r="H225" s="14"/>
      <c r="I225" s="16"/>
    </row>
    <row r="226" spans="1:9" x14ac:dyDescent="0.25">
      <c r="A226" s="13" t="s">
        <v>756</v>
      </c>
      <c r="B226" s="13" t="s">
        <v>757</v>
      </c>
      <c r="C226" s="13" t="s">
        <v>154</v>
      </c>
      <c r="D226" s="13" t="s">
        <v>422</v>
      </c>
      <c r="E226" s="13" t="s">
        <v>120</v>
      </c>
      <c r="F226" s="13" t="s">
        <v>639</v>
      </c>
      <c r="G226" s="14"/>
      <c r="H226" s="14"/>
      <c r="I226" s="16"/>
    </row>
    <row r="227" spans="1:9" x14ac:dyDescent="0.25">
      <c r="A227" s="13" t="s">
        <v>758</v>
      </c>
      <c r="B227" s="11" t="s">
        <v>759</v>
      </c>
      <c r="C227" s="13" t="s">
        <v>760</v>
      </c>
      <c r="D227" s="13" t="s">
        <v>155</v>
      </c>
      <c r="E227" s="13" t="s">
        <v>65</v>
      </c>
      <c r="F227" s="13" t="s">
        <v>745</v>
      </c>
      <c r="G227" s="14"/>
      <c r="H227" s="14"/>
      <c r="I227" s="16"/>
    </row>
    <row r="228" spans="1:9" x14ac:dyDescent="0.25">
      <c r="A228" s="14" t="s">
        <v>761</v>
      </c>
      <c r="B228" s="14" t="s">
        <v>762</v>
      </c>
      <c r="C228" s="13" t="s">
        <v>763</v>
      </c>
      <c r="D228" s="13" t="s">
        <v>64</v>
      </c>
      <c r="E228" s="13" t="s">
        <v>120</v>
      </c>
      <c r="F228" s="13" t="s">
        <v>746</v>
      </c>
      <c r="G228" s="14"/>
      <c r="H228" s="14"/>
      <c r="I228" s="16"/>
    </row>
    <row r="229" spans="1:9" x14ac:dyDescent="0.25">
      <c r="A229" s="14" t="s">
        <v>764</v>
      </c>
      <c r="B229" s="14" t="s">
        <v>765</v>
      </c>
      <c r="C229" s="13" t="s">
        <v>763</v>
      </c>
      <c r="D229" s="13" t="s">
        <v>69</v>
      </c>
      <c r="E229" s="13" t="s">
        <v>120</v>
      </c>
      <c r="F229" s="13" t="s">
        <v>746</v>
      </c>
      <c r="G229" s="14"/>
      <c r="H229" s="14"/>
      <c r="I229" s="16"/>
    </row>
    <row r="230" spans="1:9" ht="15.75" x14ac:dyDescent="0.25">
      <c r="A230" s="13" t="s">
        <v>766</v>
      </c>
      <c r="B230" s="20" t="s">
        <v>767</v>
      </c>
      <c r="C230" s="13" t="s">
        <v>624</v>
      </c>
      <c r="D230" s="13" t="s">
        <v>64</v>
      </c>
      <c r="E230" s="13" t="s">
        <v>120</v>
      </c>
      <c r="F230" s="13" t="s">
        <v>746</v>
      </c>
      <c r="G230" s="14"/>
      <c r="H230" s="14"/>
      <c r="I230" s="16"/>
    </row>
    <row r="231" spans="1:9" ht="15.75" x14ac:dyDescent="0.25">
      <c r="A231" s="13" t="s">
        <v>768</v>
      </c>
      <c r="B231" s="20" t="s">
        <v>769</v>
      </c>
      <c r="C231" s="13" t="s">
        <v>624</v>
      </c>
      <c r="D231" s="13" t="s">
        <v>69</v>
      </c>
      <c r="E231" s="13" t="s">
        <v>120</v>
      </c>
      <c r="F231" s="13" t="s">
        <v>746</v>
      </c>
      <c r="G231" s="14"/>
      <c r="H231" s="14"/>
      <c r="I231" s="16"/>
    </row>
    <row r="232" spans="1:9" x14ac:dyDescent="0.25">
      <c r="A232" s="14" t="s">
        <v>622</v>
      </c>
      <c r="B232" s="14" t="s">
        <v>623</v>
      </c>
      <c r="C232" s="13" t="s">
        <v>624</v>
      </c>
      <c r="D232" s="13" t="s">
        <v>625</v>
      </c>
      <c r="E232" s="13" t="s">
        <v>120</v>
      </c>
      <c r="F232" s="13" t="s">
        <v>746</v>
      </c>
      <c r="G232" s="14"/>
      <c r="H232" s="14"/>
      <c r="I232" s="16"/>
    </row>
    <row r="233" spans="1:9" x14ac:dyDescent="0.25">
      <c r="A233" s="14" t="s">
        <v>626</v>
      </c>
      <c r="B233" s="14" t="s">
        <v>627</v>
      </c>
      <c r="C233" s="13" t="s">
        <v>624</v>
      </c>
      <c r="D233" s="13" t="s">
        <v>628</v>
      </c>
      <c r="E233" s="13" t="s">
        <v>120</v>
      </c>
      <c r="F233" s="13" t="s">
        <v>746</v>
      </c>
      <c r="G233" s="14"/>
      <c r="H233" s="14"/>
      <c r="I233" s="16"/>
    </row>
    <row r="234" spans="1:9" x14ac:dyDescent="0.25">
      <c r="A234" s="14" t="s">
        <v>770</v>
      </c>
      <c r="B234" s="14" t="s">
        <v>771</v>
      </c>
      <c r="C234" s="13" t="s">
        <v>772</v>
      </c>
      <c r="D234" s="13" t="s">
        <v>64</v>
      </c>
      <c r="E234" s="13" t="s">
        <v>120</v>
      </c>
      <c r="F234" s="13" t="s">
        <v>746</v>
      </c>
      <c r="G234" s="14"/>
      <c r="H234" s="14"/>
      <c r="I234" s="16"/>
    </row>
    <row r="235" spans="1:9" x14ac:dyDescent="0.25">
      <c r="A235" s="13" t="s">
        <v>770</v>
      </c>
      <c r="B235" s="13" t="s">
        <v>771</v>
      </c>
      <c r="C235" s="13" t="s">
        <v>772</v>
      </c>
      <c r="D235" s="13" t="s">
        <v>64</v>
      </c>
      <c r="E235" s="13" t="s">
        <v>120</v>
      </c>
      <c r="F235" s="13" t="s">
        <v>746</v>
      </c>
      <c r="G235" s="14"/>
      <c r="H235" s="14"/>
      <c r="I235" s="16"/>
    </row>
    <row r="236" spans="1:9" x14ac:dyDescent="0.25">
      <c r="A236" s="13" t="s">
        <v>773</v>
      </c>
      <c r="B236" s="13" t="s">
        <v>774</v>
      </c>
      <c r="C236" s="13" t="s">
        <v>772</v>
      </c>
      <c r="D236" s="13" t="s">
        <v>69</v>
      </c>
      <c r="E236" s="13" t="s">
        <v>120</v>
      </c>
      <c r="F236" s="13" t="s">
        <v>746</v>
      </c>
      <c r="G236" s="14"/>
      <c r="H236" s="14"/>
      <c r="I236" s="16"/>
    </row>
    <row r="237" spans="1:9" x14ac:dyDescent="0.25">
      <c r="A237" s="11" t="s">
        <v>775</v>
      </c>
      <c r="B237" s="11" t="s">
        <v>776</v>
      </c>
      <c r="C237" s="13" t="s">
        <v>772</v>
      </c>
      <c r="D237" s="13" t="s">
        <v>72</v>
      </c>
      <c r="E237" s="13" t="s">
        <v>120</v>
      </c>
      <c r="F237" s="13" t="s">
        <v>746</v>
      </c>
      <c r="G237" s="14"/>
      <c r="H237" s="14"/>
      <c r="I237" s="16"/>
    </row>
    <row r="238" spans="1:9" x14ac:dyDescent="0.25">
      <c r="A238" t="s">
        <v>777</v>
      </c>
      <c r="B238" t="s">
        <v>778</v>
      </c>
      <c r="C238" s="13" t="s">
        <v>779</v>
      </c>
      <c r="D238" s="13" t="s">
        <v>64</v>
      </c>
      <c r="E238" s="13" t="s">
        <v>65</v>
      </c>
      <c r="F238" s="13" t="s">
        <v>746</v>
      </c>
      <c r="G238" s="14"/>
      <c r="H238" s="14"/>
      <c r="I238" s="16"/>
    </row>
    <row r="239" spans="1:9" x14ac:dyDescent="0.25">
      <c r="A239" t="s">
        <v>780</v>
      </c>
      <c r="B239" t="s">
        <v>781</v>
      </c>
      <c r="C239" s="13" t="s">
        <v>779</v>
      </c>
      <c r="D239" s="13" t="s">
        <v>64</v>
      </c>
      <c r="E239" s="13" t="s">
        <v>120</v>
      </c>
      <c r="F239" s="13" t="s">
        <v>746</v>
      </c>
      <c r="G239" s="14"/>
      <c r="H239" s="14"/>
      <c r="I239" s="16"/>
    </row>
    <row r="240" spans="1:9" x14ac:dyDescent="0.25">
      <c r="A240" t="s">
        <v>782</v>
      </c>
      <c r="B240" t="s">
        <v>783</v>
      </c>
      <c r="C240" s="13" t="s">
        <v>779</v>
      </c>
      <c r="D240" s="13" t="s">
        <v>75</v>
      </c>
      <c r="E240" s="13" t="s">
        <v>120</v>
      </c>
      <c r="F240" s="13" t="s">
        <v>746</v>
      </c>
      <c r="G240" s="14"/>
      <c r="H240" s="14"/>
      <c r="I240" s="16"/>
    </row>
    <row r="241" spans="1:9" x14ac:dyDescent="0.25">
      <c r="A241" s="13" t="s">
        <v>784</v>
      </c>
      <c r="B241" s="11" t="s">
        <v>785</v>
      </c>
      <c r="C241" s="13" t="s">
        <v>786</v>
      </c>
      <c r="D241" s="13" t="s">
        <v>64</v>
      </c>
      <c r="E241" s="13" t="s">
        <v>120</v>
      </c>
      <c r="F241" s="13" t="s">
        <v>746</v>
      </c>
      <c r="G241" s="14"/>
      <c r="H241" s="14"/>
      <c r="I241" s="16"/>
    </row>
    <row r="242" spans="1:9" x14ac:dyDescent="0.25">
      <c r="A242" t="s">
        <v>784</v>
      </c>
      <c r="B242" t="s">
        <v>785</v>
      </c>
      <c r="C242" s="13" t="s">
        <v>779</v>
      </c>
      <c r="D242" s="13" t="s">
        <v>64</v>
      </c>
      <c r="E242" s="13" t="s">
        <v>120</v>
      </c>
      <c r="F242" s="13" t="s">
        <v>746</v>
      </c>
      <c r="G242" s="14"/>
      <c r="H242" s="14"/>
      <c r="I242" s="16"/>
    </row>
    <row r="243" spans="1:9" x14ac:dyDescent="0.25">
      <c r="A243" t="s">
        <v>787</v>
      </c>
      <c r="B243" t="s">
        <v>788</v>
      </c>
      <c r="C243" s="13" t="s">
        <v>779</v>
      </c>
      <c r="D243" s="13" t="s">
        <v>64</v>
      </c>
      <c r="E243" s="13" t="s">
        <v>120</v>
      </c>
      <c r="F243" s="13" t="s">
        <v>746</v>
      </c>
      <c r="G243" s="14"/>
      <c r="H243" s="14"/>
      <c r="I243" s="16"/>
    </row>
    <row r="244" spans="1:9" x14ac:dyDescent="0.25">
      <c r="A244" t="s">
        <v>789</v>
      </c>
      <c r="B244" t="s">
        <v>790</v>
      </c>
      <c r="C244" s="13" t="s">
        <v>779</v>
      </c>
      <c r="D244" s="13" t="s">
        <v>128</v>
      </c>
      <c r="E244" s="13" t="s">
        <v>120</v>
      </c>
      <c r="F244" s="13" t="s">
        <v>746</v>
      </c>
      <c r="G244" s="14"/>
      <c r="H244" s="14"/>
      <c r="I244" s="16"/>
    </row>
    <row r="245" spans="1:9" x14ac:dyDescent="0.25">
      <c r="A245" t="s">
        <v>791</v>
      </c>
      <c r="B245" t="s">
        <v>792</v>
      </c>
      <c r="C245" s="13" t="s">
        <v>779</v>
      </c>
      <c r="D245" s="13" t="s">
        <v>128</v>
      </c>
      <c r="E245" s="13" t="s">
        <v>120</v>
      </c>
      <c r="F245" s="13" t="s">
        <v>746</v>
      </c>
      <c r="G245" s="14"/>
      <c r="H245" s="14"/>
      <c r="I245" s="16"/>
    </row>
    <row r="246" spans="1:9" x14ac:dyDescent="0.25">
      <c r="A246" t="s">
        <v>793</v>
      </c>
      <c r="B246" t="s">
        <v>794</v>
      </c>
      <c r="C246" s="13" t="s">
        <v>779</v>
      </c>
      <c r="D246" s="13" t="s">
        <v>72</v>
      </c>
      <c r="E246" s="13" t="s">
        <v>120</v>
      </c>
      <c r="F246" s="13" t="s">
        <v>746</v>
      </c>
      <c r="G246" s="14"/>
      <c r="H246" s="14"/>
      <c r="I246" s="16"/>
    </row>
    <row r="247" spans="1:9" x14ac:dyDescent="0.25">
      <c r="A247" t="s">
        <v>795</v>
      </c>
      <c r="B247" t="s">
        <v>796</v>
      </c>
      <c r="C247" s="13" t="s">
        <v>779</v>
      </c>
      <c r="D247" s="13" t="s">
        <v>72</v>
      </c>
      <c r="E247" s="13" t="s">
        <v>120</v>
      </c>
      <c r="F247" s="13" t="s">
        <v>746</v>
      </c>
      <c r="G247" s="14"/>
      <c r="H247" s="14"/>
      <c r="I247" s="16"/>
    </row>
    <row r="248" spans="1:9" x14ac:dyDescent="0.25">
      <c r="A248" t="s">
        <v>797</v>
      </c>
      <c r="B248" t="s">
        <v>798</v>
      </c>
      <c r="C248" s="13" t="s">
        <v>779</v>
      </c>
      <c r="D248" s="13" t="s">
        <v>75</v>
      </c>
      <c r="E248" s="13" t="s">
        <v>120</v>
      </c>
      <c r="F248" s="13" t="s">
        <v>746</v>
      </c>
      <c r="G248" s="14"/>
      <c r="H248" s="14"/>
      <c r="I248" s="16"/>
    </row>
    <row r="249" spans="1:9" x14ac:dyDescent="0.25">
      <c r="A249" t="s">
        <v>799</v>
      </c>
      <c r="B249" t="s">
        <v>800</v>
      </c>
      <c r="C249" s="13" t="s">
        <v>779</v>
      </c>
      <c r="D249" s="13" t="s">
        <v>75</v>
      </c>
      <c r="E249" s="13" t="s">
        <v>120</v>
      </c>
      <c r="F249" s="13" t="s">
        <v>746</v>
      </c>
      <c r="G249" s="14"/>
      <c r="H249" s="14"/>
      <c r="I249" s="16"/>
    </row>
    <row r="250" spans="1:9" x14ac:dyDescent="0.25">
      <c r="A250" t="s">
        <v>801</v>
      </c>
      <c r="B250" t="s">
        <v>802</v>
      </c>
      <c r="C250" s="13" t="s">
        <v>779</v>
      </c>
      <c r="D250" s="13" t="s">
        <v>75</v>
      </c>
      <c r="E250" s="13" t="s">
        <v>120</v>
      </c>
      <c r="F250" s="13" t="s">
        <v>746</v>
      </c>
      <c r="G250" s="14"/>
      <c r="H250" s="14"/>
      <c r="I250" s="16"/>
    </row>
    <row r="251" spans="1:9" x14ac:dyDescent="0.25">
      <c r="A251" t="s">
        <v>803</v>
      </c>
      <c r="B251" t="s">
        <v>804</v>
      </c>
      <c r="C251" s="13" t="s">
        <v>779</v>
      </c>
      <c r="D251" s="13" t="s">
        <v>69</v>
      </c>
      <c r="E251" s="13" t="s">
        <v>120</v>
      </c>
      <c r="F251" s="13" t="s">
        <v>746</v>
      </c>
      <c r="G251" s="14"/>
      <c r="H251" s="14"/>
      <c r="I251" s="16"/>
    </row>
    <row r="252" spans="1:9" x14ac:dyDescent="0.25">
      <c r="A252" t="s">
        <v>805</v>
      </c>
      <c r="B252" t="s">
        <v>806</v>
      </c>
      <c r="C252" s="13" t="s">
        <v>779</v>
      </c>
      <c r="D252" s="13" t="s">
        <v>69</v>
      </c>
      <c r="E252" s="13" t="s">
        <v>120</v>
      </c>
      <c r="F252" s="13" t="s">
        <v>746</v>
      </c>
      <c r="G252" s="14"/>
      <c r="H252" s="14"/>
      <c r="I252" s="16"/>
    </row>
    <row r="253" spans="1:9" x14ac:dyDescent="0.25">
      <c r="A253" t="s">
        <v>807</v>
      </c>
      <c r="B253" t="s">
        <v>808</v>
      </c>
      <c r="C253" s="13" t="s">
        <v>779</v>
      </c>
      <c r="D253" s="13" t="s">
        <v>69</v>
      </c>
      <c r="E253" s="13" t="s">
        <v>120</v>
      </c>
      <c r="F253" s="13" t="s">
        <v>746</v>
      </c>
      <c r="G253" s="14"/>
      <c r="H253" s="14"/>
      <c r="I253" s="16"/>
    </row>
    <row r="254" spans="1:9" x14ac:dyDescent="0.25">
      <c r="A254" t="s">
        <v>809</v>
      </c>
      <c r="B254" t="s">
        <v>810</v>
      </c>
      <c r="C254" s="13" t="s">
        <v>779</v>
      </c>
      <c r="D254" s="13" t="s">
        <v>78</v>
      </c>
      <c r="E254" s="13" t="s">
        <v>120</v>
      </c>
      <c r="F254" s="13" t="s">
        <v>746</v>
      </c>
      <c r="G254" s="14"/>
      <c r="H254" s="14"/>
      <c r="I254" s="16"/>
    </row>
    <row r="255" spans="1:9" x14ac:dyDescent="0.25">
      <c r="A255" t="s">
        <v>811</v>
      </c>
      <c r="B255" t="s">
        <v>812</v>
      </c>
      <c r="C255" s="13" t="s">
        <v>779</v>
      </c>
      <c r="D255" s="13" t="s">
        <v>75</v>
      </c>
      <c r="E255" s="13" t="s">
        <v>120</v>
      </c>
      <c r="F255" s="13" t="s">
        <v>746</v>
      </c>
      <c r="G255" s="14"/>
      <c r="H255" s="14"/>
      <c r="I255" s="16"/>
    </row>
    <row r="256" spans="1:9" x14ac:dyDescent="0.25">
      <c r="A256" t="s">
        <v>813</v>
      </c>
      <c r="B256" t="s">
        <v>814</v>
      </c>
      <c r="C256" s="13" t="s">
        <v>779</v>
      </c>
      <c r="D256" s="13" t="s">
        <v>64</v>
      </c>
      <c r="E256" s="13" t="s">
        <v>120</v>
      </c>
      <c r="F256" s="13" t="s">
        <v>746</v>
      </c>
      <c r="G256" s="14"/>
      <c r="H256" s="14"/>
      <c r="I256" s="16"/>
    </row>
    <row r="257" spans="1:9" x14ac:dyDescent="0.25">
      <c r="A257" t="s">
        <v>815</v>
      </c>
      <c r="B257" t="s">
        <v>816</v>
      </c>
      <c r="C257" s="13" t="s">
        <v>779</v>
      </c>
      <c r="D257" s="13" t="s">
        <v>64</v>
      </c>
      <c r="E257" s="13" t="s">
        <v>120</v>
      </c>
      <c r="F257" s="13" t="s">
        <v>746</v>
      </c>
      <c r="G257" s="14"/>
      <c r="H257" s="14"/>
      <c r="I257" s="16"/>
    </row>
    <row r="258" spans="1:9" x14ac:dyDescent="0.25">
      <c r="A258" t="s">
        <v>817</v>
      </c>
      <c r="B258" t="s">
        <v>818</v>
      </c>
      <c r="C258" s="13" t="s">
        <v>779</v>
      </c>
      <c r="D258" s="13" t="s">
        <v>75</v>
      </c>
      <c r="E258" s="13" t="s">
        <v>120</v>
      </c>
      <c r="F258" s="13" t="s">
        <v>746</v>
      </c>
      <c r="G258" s="14"/>
      <c r="H258" s="14"/>
      <c r="I258" s="16"/>
    </row>
    <row r="259" spans="1:9" x14ac:dyDescent="0.25">
      <c r="A259" t="s">
        <v>819</v>
      </c>
      <c r="B259" t="s">
        <v>820</v>
      </c>
      <c r="C259" s="13" t="s">
        <v>779</v>
      </c>
      <c r="D259" s="13" t="s">
        <v>78</v>
      </c>
      <c r="E259" s="13" t="s">
        <v>65</v>
      </c>
      <c r="F259" s="13" t="s">
        <v>746</v>
      </c>
      <c r="G259" s="14"/>
      <c r="H259" s="14"/>
      <c r="I259" s="16"/>
    </row>
    <row r="260" spans="1:9" x14ac:dyDescent="0.25">
      <c r="A260" t="s">
        <v>821</v>
      </c>
      <c r="B260" t="s">
        <v>822</v>
      </c>
      <c r="C260" s="13" t="s">
        <v>779</v>
      </c>
      <c r="D260" s="13" t="s">
        <v>64</v>
      </c>
      <c r="E260" s="13" t="s">
        <v>65</v>
      </c>
      <c r="F260" s="13" t="s">
        <v>746</v>
      </c>
      <c r="G260" s="14"/>
      <c r="H260" s="14"/>
      <c r="I260" s="16"/>
    </row>
    <row r="261" spans="1:9" x14ac:dyDescent="0.25">
      <c r="A261" t="s">
        <v>823</v>
      </c>
      <c r="B261" t="s">
        <v>824</v>
      </c>
      <c r="C261" s="13" t="s">
        <v>779</v>
      </c>
      <c r="D261" s="13" t="s">
        <v>128</v>
      </c>
      <c r="E261" s="13" t="s">
        <v>65</v>
      </c>
      <c r="F261" s="13" t="s">
        <v>746</v>
      </c>
      <c r="G261" s="14"/>
      <c r="H261" s="14"/>
      <c r="I261" s="16"/>
    </row>
    <row r="262" spans="1:9" x14ac:dyDescent="0.25">
      <c r="A262" t="s">
        <v>825</v>
      </c>
      <c r="B262" t="s">
        <v>826</v>
      </c>
      <c r="C262" s="13" t="s">
        <v>779</v>
      </c>
      <c r="D262" s="13" t="s">
        <v>64</v>
      </c>
      <c r="E262" s="13" t="s">
        <v>65</v>
      </c>
      <c r="F262" s="13" t="s">
        <v>746</v>
      </c>
      <c r="G262" s="14"/>
      <c r="H262" s="14"/>
      <c r="I262" s="16"/>
    </row>
    <row r="263" spans="1:9" x14ac:dyDescent="0.25">
      <c r="A263" t="s">
        <v>827</v>
      </c>
      <c r="B263" t="s">
        <v>828</v>
      </c>
      <c r="C263" s="13" t="s">
        <v>779</v>
      </c>
      <c r="D263" s="13" t="s">
        <v>128</v>
      </c>
      <c r="E263" s="13" t="s">
        <v>65</v>
      </c>
      <c r="F263" s="13" t="s">
        <v>746</v>
      </c>
      <c r="G263" s="14"/>
      <c r="H263" s="14"/>
      <c r="I263" s="16"/>
    </row>
    <row r="264" spans="1:9" x14ac:dyDescent="0.25">
      <c r="A264" t="s">
        <v>829</v>
      </c>
      <c r="B264" t="s">
        <v>830</v>
      </c>
      <c r="C264" s="13" t="s">
        <v>779</v>
      </c>
      <c r="D264" s="13" t="s">
        <v>69</v>
      </c>
      <c r="E264" s="13" t="s">
        <v>65</v>
      </c>
      <c r="F264" s="13" t="s">
        <v>746</v>
      </c>
      <c r="G264" s="14"/>
      <c r="H264" s="14"/>
      <c r="I264" s="16"/>
    </row>
    <row r="265" spans="1:9" x14ac:dyDescent="0.25">
      <c r="A265" t="s">
        <v>831</v>
      </c>
      <c r="B265" t="s">
        <v>832</v>
      </c>
      <c r="C265" s="13" t="s">
        <v>779</v>
      </c>
      <c r="D265" s="13" t="s">
        <v>75</v>
      </c>
      <c r="E265" s="13" t="s">
        <v>65</v>
      </c>
      <c r="F265" s="13" t="s">
        <v>746</v>
      </c>
      <c r="G265" s="14"/>
      <c r="H265" s="14"/>
      <c r="I265" s="16"/>
    </row>
    <row r="266" spans="1:9" x14ac:dyDescent="0.25">
      <c r="A266" t="s">
        <v>833</v>
      </c>
      <c r="B266" t="s">
        <v>834</v>
      </c>
      <c r="C266" s="13" t="s">
        <v>779</v>
      </c>
      <c r="D266" s="13" t="s">
        <v>69</v>
      </c>
      <c r="E266" s="13" t="s">
        <v>120</v>
      </c>
      <c r="F266" s="13" t="s">
        <v>746</v>
      </c>
      <c r="G266" s="14"/>
      <c r="H266" s="14"/>
      <c r="I266" s="16"/>
    </row>
    <row r="267" spans="1:9" x14ac:dyDescent="0.25">
      <c r="A267" t="s">
        <v>835</v>
      </c>
      <c r="B267" t="s">
        <v>836</v>
      </c>
      <c r="C267" s="13" t="s">
        <v>779</v>
      </c>
      <c r="D267" s="13" t="s">
        <v>78</v>
      </c>
      <c r="E267" s="13" t="s">
        <v>120</v>
      </c>
      <c r="F267" s="13" t="s">
        <v>746</v>
      </c>
      <c r="G267" s="14"/>
      <c r="H267" s="14"/>
      <c r="I267" s="16"/>
    </row>
    <row r="268" spans="1:9" x14ac:dyDescent="0.25">
      <c r="A268" t="s">
        <v>837</v>
      </c>
      <c r="B268" t="s">
        <v>838</v>
      </c>
      <c r="C268" s="13" t="s">
        <v>779</v>
      </c>
      <c r="D268" s="13" t="s">
        <v>69</v>
      </c>
      <c r="E268" s="13" t="s">
        <v>120</v>
      </c>
      <c r="F268" s="13" t="s">
        <v>746</v>
      </c>
      <c r="G268" s="14"/>
      <c r="H268" s="14"/>
      <c r="I268" s="16"/>
    </row>
    <row r="269" spans="1:9" x14ac:dyDescent="0.25">
      <c r="A269" t="s">
        <v>839</v>
      </c>
      <c r="B269" t="s">
        <v>781</v>
      </c>
      <c r="C269" s="13" t="s">
        <v>779</v>
      </c>
      <c r="D269" s="13" t="s">
        <v>64</v>
      </c>
      <c r="E269" s="13" t="s">
        <v>120</v>
      </c>
      <c r="F269" s="13" t="s">
        <v>746</v>
      </c>
      <c r="G269" s="14"/>
      <c r="H269" s="14"/>
      <c r="I269" s="16"/>
    </row>
    <row r="270" spans="1:9" x14ac:dyDescent="0.25">
      <c r="A270" t="s">
        <v>840</v>
      </c>
      <c r="B270" t="s">
        <v>788</v>
      </c>
      <c r="C270" s="13" t="s">
        <v>779</v>
      </c>
      <c r="D270" s="13" t="s">
        <v>64</v>
      </c>
      <c r="E270" s="13" t="s">
        <v>120</v>
      </c>
      <c r="F270" s="13" t="s">
        <v>746</v>
      </c>
      <c r="G270" s="14"/>
      <c r="H270" s="14"/>
      <c r="I270" s="16"/>
    </row>
    <row r="271" spans="1:9" x14ac:dyDescent="0.25">
      <c r="A271" t="s">
        <v>841</v>
      </c>
      <c r="B271" t="s">
        <v>842</v>
      </c>
      <c r="C271" s="13" t="s">
        <v>779</v>
      </c>
      <c r="D271" s="13" t="s">
        <v>69</v>
      </c>
      <c r="E271" s="13" t="s">
        <v>120</v>
      </c>
      <c r="F271" s="13" t="s">
        <v>746</v>
      </c>
      <c r="G271" s="14"/>
      <c r="H271" s="14"/>
      <c r="I271" s="16"/>
    </row>
    <row r="272" spans="1:9" x14ac:dyDescent="0.25">
      <c r="A272" t="s">
        <v>843</v>
      </c>
      <c r="B272" t="s">
        <v>783</v>
      </c>
      <c r="C272" s="13" t="s">
        <v>779</v>
      </c>
      <c r="D272" s="13" t="s">
        <v>75</v>
      </c>
      <c r="E272" s="13" t="s">
        <v>120</v>
      </c>
      <c r="F272" s="13" t="s">
        <v>746</v>
      </c>
      <c r="G272" s="14"/>
      <c r="H272" s="14"/>
      <c r="I272" s="16"/>
    </row>
    <row r="273" spans="1:9" x14ac:dyDescent="0.25">
      <c r="A273" s="11" t="s">
        <v>229</v>
      </c>
      <c r="B273" s="11" t="s">
        <v>230</v>
      </c>
      <c r="C273" s="13" t="s">
        <v>231</v>
      </c>
      <c r="D273" s="13" t="s">
        <v>64</v>
      </c>
      <c r="E273" s="13" t="s">
        <v>65</v>
      </c>
      <c r="F273" s="13" t="s">
        <v>639</v>
      </c>
      <c r="G273" s="14"/>
      <c r="H273" s="14"/>
      <c r="I273" s="16"/>
    </row>
    <row r="274" spans="1:9" x14ac:dyDescent="0.25">
      <c r="A274" s="11" t="s">
        <v>232</v>
      </c>
      <c r="B274" s="11" t="s">
        <v>233</v>
      </c>
      <c r="C274" s="13" t="s">
        <v>231</v>
      </c>
      <c r="D274" s="13" t="s">
        <v>69</v>
      </c>
      <c r="E274" s="13" t="s">
        <v>65</v>
      </c>
      <c r="F274" s="13" t="s">
        <v>639</v>
      </c>
      <c r="G274" s="14"/>
      <c r="H274" s="14"/>
      <c r="I274" s="16"/>
    </row>
    <row r="275" spans="1:9" x14ac:dyDescent="0.25">
      <c r="A275" s="11" t="s">
        <v>234</v>
      </c>
      <c r="B275" s="11" t="s">
        <v>235</v>
      </c>
      <c r="C275" s="13" t="s">
        <v>231</v>
      </c>
      <c r="D275" s="13" t="s">
        <v>72</v>
      </c>
      <c r="E275" s="13" t="s">
        <v>65</v>
      </c>
      <c r="F275" s="13" t="s">
        <v>639</v>
      </c>
      <c r="G275" s="14"/>
      <c r="H275" s="14"/>
      <c r="I275" s="16"/>
    </row>
    <row r="276" spans="1:9" x14ac:dyDescent="0.25">
      <c r="A276" s="11" t="s">
        <v>236</v>
      </c>
      <c r="B276" s="11" t="s">
        <v>237</v>
      </c>
      <c r="C276" s="13" t="s">
        <v>231</v>
      </c>
      <c r="D276" s="13" t="s">
        <v>75</v>
      </c>
      <c r="E276" s="13" t="s">
        <v>65</v>
      </c>
      <c r="F276" s="13" t="s">
        <v>639</v>
      </c>
      <c r="G276" s="14"/>
      <c r="H276" s="14"/>
      <c r="I276" s="16"/>
    </row>
    <row r="277" spans="1:9" x14ac:dyDescent="0.25">
      <c r="A277" s="11" t="s">
        <v>238</v>
      </c>
      <c r="B277" s="11" t="s">
        <v>239</v>
      </c>
      <c r="C277" s="13" t="s">
        <v>231</v>
      </c>
      <c r="D277" s="13" t="s">
        <v>128</v>
      </c>
      <c r="E277" s="13" t="s">
        <v>65</v>
      </c>
      <c r="F277" s="13" t="s">
        <v>639</v>
      </c>
      <c r="G277" s="14"/>
      <c r="H277" s="14"/>
      <c r="I277" s="16"/>
    </row>
    <row r="278" spans="1:9" x14ac:dyDescent="0.25">
      <c r="A278" s="11" t="s">
        <v>240</v>
      </c>
      <c r="B278" s="11" t="s">
        <v>241</v>
      </c>
      <c r="C278" s="13" t="s">
        <v>231</v>
      </c>
      <c r="D278" s="13" t="s">
        <v>64</v>
      </c>
      <c r="E278" s="13" t="s">
        <v>120</v>
      </c>
      <c r="F278" s="13" t="s">
        <v>639</v>
      </c>
      <c r="G278" s="16"/>
      <c r="H278" s="16"/>
      <c r="I278" s="16"/>
    </row>
    <row r="279" spans="1:9" x14ac:dyDescent="0.25">
      <c r="A279" s="11" t="s">
        <v>242</v>
      </c>
      <c r="B279" s="11" t="s">
        <v>243</v>
      </c>
      <c r="C279" s="13" t="s">
        <v>231</v>
      </c>
      <c r="D279" s="13" t="s">
        <v>69</v>
      </c>
      <c r="E279" s="13" t="s">
        <v>120</v>
      </c>
      <c r="F279" s="13" t="s">
        <v>639</v>
      </c>
      <c r="G279" s="16"/>
      <c r="H279" s="16"/>
      <c r="I279" s="16"/>
    </row>
    <row r="280" spans="1:9" x14ac:dyDescent="0.25">
      <c r="A280" s="11" t="s">
        <v>244</v>
      </c>
      <c r="B280" s="11" t="s">
        <v>245</v>
      </c>
      <c r="C280" s="13" t="s">
        <v>231</v>
      </c>
      <c r="D280" s="13" t="s">
        <v>155</v>
      </c>
      <c r="E280" s="13" t="s">
        <v>65</v>
      </c>
      <c r="F280" s="13" t="s">
        <v>745</v>
      </c>
      <c r="G280" s="16"/>
      <c r="H280" s="16"/>
      <c r="I280" s="16"/>
    </row>
    <row r="281" spans="1:9" x14ac:dyDescent="0.25">
      <c r="A281" s="11" t="s">
        <v>246</v>
      </c>
      <c r="B281" s="11" t="s">
        <v>247</v>
      </c>
      <c r="C281" s="13" t="s">
        <v>231</v>
      </c>
      <c r="D281" s="13" t="s">
        <v>64</v>
      </c>
      <c r="E281" s="13" t="s">
        <v>65</v>
      </c>
      <c r="F281" s="13" t="s">
        <v>639</v>
      </c>
      <c r="G281" s="16"/>
      <c r="H281" s="16"/>
      <c r="I281" s="16"/>
    </row>
    <row r="282" spans="1:9" x14ac:dyDescent="0.25">
      <c r="A282" s="11" t="s">
        <v>248</v>
      </c>
      <c r="B282" s="11" t="s">
        <v>249</v>
      </c>
      <c r="C282" s="13" t="s">
        <v>231</v>
      </c>
      <c r="D282" s="13" t="s">
        <v>69</v>
      </c>
      <c r="E282" s="13" t="s">
        <v>65</v>
      </c>
      <c r="F282" s="13" t="s">
        <v>639</v>
      </c>
      <c r="G282" s="16"/>
      <c r="H282" s="16"/>
      <c r="I282" s="16"/>
    </row>
    <row r="283" spans="1:9" x14ac:dyDescent="0.25">
      <c r="A283" s="11" t="s">
        <v>250</v>
      </c>
      <c r="B283" s="11" t="s">
        <v>251</v>
      </c>
      <c r="C283" s="13" t="s">
        <v>231</v>
      </c>
      <c r="D283" s="13" t="s">
        <v>128</v>
      </c>
      <c r="E283" s="13" t="s">
        <v>65</v>
      </c>
      <c r="F283" s="13" t="s">
        <v>639</v>
      </c>
      <c r="G283" s="16"/>
      <c r="H283" s="16"/>
      <c r="I283" s="16"/>
    </row>
    <row r="284" spans="1:9" x14ac:dyDescent="0.25">
      <c r="A284" s="11" t="s">
        <v>252</v>
      </c>
      <c r="B284" s="11" t="s">
        <v>253</v>
      </c>
      <c r="C284" s="13" t="s">
        <v>231</v>
      </c>
      <c r="D284" s="13" t="s">
        <v>72</v>
      </c>
      <c r="E284" s="13" t="s">
        <v>65</v>
      </c>
      <c r="F284" s="13" t="s">
        <v>639</v>
      </c>
      <c r="G284" s="16"/>
      <c r="H284" s="16"/>
      <c r="I284" s="16"/>
    </row>
    <row r="285" spans="1:9" x14ac:dyDescent="0.25">
      <c r="A285" s="11" t="s">
        <v>254</v>
      </c>
      <c r="B285" s="11" t="s">
        <v>255</v>
      </c>
      <c r="C285" s="13" t="s">
        <v>231</v>
      </c>
      <c r="D285" s="13" t="s">
        <v>75</v>
      </c>
      <c r="E285" s="13" t="s">
        <v>65</v>
      </c>
      <c r="F285" s="13" t="s">
        <v>639</v>
      </c>
      <c r="G285" s="16"/>
      <c r="H285" s="16"/>
      <c r="I285" s="16"/>
    </row>
    <row r="286" spans="1:9" x14ac:dyDescent="0.25">
      <c r="A286" s="11" t="s">
        <v>256</v>
      </c>
      <c r="B286" s="11" t="s">
        <v>257</v>
      </c>
      <c r="C286" s="13" t="s">
        <v>231</v>
      </c>
      <c r="D286" s="13" t="s">
        <v>165</v>
      </c>
      <c r="E286" s="13" t="s">
        <v>65</v>
      </c>
      <c r="F286" s="13" t="s">
        <v>639</v>
      </c>
      <c r="G286" s="16"/>
      <c r="H286" s="16"/>
      <c r="I286" s="16"/>
    </row>
    <row r="287" spans="1:9" x14ac:dyDescent="0.25">
      <c r="A287" s="11" t="s">
        <v>258</v>
      </c>
      <c r="B287" s="11" t="s">
        <v>259</v>
      </c>
      <c r="C287" s="13" t="s">
        <v>231</v>
      </c>
      <c r="D287" s="13" t="s">
        <v>64</v>
      </c>
      <c r="E287" s="13" t="s">
        <v>120</v>
      </c>
      <c r="F287" s="13" t="s">
        <v>639</v>
      </c>
      <c r="G287" s="16"/>
      <c r="H287" s="16"/>
      <c r="I287" s="16"/>
    </row>
    <row r="288" spans="1:9" x14ac:dyDescent="0.25">
      <c r="A288" s="11" t="s">
        <v>260</v>
      </c>
      <c r="B288" s="11" t="s">
        <v>261</v>
      </c>
      <c r="C288" s="13" t="s">
        <v>231</v>
      </c>
      <c r="D288" s="13" t="s">
        <v>69</v>
      </c>
      <c r="E288" s="13" t="s">
        <v>120</v>
      </c>
      <c r="F288" s="13" t="s">
        <v>639</v>
      </c>
      <c r="G288" s="16"/>
      <c r="H288" s="16"/>
      <c r="I288" s="16"/>
    </row>
    <row r="289" spans="1:9" x14ac:dyDescent="0.25">
      <c r="A289" s="11" t="s">
        <v>262</v>
      </c>
      <c r="B289" s="11" t="s">
        <v>263</v>
      </c>
      <c r="C289" s="13" t="s">
        <v>231</v>
      </c>
      <c r="D289" s="13" t="s">
        <v>128</v>
      </c>
      <c r="E289" s="13" t="s">
        <v>120</v>
      </c>
      <c r="F289" s="13" t="s">
        <v>639</v>
      </c>
      <c r="G289" s="16"/>
      <c r="H289" s="16"/>
      <c r="I289" s="16"/>
    </row>
    <row r="290" spans="1:9" x14ac:dyDescent="0.25">
      <c r="A290" s="11" t="s">
        <v>264</v>
      </c>
      <c r="B290" s="11" t="s">
        <v>265</v>
      </c>
      <c r="C290" s="13" t="s">
        <v>231</v>
      </c>
      <c r="D290" s="13" t="s">
        <v>72</v>
      </c>
      <c r="E290" s="13" t="s">
        <v>120</v>
      </c>
      <c r="F290" s="13" t="s">
        <v>639</v>
      </c>
      <c r="G290" s="16"/>
      <c r="H290" s="16"/>
      <c r="I290" s="16"/>
    </row>
    <row r="291" spans="1:9" x14ac:dyDescent="0.25">
      <c r="A291" s="11" t="s">
        <v>266</v>
      </c>
      <c r="B291" s="11" t="s">
        <v>267</v>
      </c>
      <c r="C291" s="13" t="s">
        <v>231</v>
      </c>
      <c r="D291" s="13" t="s">
        <v>75</v>
      </c>
      <c r="E291" s="13" t="s">
        <v>120</v>
      </c>
      <c r="F291" s="13" t="s">
        <v>639</v>
      </c>
      <c r="G291" s="16"/>
      <c r="H291" s="16"/>
      <c r="I291" s="16"/>
    </row>
    <row r="292" spans="1:9" x14ac:dyDescent="0.25">
      <c r="A292" s="11" t="s">
        <v>268</v>
      </c>
      <c r="B292" s="11" t="s">
        <v>269</v>
      </c>
      <c r="C292" s="13" t="s">
        <v>231</v>
      </c>
      <c r="D292" s="13" t="s">
        <v>78</v>
      </c>
      <c r="E292" s="13" t="s">
        <v>120</v>
      </c>
      <c r="F292" s="13" t="s">
        <v>639</v>
      </c>
      <c r="G292" s="16"/>
      <c r="H292" s="16"/>
      <c r="I292" s="16"/>
    </row>
    <row r="293" spans="1:9" x14ac:dyDescent="0.25">
      <c r="A293" s="11" t="s">
        <v>270</v>
      </c>
      <c r="B293" s="11" t="s">
        <v>271</v>
      </c>
      <c r="C293" s="13" t="s">
        <v>231</v>
      </c>
      <c r="D293" s="13" t="s">
        <v>78</v>
      </c>
      <c r="E293" s="13" t="s">
        <v>65</v>
      </c>
      <c r="F293" s="13" t="s">
        <v>639</v>
      </c>
      <c r="G293" s="16"/>
      <c r="H293" s="16"/>
      <c r="I293" s="16"/>
    </row>
    <row r="294" spans="1:9" x14ac:dyDescent="0.25">
      <c r="A294" s="11" t="s">
        <v>272</v>
      </c>
      <c r="B294" s="11" t="s">
        <v>273</v>
      </c>
      <c r="C294" s="13" t="s">
        <v>231</v>
      </c>
      <c r="D294" s="13" t="s">
        <v>64</v>
      </c>
      <c r="E294" s="13" t="s">
        <v>120</v>
      </c>
      <c r="F294" s="13" t="s">
        <v>639</v>
      </c>
      <c r="G294" s="16"/>
      <c r="H294" s="16"/>
      <c r="I294" s="16"/>
    </row>
    <row r="295" spans="1:9" x14ac:dyDescent="0.25">
      <c r="A295" s="11" t="s">
        <v>274</v>
      </c>
      <c r="B295" s="11" t="s">
        <v>275</v>
      </c>
      <c r="C295" s="13" t="s">
        <v>231</v>
      </c>
      <c r="D295" s="13" t="s">
        <v>128</v>
      </c>
      <c r="E295" s="13" t="s">
        <v>120</v>
      </c>
      <c r="F295" s="13" t="s">
        <v>639</v>
      </c>
      <c r="G295" s="16"/>
      <c r="H295" s="16"/>
      <c r="I295" s="16"/>
    </row>
    <row r="296" spans="1:9" x14ac:dyDescent="0.25">
      <c r="A296" s="11" t="s">
        <v>276</v>
      </c>
      <c r="B296" s="11" t="s">
        <v>277</v>
      </c>
      <c r="C296" s="13" t="s">
        <v>231</v>
      </c>
      <c r="D296" s="13" t="s">
        <v>75</v>
      </c>
      <c r="E296" s="13" t="s">
        <v>120</v>
      </c>
      <c r="F296" s="13" t="s">
        <v>639</v>
      </c>
      <c r="G296" s="16"/>
      <c r="H296" s="16"/>
      <c r="I296" s="16"/>
    </row>
    <row r="297" spans="1:9" x14ac:dyDescent="0.25">
      <c r="A297" s="11" t="s">
        <v>278</v>
      </c>
      <c r="B297" s="11" t="s">
        <v>279</v>
      </c>
      <c r="C297" s="13" t="s">
        <v>231</v>
      </c>
      <c r="D297" s="13" t="s">
        <v>69</v>
      </c>
      <c r="E297" s="13" t="s">
        <v>120</v>
      </c>
      <c r="F297" s="13" t="s">
        <v>639</v>
      </c>
      <c r="G297" s="16"/>
      <c r="H297" s="16"/>
      <c r="I297" s="16"/>
    </row>
    <row r="298" spans="1:9" x14ac:dyDescent="0.25">
      <c r="A298" s="11" t="s">
        <v>280</v>
      </c>
      <c r="B298" s="11" t="s">
        <v>281</v>
      </c>
      <c r="C298" s="13" t="s">
        <v>231</v>
      </c>
      <c r="D298" s="13" t="s">
        <v>81</v>
      </c>
      <c r="E298" s="13" t="s">
        <v>65</v>
      </c>
      <c r="F298" s="13" t="s">
        <v>639</v>
      </c>
      <c r="G298" s="16"/>
      <c r="H298" s="16"/>
      <c r="I298" s="16"/>
    </row>
    <row r="299" spans="1:9" x14ac:dyDescent="0.25">
      <c r="A299" s="11" t="s">
        <v>282</v>
      </c>
      <c r="B299" s="11" t="s">
        <v>283</v>
      </c>
      <c r="C299" s="13" t="s">
        <v>231</v>
      </c>
      <c r="D299" s="13" t="s">
        <v>78</v>
      </c>
      <c r="E299" s="13" t="s">
        <v>120</v>
      </c>
      <c r="F299" s="13" t="s">
        <v>639</v>
      </c>
      <c r="G299" s="16"/>
      <c r="H299" s="16"/>
      <c r="I299" s="16"/>
    </row>
    <row r="300" spans="1:9" x14ac:dyDescent="0.25">
      <c r="A300" t="s">
        <v>844</v>
      </c>
      <c r="B300" t="s">
        <v>845</v>
      </c>
      <c r="C300" s="13" t="s">
        <v>231</v>
      </c>
      <c r="D300" s="13" t="s">
        <v>75</v>
      </c>
      <c r="E300" s="13" t="s">
        <v>65</v>
      </c>
      <c r="F300" s="13" t="s">
        <v>639</v>
      </c>
      <c r="G300" s="16"/>
      <c r="H300" s="16"/>
      <c r="I300" s="16"/>
    </row>
    <row r="301" spans="1:9" x14ac:dyDescent="0.25">
      <c r="A301" s="21" t="s">
        <v>284</v>
      </c>
      <c r="B301" s="11" t="s">
        <v>285</v>
      </c>
      <c r="C301" s="13" t="s">
        <v>231</v>
      </c>
      <c r="D301" s="13" t="s">
        <v>78</v>
      </c>
      <c r="E301" s="13" t="s">
        <v>120</v>
      </c>
      <c r="F301" s="13" t="s">
        <v>639</v>
      </c>
      <c r="G301" s="16"/>
      <c r="H301" s="16"/>
      <c r="I301" s="16"/>
    </row>
    <row r="302" spans="1:9" x14ac:dyDescent="0.25">
      <c r="A302" s="11" t="s">
        <v>286</v>
      </c>
      <c r="B302" s="11" t="s">
        <v>287</v>
      </c>
      <c r="C302" s="13" t="s">
        <v>231</v>
      </c>
      <c r="D302" s="13" t="s">
        <v>141</v>
      </c>
      <c r="E302" s="13" t="s">
        <v>120</v>
      </c>
      <c r="F302" s="13" t="s">
        <v>639</v>
      </c>
      <c r="G302" s="16"/>
      <c r="H302" s="16"/>
      <c r="I302" s="16"/>
    </row>
    <row r="303" spans="1:9" x14ac:dyDescent="0.25">
      <c r="A303" s="11" t="s">
        <v>288</v>
      </c>
      <c r="B303" s="11" t="s">
        <v>289</v>
      </c>
      <c r="C303" s="13" t="s">
        <v>231</v>
      </c>
      <c r="D303" s="13" t="s">
        <v>220</v>
      </c>
      <c r="E303" s="13" t="s">
        <v>120</v>
      </c>
      <c r="F303" s="13" t="s">
        <v>639</v>
      </c>
      <c r="G303" s="16"/>
      <c r="H303" s="16"/>
      <c r="I303" s="16"/>
    </row>
    <row r="304" spans="1:9" x14ac:dyDescent="0.25">
      <c r="A304" s="11" t="s">
        <v>290</v>
      </c>
      <c r="B304" s="11" t="s">
        <v>261</v>
      </c>
      <c r="C304" s="13" t="s">
        <v>231</v>
      </c>
      <c r="D304" s="13" t="s">
        <v>291</v>
      </c>
      <c r="E304" s="13" t="s">
        <v>120</v>
      </c>
      <c r="F304" s="13" t="s">
        <v>639</v>
      </c>
      <c r="G304" s="16"/>
      <c r="H304" s="16"/>
      <c r="I304" s="16"/>
    </row>
    <row r="305" spans="1:9" x14ac:dyDescent="0.25">
      <c r="A305" s="11" t="s">
        <v>292</v>
      </c>
      <c r="B305" s="11" t="s">
        <v>293</v>
      </c>
      <c r="C305" s="13" t="s">
        <v>231</v>
      </c>
      <c r="D305" s="13" t="s">
        <v>75</v>
      </c>
      <c r="E305" s="13" t="s">
        <v>120</v>
      </c>
      <c r="F305" s="13" t="s">
        <v>639</v>
      </c>
      <c r="G305" s="16"/>
      <c r="H305" s="16"/>
      <c r="I305" s="16"/>
    </row>
    <row r="306" spans="1:9" x14ac:dyDescent="0.25">
      <c r="A306" s="11" t="s">
        <v>294</v>
      </c>
      <c r="B306" s="11" t="s">
        <v>295</v>
      </c>
      <c r="C306" s="13" t="s">
        <v>231</v>
      </c>
      <c r="D306" s="13" t="s">
        <v>72</v>
      </c>
      <c r="E306" s="13" t="s">
        <v>120</v>
      </c>
      <c r="F306" s="13" t="s">
        <v>639</v>
      </c>
      <c r="G306" s="16"/>
      <c r="H306" s="16"/>
      <c r="I306" s="16"/>
    </row>
    <row r="307" spans="1:9" x14ac:dyDescent="0.25">
      <c r="A307" s="11" t="s">
        <v>296</v>
      </c>
      <c r="B307" s="11" t="s">
        <v>263</v>
      </c>
      <c r="C307" s="13" t="s">
        <v>231</v>
      </c>
      <c r="D307" s="13" t="s">
        <v>128</v>
      </c>
      <c r="E307" s="13" t="s">
        <v>120</v>
      </c>
      <c r="F307" s="13" t="s">
        <v>639</v>
      </c>
      <c r="G307" s="16"/>
      <c r="H307" s="16"/>
      <c r="I307" s="16"/>
    </row>
    <row r="308" spans="1:9" x14ac:dyDescent="0.25">
      <c r="A308" s="11" t="s">
        <v>297</v>
      </c>
      <c r="B308" s="11" t="s">
        <v>265</v>
      </c>
      <c r="C308" s="13" t="s">
        <v>231</v>
      </c>
      <c r="D308" s="13" t="s">
        <v>72</v>
      </c>
      <c r="E308" s="13" t="s">
        <v>120</v>
      </c>
      <c r="F308" s="13" t="s">
        <v>639</v>
      </c>
      <c r="G308" s="16"/>
      <c r="H308" s="16"/>
      <c r="I308" s="16"/>
    </row>
    <row r="309" spans="1:9" x14ac:dyDescent="0.25">
      <c r="A309" s="11" t="s">
        <v>298</v>
      </c>
      <c r="B309" s="11" t="s">
        <v>267</v>
      </c>
      <c r="C309" s="13" t="s">
        <v>231</v>
      </c>
      <c r="D309" s="13" t="s">
        <v>75</v>
      </c>
      <c r="E309" s="13" t="s">
        <v>120</v>
      </c>
      <c r="F309" s="13" t="s">
        <v>639</v>
      </c>
      <c r="G309" s="16"/>
      <c r="H309" s="16"/>
      <c r="I309" s="16"/>
    </row>
    <row r="310" spans="1:9" x14ac:dyDescent="0.25">
      <c r="A310" s="11" t="s">
        <v>299</v>
      </c>
      <c r="B310" s="11" t="s">
        <v>261</v>
      </c>
      <c r="C310" s="13" t="s">
        <v>231</v>
      </c>
      <c r="D310" s="13" t="s">
        <v>69</v>
      </c>
      <c r="E310" s="13" t="s">
        <v>120</v>
      </c>
      <c r="F310" s="13" t="s">
        <v>639</v>
      </c>
      <c r="G310" s="16"/>
      <c r="H310" s="16"/>
      <c r="I310" s="16"/>
    </row>
    <row r="311" spans="1:9" x14ac:dyDescent="0.25">
      <c r="A311" s="11" t="s">
        <v>300</v>
      </c>
      <c r="B311" s="11" t="s">
        <v>263</v>
      </c>
      <c r="C311" s="13" t="s">
        <v>231</v>
      </c>
      <c r="D311" s="13" t="s">
        <v>128</v>
      </c>
      <c r="E311" s="13" t="s">
        <v>120</v>
      </c>
      <c r="F311" s="13" t="s">
        <v>639</v>
      </c>
      <c r="G311" s="16"/>
      <c r="H311" s="16"/>
      <c r="I311" s="16"/>
    </row>
    <row r="312" spans="1:9" x14ac:dyDescent="0.25">
      <c r="A312" s="11" t="s">
        <v>301</v>
      </c>
      <c r="B312" s="11" t="s">
        <v>289</v>
      </c>
      <c r="C312" s="13" t="s">
        <v>231</v>
      </c>
      <c r="D312" s="13" t="s">
        <v>220</v>
      </c>
      <c r="E312" s="13" t="s">
        <v>120</v>
      </c>
      <c r="F312" s="13" t="s">
        <v>639</v>
      </c>
      <c r="G312" s="16"/>
      <c r="H312" s="16"/>
      <c r="I312" s="16"/>
    </row>
    <row r="313" spans="1:9" x14ac:dyDescent="0.25">
      <c r="A313" s="11" t="s">
        <v>302</v>
      </c>
      <c r="B313" s="11" t="s">
        <v>303</v>
      </c>
      <c r="C313" s="13" t="s">
        <v>231</v>
      </c>
      <c r="D313" s="13" t="s">
        <v>141</v>
      </c>
      <c r="E313" s="13" t="s">
        <v>120</v>
      </c>
      <c r="F313" s="13" t="s">
        <v>639</v>
      </c>
      <c r="G313" s="16"/>
      <c r="H313" s="16"/>
      <c r="I313" s="16"/>
    </row>
    <row r="314" spans="1:9" x14ac:dyDescent="0.25">
      <c r="A314" s="13" t="s">
        <v>846</v>
      </c>
      <c r="B314" s="11" t="s">
        <v>847</v>
      </c>
      <c r="C314" s="13" t="s">
        <v>848</v>
      </c>
      <c r="D314" s="13" t="s">
        <v>141</v>
      </c>
      <c r="E314" s="13" t="s">
        <v>120</v>
      </c>
      <c r="F314" s="13" t="s">
        <v>639</v>
      </c>
      <c r="G314" s="16"/>
      <c r="H314" s="16"/>
      <c r="I314" s="16"/>
    </row>
    <row r="315" spans="1:9" x14ac:dyDescent="0.25">
      <c r="A315" s="22" t="s">
        <v>849</v>
      </c>
      <c r="B315" s="22" t="s">
        <v>850</v>
      </c>
      <c r="C315" s="22" t="s">
        <v>851</v>
      </c>
      <c r="D315" s="22" t="s">
        <v>141</v>
      </c>
      <c r="E315" s="22" t="s">
        <v>120</v>
      </c>
      <c r="F315" s="13" t="s">
        <v>639</v>
      </c>
      <c r="G315" s="16"/>
      <c r="H315" s="16"/>
      <c r="I315" s="16"/>
    </row>
    <row r="316" spans="1:9" x14ac:dyDescent="0.25">
      <c r="A316" s="13" t="s">
        <v>852</v>
      </c>
      <c r="B316" s="11" t="s">
        <v>853</v>
      </c>
      <c r="C316" s="13" t="s">
        <v>854</v>
      </c>
      <c r="D316" s="13" t="s">
        <v>64</v>
      </c>
      <c r="E316" s="13" t="s">
        <v>65</v>
      </c>
      <c r="F316" s="13" t="s">
        <v>639</v>
      </c>
      <c r="G316" s="16"/>
      <c r="H316" s="16"/>
      <c r="I316" s="16"/>
    </row>
    <row r="317" spans="1:9" x14ac:dyDescent="0.25">
      <c r="A317" t="s">
        <v>855</v>
      </c>
      <c r="B317" t="s">
        <v>856</v>
      </c>
      <c r="C317" s="13" t="s">
        <v>646</v>
      </c>
      <c r="D317" s="13" t="s">
        <v>155</v>
      </c>
      <c r="E317" s="13" t="s">
        <v>65</v>
      </c>
      <c r="F317" s="13" t="s">
        <v>639</v>
      </c>
      <c r="G317" s="16"/>
      <c r="H317" s="16"/>
      <c r="I317" s="16"/>
    </row>
    <row r="318" spans="1:9" x14ac:dyDescent="0.25">
      <c r="A318" t="s">
        <v>857</v>
      </c>
      <c r="B318" t="s">
        <v>858</v>
      </c>
      <c r="C318" s="13" t="s">
        <v>646</v>
      </c>
      <c r="D318" s="13" t="s">
        <v>64</v>
      </c>
      <c r="E318" s="13" t="s">
        <v>65</v>
      </c>
      <c r="F318" s="13" t="s">
        <v>639</v>
      </c>
      <c r="G318" s="16"/>
      <c r="H318" s="16"/>
      <c r="I318" s="16"/>
    </row>
    <row r="319" spans="1:9" x14ac:dyDescent="0.25">
      <c r="A319" t="s">
        <v>859</v>
      </c>
      <c r="B319" t="s">
        <v>860</v>
      </c>
      <c r="C319" s="13" t="s">
        <v>646</v>
      </c>
      <c r="D319" s="13" t="s">
        <v>69</v>
      </c>
      <c r="E319" s="13" t="s">
        <v>65</v>
      </c>
      <c r="F319" s="13" t="s">
        <v>639</v>
      </c>
      <c r="G319" s="16"/>
      <c r="H319" s="16"/>
      <c r="I319" s="16"/>
    </row>
    <row r="320" spans="1:9" x14ac:dyDescent="0.25">
      <c r="A320" t="s">
        <v>861</v>
      </c>
      <c r="B320" t="s">
        <v>862</v>
      </c>
      <c r="C320" s="13"/>
      <c r="D320" s="13" t="s">
        <v>155</v>
      </c>
      <c r="E320" s="13" t="s">
        <v>65</v>
      </c>
      <c r="F320" s="13"/>
      <c r="G320" s="16"/>
      <c r="H320" s="16"/>
      <c r="I320" s="16"/>
    </row>
    <row r="321" spans="1:9" x14ac:dyDescent="0.25">
      <c r="A321" t="s">
        <v>861</v>
      </c>
      <c r="B321" t="s">
        <v>862</v>
      </c>
      <c r="C321" s="13" t="s">
        <v>646</v>
      </c>
      <c r="D321" s="13" t="s">
        <v>155</v>
      </c>
      <c r="E321" s="13" t="s">
        <v>65</v>
      </c>
      <c r="F321" s="13" t="s">
        <v>639</v>
      </c>
      <c r="G321" s="16"/>
      <c r="H321" s="16"/>
      <c r="I321" s="16"/>
    </row>
    <row r="322" spans="1:9" x14ac:dyDescent="0.25">
      <c r="A322" s="13" t="s">
        <v>863</v>
      </c>
      <c r="B322" s="11" t="s">
        <v>864</v>
      </c>
      <c r="C322" s="13" t="s">
        <v>646</v>
      </c>
      <c r="D322" s="13" t="s">
        <v>64</v>
      </c>
      <c r="E322" s="13" t="s">
        <v>65</v>
      </c>
      <c r="F322" s="13" t="s">
        <v>639</v>
      </c>
      <c r="G322" s="16"/>
      <c r="H322" s="16"/>
      <c r="I322" s="16"/>
    </row>
    <row r="323" spans="1:9" x14ac:dyDescent="0.25">
      <c r="A323" t="s">
        <v>863</v>
      </c>
      <c r="B323" t="s">
        <v>864</v>
      </c>
      <c r="C323" s="13" t="s">
        <v>646</v>
      </c>
      <c r="D323" s="13" t="s">
        <v>64</v>
      </c>
      <c r="E323" s="13" t="s">
        <v>65</v>
      </c>
      <c r="F323" s="13" t="s">
        <v>639</v>
      </c>
      <c r="G323" s="16"/>
      <c r="H323" s="16"/>
      <c r="I323" s="16"/>
    </row>
    <row r="324" spans="1:9" x14ac:dyDescent="0.25">
      <c r="A324" s="13" t="s">
        <v>865</v>
      </c>
      <c r="B324" s="13" t="s">
        <v>866</v>
      </c>
      <c r="C324" s="13" t="s">
        <v>646</v>
      </c>
      <c r="D324" s="13" t="s">
        <v>69</v>
      </c>
      <c r="E324" s="13" t="s">
        <v>65</v>
      </c>
      <c r="F324" s="13" t="s">
        <v>639</v>
      </c>
      <c r="G324" s="16"/>
      <c r="H324" s="16"/>
      <c r="I324" s="16"/>
    </row>
    <row r="325" spans="1:9" x14ac:dyDescent="0.25">
      <c r="A325" t="s">
        <v>865</v>
      </c>
      <c r="B325" t="s">
        <v>866</v>
      </c>
      <c r="C325" s="13" t="s">
        <v>646</v>
      </c>
      <c r="D325" s="13" t="s">
        <v>69</v>
      </c>
      <c r="E325" s="13" t="s">
        <v>65</v>
      </c>
      <c r="F325" s="13" t="s">
        <v>639</v>
      </c>
      <c r="G325" s="16"/>
      <c r="H325" s="16"/>
      <c r="I325" s="16"/>
    </row>
    <row r="326" spans="1:9" x14ac:dyDescent="0.25">
      <c r="A326" s="11" t="s">
        <v>304</v>
      </c>
      <c r="B326" s="11" t="s">
        <v>305</v>
      </c>
      <c r="C326" s="13" t="s">
        <v>306</v>
      </c>
      <c r="D326" s="13" t="s">
        <v>64</v>
      </c>
      <c r="E326" s="13" t="s">
        <v>120</v>
      </c>
      <c r="F326" s="13" t="s">
        <v>746</v>
      </c>
      <c r="G326" s="16"/>
      <c r="H326" s="16"/>
      <c r="I326" s="16"/>
    </row>
    <row r="327" spans="1:9" x14ac:dyDescent="0.25">
      <c r="A327" s="11" t="s">
        <v>307</v>
      </c>
      <c r="B327" s="11" t="s">
        <v>308</v>
      </c>
      <c r="C327" s="13" t="s">
        <v>306</v>
      </c>
      <c r="D327" s="13" t="s">
        <v>64</v>
      </c>
      <c r="E327" s="13" t="s">
        <v>120</v>
      </c>
      <c r="F327" s="13" t="s">
        <v>29</v>
      </c>
      <c r="G327" s="16"/>
      <c r="H327" s="16"/>
      <c r="I327" s="16"/>
    </row>
    <row r="328" spans="1:9" x14ac:dyDescent="0.25">
      <c r="A328" s="11" t="s">
        <v>309</v>
      </c>
      <c r="B328" s="11" t="s">
        <v>310</v>
      </c>
      <c r="C328" s="13" t="s">
        <v>306</v>
      </c>
      <c r="D328" s="13" t="s">
        <v>64</v>
      </c>
      <c r="E328" s="13" t="s">
        <v>120</v>
      </c>
      <c r="F328" s="17" t="s">
        <v>647</v>
      </c>
      <c r="G328" s="16"/>
      <c r="H328" s="16"/>
      <c r="I328" s="16"/>
    </row>
    <row r="329" spans="1:9" x14ac:dyDescent="0.25">
      <c r="A329" s="11" t="s">
        <v>311</v>
      </c>
      <c r="B329" s="11" t="s">
        <v>312</v>
      </c>
      <c r="C329" s="13" t="s">
        <v>306</v>
      </c>
      <c r="D329" s="13" t="s">
        <v>64</v>
      </c>
      <c r="E329" s="13" t="s">
        <v>120</v>
      </c>
      <c r="F329" s="13" t="s">
        <v>746</v>
      </c>
      <c r="G329" s="16"/>
      <c r="H329" s="16"/>
      <c r="I329" s="16"/>
    </row>
    <row r="330" spans="1:9" x14ac:dyDescent="0.25">
      <c r="A330" s="11" t="s">
        <v>313</v>
      </c>
      <c r="B330" s="11" t="s">
        <v>314</v>
      </c>
      <c r="C330" s="13" t="s">
        <v>306</v>
      </c>
      <c r="D330" s="13" t="s">
        <v>64</v>
      </c>
      <c r="E330" s="13" t="s">
        <v>120</v>
      </c>
      <c r="F330" s="13" t="s">
        <v>746</v>
      </c>
      <c r="G330" s="16"/>
      <c r="H330" s="16"/>
      <c r="I330" s="16"/>
    </row>
    <row r="331" spans="1:9" x14ac:dyDescent="0.25">
      <c r="A331" s="11" t="s">
        <v>315</v>
      </c>
      <c r="B331" s="11" t="s">
        <v>316</v>
      </c>
      <c r="C331" s="13" t="s">
        <v>306</v>
      </c>
      <c r="D331" s="13" t="s">
        <v>128</v>
      </c>
      <c r="E331" s="13" t="s">
        <v>120</v>
      </c>
      <c r="F331" s="13" t="s">
        <v>29</v>
      </c>
      <c r="G331" s="16"/>
      <c r="H331" s="16"/>
      <c r="I331" s="16"/>
    </row>
    <row r="332" spans="1:9" x14ac:dyDescent="0.25">
      <c r="A332" s="11" t="s">
        <v>317</v>
      </c>
      <c r="B332" s="11" t="s">
        <v>318</v>
      </c>
      <c r="C332" s="13" t="s">
        <v>306</v>
      </c>
      <c r="D332" s="13" t="s">
        <v>128</v>
      </c>
      <c r="E332" s="13" t="s">
        <v>120</v>
      </c>
      <c r="F332" s="13" t="s">
        <v>29</v>
      </c>
      <c r="G332" s="16"/>
      <c r="H332" s="16"/>
      <c r="I332" s="16"/>
    </row>
    <row r="333" spans="1:9" x14ac:dyDescent="0.25">
      <c r="A333" s="11" t="s">
        <v>319</v>
      </c>
      <c r="B333" s="11" t="s">
        <v>320</v>
      </c>
      <c r="C333" s="13" t="s">
        <v>306</v>
      </c>
      <c r="D333" s="13" t="s">
        <v>128</v>
      </c>
      <c r="E333" s="13" t="s">
        <v>120</v>
      </c>
      <c r="F333" s="17" t="s">
        <v>647</v>
      </c>
      <c r="G333" s="16"/>
      <c r="H333" s="16"/>
      <c r="I333" s="16"/>
    </row>
    <row r="334" spans="1:9" x14ac:dyDescent="0.25">
      <c r="A334" s="11" t="s">
        <v>321</v>
      </c>
      <c r="B334" s="11" t="s">
        <v>322</v>
      </c>
      <c r="C334" s="13" t="s">
        <v>306</v>
      </c>
      <c r="D334" s="13" t="s">
        <v>69</v>
      </c>
      <c r="E334" s="13" t="s">
        <v>120</v>
      </c>
      <c r="F334" s="13" t="s">
        <v>746</v>
      </c>
      <c r="G334" s="16"/>
      <c r="H334" s="16"/>
      <c r="I334" s="16"/>
    </row>
    <row r="335" spans="1:9" x14ac:dyDescent="0.25">
      <c r="A335" s="11" t="s">
        <v>323</v>
      </c>
      <c r="B335" s="11" t="s">
        <v>324</v>
      </c>
      <c r="C335" s="13" t="s">
        <v>306</v>
      </c>
      <c r="D335" s="13" t="s">
        <v>128</v>
      </c>
      <c r="E335" s="13" t="s">
        <v>120</v>
      </c>
      <c r="F335" s="13" t="s">
        <v>746</v>
      </c>
      <c r="G335" s="16"/>
      <c r="H335" s="16"/>
      <c r="I335" s="16"/>
    </row>
    <row r="336" spans="1:9" x14ac:dyDescent="0.25">
      <c r="A336" s="11" t="s">
        <v>325</v>
      </c>
      <c r="B336" s="11" t="s">
        <v>326</v>
      </c>
      <c r="C336" s="13" t="s">
        <v>306</v>
      </c>
      <c r="D336" s="13" t="s">
        <v>72</v>
      </c>
      <c r="E336" s="13" t="s">
        <v>120</v>
      </c>
      <c r="F336" s="13" t="s">
        <v>746</v>
      </c>
      <c r="G336" s="16"/>
      <c r="H336" s="16"/>
      <c r="I336" s="16"/>
    </row>
    <row r="337" spans="1:9" x14ac:dyDescent="0.25">
      <c r="A337" s="11" t="s">
        <v>327</v>
      </c>
      <c r="B337" s="11" t="s">
        <v>328</v>
      </c>
      <c r="C337" s="13" t="s">
        <v>306</v>
      </c>
      <c r="D337" s="13" t="s">
        <v>72</v>
      </c>
      <c r="E337" s="13" t="s">
        <v>120</v>
      </c>
      <c r="F337" s="13" t="s">
        <v>29</v>
      </c>
      <c r="G337" s="16"/>
      <c r="H337" s="16"/>
      <c r="I337" s="16"/>
    </row>
    <row r="338" spans="1:9" x14ac:dyDescent="0.25">
      <c r="A338" s="11" t="s">
        <v>329</v>
      </c>
      <c r="B338" s="11" t="s">
        <v>330</v>
      </c>
      <c r="C338" s="13" t="s">
        <v>306</v>
      </c>
      <c r="D338" s="13" t="s">
        <v>72</v>
      </c>
      <c r="E338" s="13" t="s">
        <v>120</v>
      </c>
      <c r="F338" s="13" t="s">
        <v>746</v>
      </c>
      <c r="G338" s="16"/>
      <c r="H338" s="16"/>
      <c r="I338" s="16"/>
    </row>
    <row r="339" spans="1:9" x14ac:dyDescent="0.25">
      <c r="A339" s="11" t="s">
        <v>331</v>
      </c>
      <c r="B339" s="11" t="s">
        <v>332</v>
      </c>
      <c r="C339" s="13" t="s">
        <v>306</v>
      </c>
      <c r="D339" s="13" t="s">
        <v>75</v>
      </c>
      <c r="E339" s="13" t="s">
        <v>120</v>
      </c>
      <c r="F339" s="13" t="s">
        <v>29</v>
      </c>
      <c r="G339" s="16"/>
      <c r="H339" s="16"/>
      <c r="I339" s="16"/>
    </row>
    <row r="340" spans="1:9" x14ac:dyDescent="0.25">
      <c r="A340" s="11" t="s">
        <v>333</v>
      </c>
      <c r="B340" s="11" t="s">
        <v>334</v>
      </c>
      <c r="C340" s="13" t="s">
        <v>306</v>
      </c>
      <c r="D340" s="13" t="s">
        <v>75</v>
      </c>
      <c r="E340" s="13" t="s">
        <v>120</v>
      </c>
      <c r="F340" s="13" t="s">
        <v>29</v>
      </c>
      <c r="G340" s="16"/>
      <c r="H340" s="16"/>
      <c r="I340" s="16"/>
    </row>
    <row r="341" spans="1:9" x14ac:dyDescent="0.25">
      <c r="A341" s="11" t="s">
        <v>335</v>
      </c>
      <c r="B341" s="11" t="s">
        <v>336</v>
      </c>
      <c r="C341" s="13" t="s">
        <v>306</v>
      </c>
      <c r="D341" s="13" t="s">
        <v>75</v>
      </c>
      <c r="E341" s="13" t="s">
        <v>120</v>
      </c>
      <c r="F341" s="13" t="s">
        <v>746</v>
      </c>
      <c r="G341" s="16"/>
      <c r="H341" s="16"/>
      <c r="I341" s="16"/>
    </row>
    <row r="342" spans="1:9" x14ac:dyDescent="0.25">
      <c r="A342" s="11" t="s">
        <v>337</v>
      </c>
      <c r="B342" s="11" t="s">
        <v>338</v>
      </c>
      <c r="C342" s="13" t="s">
        <v>306</v>
      </c>
      <c r="D342" s="13" t="s">
        <v>69</v>
      </c>
      <c r="E342" s="13" t="s">
        <v>120</v>
      </c>
      <c r="F342" s="13" t="s">
        <v>29</v>
      </c>
      <c r="G342" s="16"/>
      <c r="H342" s="16"/>
      <c r="I342" s="16"/>
    </row>
    <row r="343" spans="1:9" x14ac:dyDescent="0.25">
      <c r="A343" s="11" t="s">
        <v>339</v>
      </c>
      <c r="B343" s="11" t="s">
        <v>340</v>
      </c>
      <c r="C343" s="13" t="s">
        <v>306</v>
      </c>
      <c r="D343" s="13" t="s">
        <v>64</v>
      </c>
      <c r="E343" s="13" t="s">
        <v>120</v>
      </c>
      <c r="F343" s="13" t="s">
        <v>29</v>
      </c>
      <c r="G343" s="16"/>
      <c r="H343" s="16"/>
      <c r="I343" s="16"/>
    </row>
    <row r="344" spans="1:9" x14ac:dyDescent="0.25">
      <c r="A344" s="11" t="s">
        <v>341</v>
      </c>
      <c r="B344" s="11" t="s">
        <v>342</v>
      </c>
      <c r="C344" s="13" t="s">
        <v>306</v>
      </c>
      <c r="D344" s="13" t="s">
        <v>64</v>
      </c>
      <c r="E344" s="13" t="s">
        <v>120</v>
      </c>
      <c r="F344" s="13" t="s">
        <v>29</v>
      </c>
      <c r="G344" s="16"/>
      <c r="H344" s="16"/>
      <c r="I344" s="16"/>
    </row>
    <row r="345" spans="1:9" x14ac:dyDescent="0.25">
      <c r="A345" s="11" t="s">
        <v>343</v>
      </c>
      <c r="B345" s="11" t="s">
        <v>344</v>
      </c>
      <c r="C345" s="13" t="s">
        <v>306</v>
      </c>
      <c r="D345" s="13" t="s">
        <v>128</v>
      </c>
      <c r="E345" s="13" t="s">
        <v>120</v>
      </c>
      <c r="F345" s="13" t="s">
        <v>29</v>
      </c>
      <c r="G345" s="16"/>
      <c r="H345" s="16"/>
      <c r="I345" s="16"/>
    </row>
    <row r="346" spans="1:9" x14ac:dyDescent="0.25">
      <c r="A346" s="11" t="s">
        <v>345</v>
      </c>
      <c r="B346" s="11" t="s">
        <v>346</v>
      </c>
      <c r="C346" s="13" t="s">
        <v>306</v>
      </c>
      <c r="D346" s="13" t="s">
        <v>72</v>
      </c>
      <c r="E346" s="13" t="s">
        <v>120</v>
      </c>
      <c r="F346" s="13" t="s">
        <v>29</v>
      </c>
      <c r="G346" s="16"/>
      <c r="H346" s="16"/>
      <c r="I346" s="16"/>
    </row>
    <row r="347" spans="1:9" x14ac:dyDescent="0.25">
      <c r="A347" s="11" t="s">
        <v>347</v>
      </c>
      <c r="B347" s="11" t="s">
        <v>348</v>
      </c>
      <c r="C347" s="13" t="s">
        <v>306</v>
      </c>
      <c r="D347" s="13" t="s">
        <v>69</v>
      </c>
      <c r="E347" s="13" t="s">
        <v>120</v>
      </c>
      <c r="F347" s="13" t="s">
        <v>29</v>
      </c>
      <c r="G347" s="16"/>
      <c r="H347" s="16"/>
      <c r="I347" s="16"/>
    </row>
    <row r="348" spans="1:9" x14ac:dyDescent="0.25">
      <c r="A348" s="11" t="s">
        <v>867</v>
      </c>
      <c r="B348" s="11" t="s">
        <v>868</v>
      </c>
      <c r="C348" s="13" t="s">
        <v>869</v>
      </c>
      <c r="D348" s="13" t="s">
        <v>550</v>
      </c>
      <c r="E348" s="23" t="s">
        <v>65</v>
      </c>
      <c r="F348" s="13" t="s">
        <v>870</v>
      </c>
      <c r="G348" s="16"/>
      <c r="H348" s="16"/>
      <c r="I348" s="16"/>
    </row>
    <row r="349" spans="1:9" x14ac:dyDescent="0.25">
      <c r="A349" s="11" t="s">
        <v>871</v>
      </c>
      <c r="B349" s="11" t="s">
        <v>872</v>
      </c>
      <c r="C349" s="13" t="s">
        <v>869</v>
      </c>
      <c r="D349" s="13" t="s">
        <v>873</v>
      </c>
      <c r="E349" s="23" t="s">
        <v>65</v>
      </c>
      <c r="F349" s="13" t="s">
        <v>870</v>
      </c>
      <c r="G349" s="16"/>
      <c r="H349" s="16"/>
      <c r="I349" s="16"/>
    </row>
    <row r="350" spans="1:9" x14ac:dyDescent="0.25">
      <c r="A350" s="13" t="s">
        <v>874</v>
      </c>
      <c r="B350" s="11" t="s">
        <v>875</v>
      </c>
      <c r="C350" s="13" t="s">
        <v>876</v>
      </c>
      <c r="D350" s="13" t="s">
        <v>877</v>
      </c>
      <c r="E350" s="23" t="s">
        <v>65</v>
      </c>
      <c r="F350" s="13" t="s">
        <v>870</v>
      </c>
      <c r="G350" s="16"/>
      <c r="H350" s="16"/>
      <c r="I350" s="16"/>
    </row>
    <row r="351" spans="1:9" x14ac:dyDescent="0.25">
      <c r="A351" s="11" t="s">
        <v>878</v>
      </c>
      <c r="B351" s="11" t="s">
        <v>879</v>
      </c>
      <c r="C351" s="13" t="s">
        <v>869</v>
      </c>
      <c r="D351" s="13" t="s">
        <v>880</v>
      </c>
      <c r="E351" s="23" t="s">
        <v>65</v>
      </c>
      <c r="F351" s="13" t="s">
        <v>870</v>
      </c>
      <c r="G351" s="16"/>
      <c r="H351" s="16"/>
      <c r="I351" s="16"/>
    </row>
    <row r="352" spans="1:9" x14ac:dyDescent="0.25">
      <c r="A352" s="11" t="s">
        <v>516</v>
      </c>
      <c r="B352" s="11" t="s">
        <v>517</v>
      </c>
      <c r="C352" s="13" t="s">
        <v>518</v>
      </c>
      <c r="D352" s="13" t="s">
        <v>64</v>
      </c>
      <c r="E352" s="13" t="s">
        <v>65</v>
      </c>
      <c r="F352" s="13" t="s">
        <v>29</v>
      </c>
      <c r="G352" s="16"/>
      <c r="H352" s="16"/>
      <c r="I352" s="16"/>
    </row>
    <row r="353" spans="1:9" x14ac:dyDescent="0.25">
      <c r="A353" s="11" t="s">
        <v>519</v>
      </c>
      <c r="B353" s="11" t="s">
        <v>520</v>
      </c>
      <c r="C353" s="13" t="s">
        <v>518</v>
      </c>
      <c r="D353" s="13" t="s">
        <v>69</v>
      </c>
      <c r="E353" s="13" t="s">
        <v>65</v>
      </c>
      <c r="F353" s="13" t="s">
        <v>29</v>
      </c>
      <c r="G353" s="16"/>
      <c r="H353" s="16"/>
      <c r="I353" s="16"/>
    </row>
    <row r="354" spans="1:9" x14ac:dyDescent="0.25">
      <c r="A354" s="11" t="s">
        <v>521</v>
      </c>
      <c r="B354" s="11" t="s">
        <v>522</v>
      </c>
      <c r="C354" s="13" t="s">
        <v>518</v>
      </c>
      <c r="D354" s="13" t="s">
        <v>523</v>
      </c>
      <c r="E354" s="13" t="s">
        <v>65</v>
      </c>
      <c r="F354" s="13" t="s">
        <v>29</v>
      </c>
      <c r="G354" s="16"/>
      <c r="H354" s="16"/>
      <c r="I354" s="16"/>
    </row>
    <row r="355" spans="1:9" x14ac:dyDescent="0.25">
      <c r="A355" s="11" t="s">
        <v>524</v>
      </c>
      <c r="B355" s="11" t="s">
        <v>525</v>
      </c>
      <c r="C355" s="13" t="s">
        <v>518</v>
      </c>
      <c r="D355" s="13" t="s">
        <v>526</v>
      </c>
      <c r="E355" s="13" t="s">
        <v>65</v>
      </c>
      <c r="F355" s="13" t="s">
        <v>881</v>
      </c>
      <c r="G355" s="16"/>
      <c r="H355" s="16"/>
      <c r="I355" s="16"/>
    </row>
    <row r="356" spans="1:9" x14ac:dyDescent="0.25">
      <c r="A356" s="11" t="s">
        <v>527</v>
      </c>
      <c r="B356" s="11" t="s">
        <v>528</v>
      </c>
      <c r="C356" s="13" t="s">
        <v>518</v>
      </c>
      <c r="D356" s="13" t="s">
        <v>69</v>
      </c>
      <c r="E356" s="13" t="s">
        <v>65</v>
      </c>
      <c r="F356" s="13" t="s">
        <v>881</v>
      </c>
      <c r="G356" s="16"/>
      <c r="H356" s="16"/>
      <c r="I356" s="16"/>
    </row>
    <row r="357" spans="1:9" x14ac:dyDescent="0.25">
      <c r="A357" s="11" t="s">
        <v>529</v>
      </c>
      <c r="B357" s="11" t="s">
        <v>530</v>
      </c>
      <c r="C357" s="13" t="s">
        <v>518</v>
      </c>
      <c r="D357" s="13" t="s">
        <v>69</v>
      </c>
      <c r="E357" s="13" t="s">
        <v>65</v>
      </c>
      <c r="F357" s="13" t="s">
        <v>881</v>
      </c>
      <c r="G357" s="16"/>
      <c r="H357" s="16"/>
      <c r="I357" s="16"/>
    </row>
    <row r="358" spans="1:9" x14ac:dyDescent="0.25">
      <c r="A358" s="11" t="s">
        <v>531</v>
      </c>
      <c r="B358" s="11" t="s">
        <v>532</v>
      </c>
      <c r="C358" s="13" t="s">
        <v>518</v>
      </c>
      <c r="D358" s="13" t="s">
        <v>533</v>
      </c>
      <c r="E358" s="13" t="s">
        <v>65</v>
      </c>
      <c r="F358" s="13" t="s">
        <v>881</v>
      </c>
      <c r="G358" s="16"/>
      <c r="H358" s="16"/>
      <c r="I358" s="16"/>
    </row>
    <row r="359" spans="1:9" x14ac:dyDescent="0.25">
      <c r="A359" s="11" t="s">
        <v>534</v>
      </c>
      <c r="B359" s="11" t="s">
        <v>535</v>
      </c>
      <c r="C359" s="13" t="s">
        <v>518</v>
      </c>
      <c r="D359" s="13" t="s">
        <v>536</v>
      </c>
      <c r="E359" s="13" t="s">
        <v>65</v>
      </c>
      <c r="F359" s="13" t="s">
        <v>29</v>
      </c>
      <c r="G359" s="16"/>
      <c r="H359" s="16"/>
      <c r="I359" s="16"/>
    </row>
    <row r="360" spans="1:9" x14ac:dyDescent="0.25">
      <c r="A360" s="11" t="s">
        <v>537</v>
      </c>
      <c r="B360" s="11" t="s">
        <v>538</v>
      </c>
      <c r="C360" s="13" t="s">
        <v>518</v>
      </c>
      <c r="D360" s="13" t="s">
        <v>539</v>
      </c>
      <c r="E360" s="13" t="s">
        <v>65</v>
      </c>
      <c r="F360" s="13" t="s">
        <v>881</v>
      </c>
      <c r="G360" s="16"/>
      <c r="H360" s="16"/>
      <c r="I360" s="16"/>
    </row>
    <row r="361" spans="1:9" x14ac:dyDescent="0.25">
      <c r="A361" s="11" t="s">
        <v>540</v>
      </c>
      <c r="B361" s="11" t="s">
        <v>541</v>
      </c>
      <c r="C361" s="13" t="s">
        <v>518</v>
      </c>
      <c r="D361" s="13" t="s">
        <v>69</v>
      </c>
      <c r="E361" s="13" t="s">
        <v>65</v>
      </c>
      <c r="F361" s="13" t="s">
        <v>29</v>
      </c>
      <c r="G361" s="16"/>
      <c r="H361" s="16"/>
      <c r="I361" s="16"/>
    </row>
    <row r="362" spans="1:9" x14ac:dyDescent="0.25">
      <c r="A362" s="11" t="s">
        <v>542</v>
      </c>
      <c r="B362" s="11" t="s">
        <v>543</v>
      </c>
      <c r="C362" s="13" t="s">
        <v>518</v>
      </c>
      <c r="D362" s="13" t="s">
        <v>64</v>
      </c>
      <c r="E362" s="13" t="s">
        <v>65</v>
      </c>
      <c r="F362" s="13" t="s">
        <v>29</v>
      </c>
      <c r="G362" s="16"/>
      <c r="H362" s="16"/>
      <c r="I362" s="16"/>
    </row>
    <row r="363" spans="1:9" x14ac:dyDescent="0.25">
      <c r="A363" s="11" t="s">
        <v>544</v>
      </c>
      <c r="B363" s="11" t="s">
        <v>545</v>
      </c>
      <c r="C363" s="13" t="s">
        <v>518</v>
      </c>
      <c r="D363" s="13" t="s">
        <v>155</v>
      </c>
      <c r="E363" s="13" t="s">
        <v>65</v>
      </c>
      <c r="F363" s="13" t="s">
        <v>29</v>
      </c>
      <c r="G363" s="16"/>
      <c r="H363" s="16"/>
      <c r="I363" s="16"/>
    </row>
    <row r="364" spans="1:9" x14ac:dyDescent="0.25">
      <c r="A364" s="11" t="s">
        <v>546</v>
      </c>
      <c r="B364" s="11" t="s">
        <v>547</v>
      </c>
      <c r="C364" s="13" t="s">
        <v>518</v>
      </c>
      <c r="D364" s="13" t="s">
        <v>539</v>
      </c>
      <c r="E364" s="13" t="s">
        <v>65</v>
      </c>
      <c r="F364" s="13" t="s">
        <v>29</v>
      </c>
      <c r="G364" s="16"/>
      <c r="H364" s="16"/>
      <c r="I364" s="16"/>
    </row>
    <row r="365" spans="1:9" x14ac:dyDescent="0.25">
      <c r="A365" s="11" t="s">
        <v>548</v>
      </c>
      <c r="B365" s="11" t="s">
        <v>549</v>
      </c>
      <c r="C365" s="13" t="s">
        <v>518</v>
      </c>
      <c r="D365" s="13" t="s">
        <v>550</v>
      </c>
      <c r="E365" s="13" t="s">
        <v>65</v>
      </c>
      <c r="F365" s="13" t="s">
        <v>29</v>
      </c>
      <c r="G365" s="16"/>
      <c r="H365" s="16"/>
      <c r="I365" s="16"/>
    </row>
    <row r="366" spans="1:9" x14ac:dyDescent="0.25">
      <c r="A366" s="11" t="s">
        <v>551</v>
      </c>
      <c r="B366" s="11" t="s">
        <v>552</v>
      </c>
      <c r="C366" s="13" t="s">
        <v>518</v>
      </c>
      <c r="D366" s="13" t="s">
        <v>69</v>
      </c>
      <c r="E366" s="13" t="s">
        <v>65</v>
      </c>
      <c r="F366" s="13" t="s">
        <v>881</v>
      </c>
      <c r="G366" s="16"/>
      <c r="H366" s="16"/>
      <c r="I366" s="16"/>
    </row>
    <row r="367" spans="1:9" x14ac:dyDescent="0.25">
      <c r="A367" s="11" t="s">
        <v>553</v>
      </c>
      <c r="B367" s="11" t="s">
        <v>554</v>
      </c>
      <c r="C367" s="13" t="s">
        <v>518</v>
      </c>
      <c r="D367" s="13" t="s">
        <v>64</v>
      </c>
      <c r="E367" s="13" t="s">
        <v>65</v>
      </c>
      <c r="F367" s="13" t="s">
        <v>881</v>
      </c>
      <c r="G367" s="16"/>
      <c r="H367" s="16"/>
      <c r="I367" s="16"/>
    </row>
    <row r="368" spans="1:9" x14ac:dyDescent="0.25">
      <c r="A368" s="11" t="s">
        <v>555</v>
      </c>
      <c r="B368" s="11" t="s">
        <v>556</v>
      </c>
      <c r="C368" s="13" t="s">
        <v>518</v>
      </c>
      <c r="D368" s="13" t="s">
        <v>523</v>
      </c>
      <c r="E368" s="13" t="s">
        <v>65</v>
      </c>
      <c r="F368" s="13" t="s">
        <v>881</v>
      </c>
      <c r="G368" s="16"/>
      <c r="H368" s="16"/>
      <c r="I368" s="16"/>
    </row>
    <row r="369" spans="1:9" x14ac:dyDescent="0.25">
      <c r="A369" s="11" t="s">
        <v>557</v>
      </c>
      <c r="B369" s="11" t="s">
        <v>558</v>
      </c>
      <c r="C369" s="13" t="s">
        <v>518</v>
      </c>
      <c r="D369" s="13" t="s">
        <v>539</v>
      </c>
      <c r="E369" s="13" t="s">
        <v>65</v>
      </c>
      <c r="F369" s="13" t="s">
        <v>881</v>
      </c>
      <c r="G369" s="16"/>
      <c r="H369" s="16"/>
      <c r="I369" s="16"/>
    </row>
    <row r="370" spans="1:9" x14ac:dyDescent="0.25">
      <c r="A370" s="11" t="s">
        <v>559</v>
      </c>
      <c r="B370" s="11" t="s">
        <v>560</v>
      </c>
      <c r="C370" s="13" t="s">
        <v>518</v>
      </c>
      <c r="D370" s="13" t="s">
        <v>64</v>
      </c>
      <c r="E370" s="13" t="s">
        <v>65</v>
      </c>
      <c r="F370" s="13" t="s">
        <v>882</v>
      </c>
      <c r="G370" s="16"/>
      <c r="H370" s="16"/>
      <c r="I370" s="16"/>
    </row>
    <row r="371" spans="1:9" x14ac:dyDescent="0.25">
      <c r="A371" s="11" t="s">
        <v>561</v>
      </c>
      <c r="B371" s="11" t="s">
        <v>560</v>
      </c>
      <c r="C371" s="13" t="s">
        <v>518</v>
      </c>
      <c r="D371" s="13" t="s">
        <v>64</v>
      </c>
      <c r="E371" s="13" t="s">
        <v>65</v>
      </c>
      <c r="F371" s="13" t="s">
        <v>882</v>
      </c>
      <c r="G371" s="16"/>
      <c r="H371" s="16"/>
      <c r="I371" s="16"/>
    </row>
    <row r="372" spans="1:9" x14ac:dyDescent="0.25">
      <c r="A372" s="11" t="s">
        <v>562</v>
      </c>
      <c r="B372" s="11" t="s">
        <v>563</v>
      </c>
      <c r="C372" s="13" t="s">
        <v>518</v>
      </c>
      <c r="D372" s="13" t="s">
        <v>69</v>
      </c>
      <c r="E372" s="13" t="s">
        <v>65</v>
      </c>
      <c r="F372" s="13" t="s">
        <v>882</v>
      </c>
      <c r="G372" s="16"/>
      <c r="H372" s="16"/>
      <c r="I372" s="16"/>
    </row>
    <row r="373" spans="1:9" x14ac:dyDescent="0.25">
      <c r="A373" s="11" t="s">
        <v>564</v>
      </c>
      <c r="B373" s="11" t="s">
        <v>563</v>
      </c>
      <c r="C373" s="13" t="s">
        <v>518</v>
      </c>
      <c r="D373" s="13" t="s">
        <v>69</v>
      </c>
      <c r="E373" s="13" t="s">
        <v>65</v>
      </c>
      <c r="F373" s="13" t="s">
        <v>882</v>
      </c>
      <c r="G373" s="16"/>
      <c r="H373" s="16"/>
      <c r="I373" s="16"/>
    </row>
    <row r="374" spans="1:9" x14ac:dyDescent="0.25">
      <c r="A374" s="11" t="s">
        <v>565</v>
      </c>
      <c r="B374" s="11" t="s">
        <v>566</v>
      </c>
      <c r="C374" s="13" t="s">
        <v>518</v>
      </c>
      <c r="D374" s="13" t="s">
        <v>523</v>
      </c>
      <c r="E374" s="13" t="s">
        <v>65</v>
      </c>
      <c r="F374" s="13" t="s">
        <v>882</v>
      </c>
      <c r="G374" s="16"/>
      <c r="H374" s="16"/>
      <c r="I374" s="16"/>
    </row>
    <row r="375" spans="1:9" x14ac:dyDescent="0.25">
      <c r="A375" s="11" t="s">
        <v>567</v>
      </c>
      <c r="B375" s="11" t="s">
        <v>566</v>
      </c>
      <c r="C375" s="13" t="s">
        <v>518</v>
      </c>
      <c r="D375" s="13" t="s">
        <v>523</v>
      </c>
      <c r="E375" s="13" t="s">
        <v>65</v>
      </c>
      <c r="F375" s="13" t="s">
        <v>882</v>
      </c>
      <c r="G375" s="16"/>
      <c r="H375" s="16"/>
      <c r="I375" s="16"/>
    </row>
    <row r="376" spans="1:9" x14ac:dyDescent="0.25">
      <c r="A376" s="11" t="s">
        <v>568</v>
      </c>
      <c r="B376" s="11" t="s">
        <v>569</v>
      </c>
      <c r="C376" s="13" t="s">
        <v>518</v>
      </c>
      <c r="D376" s="13" t="s">
        <v>526</v>
      </c>
      <c r="E376" s="13" t="s">
        <v>65</v>
      </c>
      <c r="F376" s="13" t="s">
        <v>882</v>
      </c>
      <c r="G376" s="16"/>
      <c r="H376" s="16"/>
      <c r="I376" s="16"/>
    </row>
    <row r="377" spans="1:9" x14ac:dyDescent="0.25">
      <c r="A377" s="11" t="s">
        <v>570</v>
      </c>
      <c r="B377" s="11" t="s">
        <v>569</v>
      </c>
      <c r="C377" s="13" t="s">
        <v>518</v>
      </c>
      <c r="D377" s="13" t="s">
        <v>526</v>
      </c>
      <c r="E377" s="13" t="s">
        <v>65</v>
      </c>
      <c r="F377" s="13" t="s">
        <v>882</v>
      </c>
      <c r="G377" s="16"/>
      <c r="H377" s="16"/>
      <c r="I377" s="16"/>
    </row>
    <row r="378" spans="1:9" x14ac:dyDescent="0.25">
      <c r="A378" s="11" t="s">
        <v>571</v>
      </c>
      <c r="B378" s="11" t="s">
        <v>572</v>
      </c>
      <c r="C378" s="13" t="s">
        <v>518</v>
      </c>
      <c r="D378" s="13" t="s">
        <v>69</v>
      </c>
      <c r="E378" s="13" t="s">
        <v>65</v>
      </c>
      <c r="F378" s="13" t="s">
        <v>882</v>
      </c>
      <c r="G378" s="16"/>
      <c r="H378" s="16"/>
      <c r="I378" s="16"/>
    </row>
    <row r="379" spans="1:9" x14ac:dyDescent="0.25">
      <c r="A379" s="11" t="s">
        <v>573</v>
      </c>
      <c r="B379" s="11" t="s">
        <v>572</v>
      </c>
      <c r="C379" s="13" t="s">
        <v>518</v>
      </c>
      <c r="D379" s="13" t="s">
        <v>69</v>
      </c>
      <c r="E379" s="13" t="s">
        <v>65</v>
      </c>
      <c r="F379" s="13" t="s">
        <v>882</v>
      </c>
      <c r="G379" s="16"/>
      <c r="H379" s="16"/>
      <c r="I379" s="16"/>
    </row>
    <row r="380" spans="1:9" x14ac:dyDescent="0.25">
      <c r="A380" s="11" t="s">
        <v>574</v>
      </c>
      <c r="B380" s="11" t="s">
        <v>575</v>
      </c>
      <c r="C380" s="13" t="s">
        <v>518</v>
      </c>
      <c r="D380" s="13" t="s">
        <v>69</v>
      </c>
      <c r="E380" s="13" t="s">
        <v>65</v>
      </c>
      <c r="F380" s="13" t="s">
        <v>882</v>
      </c>
      <c r="G380" s="16"/>
      <c r="H380" s="16"/>
      <c r="I380" s="16"/>
    </row>
    <row r="381" spans="1:9" x14ac:dyDescent="0.25">
      <c r="A381" s="11" t="s">
        <v>576</v>
      </c>
      <c r="B381" s="11" t="s">
        <v>575</v>
      </c>
      <c r="C381" s="13" t="s">
        <v>518</v>
      </c>
      <c r="D381" s="13" t="s">
        <v>69</v>
      </c>
      <c r="E381" s="13" t="s">
        <v>65</v>
      </c>
      <c r="F381" s="13" t="s">
        <v>882</v>
      </c>
      <c r="G381" s="16"/>
      <c r="H381" s="16"/>
      <c r="I381" s="16"/>
    </row>
    <row r="382" spans="1:9" x14ac:dyDescent="0.25">
      <c r="A382" s="11" t="s">
        <v>577</v>
      </c>
      <c r="B382" s="11" t="s">
        <v>578</v>
      </c>
      <c r="C382" s="13" t="s">
        <v>518</v>
      </c>
      <c r="D382" s="13" t="s">
        <v>533</v>
      </c>
      <c r="E382" s="13" t="s">
        <v>65</v>
      </c>
      <c r="F382" s="13" t="s">
        <v>29</v>
      </c>
      <c r="G382" s="16"/>
      <c r="H382" s="16"/>
      <c r="I382" s="16"/>
    </row>
    <row r="383" spans="1:9" x14ac:dyDescent="0.25">
      <c r="A383" s="11" t="s">
        <v>579</v>
      </c>
      <c r="B383" s="11" t="s">
        <v>578</v>
      </c>
      <c r="C383" s="13" t="s">
        <v>518</v>
      </c>
      <c r="D383" s="13" t="s">
        <v>533</v>
      </c>
      <c r="E383" s="13" t="s">
        <v>65</v>
      </c>
      <c r="F383" s="13" t="s">
        <v>29</v>
      </c>
      <c r="G383" s="16"/>
      <c r="H383" s="16"/>
      <c r="I383" s="16"/>
    </row>
    <row r="384" spans="1:9" x14ac:dyDescent="0.25">
      <c r="A384" s="11" t="s">
        <v>580</v>
      </c>
      <c r="B384" s="11" t="s">
        <v>581</v>
      </c>
      <c r="C384" s="13" t="s">
        <v>518</v>
      </c>
      <c r="D384" s="13" t="s">
        <v>536</v>
      </c>
      <c r="E384" s="13" t="s">
        <v>65</v>
      </c>
      <c r="F384" s="13" t="s">
        <v>29</v>
      </c>
      <c r="G384" s="16"/>
      <c r="H384" s="16"/>
      <c r="I384" s="16"/>
    </row>
    <row r="385" spans="1:9" x14ac:dyDescent="0.25">
      <c r="A385" s="11" t="s">
        <v>582</v>
      </c>
      <c r="B385" s="11" t="s">
        <v>581</v>
      </c>
      <c r="C385" s="13" t="s">
        <v>518</v>
      </c>
      <c r="D385" s="13" t="s">
        <v>536</v>
      </c>
      <c r="E385" s="13" t="s">
        <v>65</v>
      </c>
      <c r="F385" s="13" t="s">
        <v>29</v>
      </c>
      <c r="G385" s="16"/>
      <c r="H385" s="16"/>
      <c r="I385" s="16"/>
    </row>
    <row r="386" spans="1:9" x14ac:dyDescent="0.25">
      <c r="A386" s="11" t="s">
        <v>583</v>
      </c>
      <c r="B386" s="11" t="s">
        <v>584</v>
      </c>
      <c r="C386" s="13" t="s">
        <v>518</v>
      </c>
      <c r="D386" s="13" t="s">
        <v>539</v>
      </c>
      <c r="E386" s="13" t="s">
        <v>65</v>
      </c>
      <c r="F386" s="13" t="s">
        <v>882</v>
      </c>
      <c r="G386" s="16"/>
      <c r="H386" s="16"/>
      <c r="I386" s="16"/>
    </row>
    <row r="387" spans="1:9" x14ac:dyDescent="0.25">
      <c r="A387" s="11" t="s">
        <v>585</v>
      </c>
      <c r="B387" s="11" t="s">
        <v>584</v>
      </c>
      <c r="C387" s="13" t="s">
        <v>518</v>
      </c>
      <c r="D387" s="13" t="s">
        <v>539</v>
      </c>
      <c r="E387" s="13" t="s">
        <v>65</v>
      </c>
      <c r="F387" s="13" t="s">
        <v>882</v>
      </c>
      <c r="G387" s="16"/>
      <c r="H387" s="16"/>
      <c r="I387" s="16"/>
    </row>
    <row r="388" spans="1:9" x14ac:dyDescent="0.25">
      <c r="A388" s="11" t="s">
        <v>586</v>
      </c>
      <c r="B388" s="11" t="s">
        <v>587</v>
      </c>
      <c r="C388" s="13" t="s">
        <v>518</v>
      </c>
      <c r="D388" s="13" t="s">
        <v>588</v>
      </c>
      <c r="E388" s="13" t="s">
        <v>65</v>
      </c>
      <c r="F388" s="13" t="s">
        <v>29</v>
      </c>
      <c r="G388" s="16"/>
      <c r="H388" s="16"/>
      <c r="I388" s="16"/>
    </row>
    <row r="389" spans="1:9" x14ac:dyDescent="0.25">
      <c r="A389" s="11" t="s">
        <v>589</v>
      </c>
      <c r="B389" s="11" t="s">
        <v>587</v>
      </c>
      <c r="C389" s="13" t="s">
        <v>518</v>
      </c>
      <c r="D389" s="13" t="s">
        <v>588</v>
      </c>
      <c r="E389" s="13" t="s">
        <v>65</v>
      </c>
      <c r="F389" s="13" t="s">
        <v>29</v>
      </c>
      <c r="G389" s="16"/>
      <c r="H389" s="16"/>
      <c r="I389" s="16"/>
    </row>
    <row r="390" spans="1:9" x14ac:dyDescent="0.25">
      <c r="A390" s="11" t="s">
        <v>590</v>
      </c>
      <c r="B390" s="11" t="s">
        <v>591</v>
      </c>
      <c r="C390" s="13" t="s">
        <v>518</v>
      </c>
      <c r="D390" s="13" t="s">
        <v>64</v>
      </c>
      <c r="E390" s="13" t="s">
        <v>65</v>
      </c>
      <c r="F390" s="13" t="s">
        <v>29</v>
      </c>
      <c r="G390" s="16"/>
      <c r="H390" s="16"/>
      <c r="I390" s="16"/>
    </row>
    <row r="391" spans="1:9" x14ac:dyDescent="0.25">
      <c r="A391" s="11" t="s">
        <v>592</v>
      </c>
      <c r="B391" s="11" t="s">
        <v>591</v>
      </c>
      <c r="C391" s="13" t="s">
        <v>518</v>
      </c>
      <c r="D391" s="13" t="s">
        <v>64</v>
      </c>
      <c r="E391" s="13" t="s">
        <v>65</v>
      </c>
      <c r="F391" s="13" t="s">
        <v>29</v>
      </c>
      <c r="G391" s="16"/>
      <c r="H391" s="16"/>
      <c r="I391" s="16"/>
    </row>
    <row r="392" spans="1:9" x14ac:dyDescent="0.25">
      <c r="A392" s="11" t="s">
        <v>593</v>
      </c>
      <c r="B392" s="11" t="s">
        <v>594</v>
      </c>
      <c r="C392" s="13" t="s">
        <v>518</v>
      </c>
      <c r="D392" s="13" t="s">
        <v>155</v>
      </c>
      <c r="E392" s="13" t="s">
        <v>65</v>
      </c>
      <c r="F392" s="13" t="s">
        <v>882</v>
      </c>
      <c r="G392" s="16"/>
      <c r="H392" s="16"/>
      <c r="I392" s="16"/>
    </row>
    <row r="393" spans="1:9" x14ac:dyDescent="0.25">
      <c r="A393" s="11" t="s">
        <v>595</v>
      </c>
      <c r="B393" s="11" t="s">
        <v>594</v>
      </c>
      <c r="C393" s="13" t="s">
        <v>518</v>
      </c>
      <c r="D393" s="13" t="s">
        <v>155</v>
      </c>
      <c r="E393" s="13" t="s">
        <v>65</v>
      </c>
      <c r="F393" s="13" t="s">
        <v>882</v>
      </c>
      <c r="G393" s="16"/>
      <c r="H393" s="16"/>
      <c r="I393" s="16"/>
    </row>
    <row r="394" spans="1:9" x14ac:dyDescent="0.25">
      <c r="A394" s="11" t="s">
        <v>596</v>
      </c>
      <c r="B394" s="11" t="s">
        <v>597</v>
      </c>
      <c r="C394" s="13" t="s">
        <v>518</v>
      </c>
      <c r="D394" s="13" t="s">
        <v>550</v>
      </c>
      <c r="E394" s="13" t="s">
        <v>65</v>
      </c>
      <c r="F394" s="13" t="s">
        <v>882</v>
      </c>
      <c r="G394" s="16"/>
      <c r="H394" s="16"/>
      <c r="I394" s="16"/>
    </row>
    <row r="395" spans="1:9" x14ac:dyDescent="0.25">
      <c r="A395" s="11" t="s">
        <v>598</v>
      </c>
      <c r="B395" s="11" t="s">
        <v>597</v>
      </c>
      <c r="C395" s="13" t="s">
        <v>518</v>
      </c>
      <c r="D395" s="13" t="s">
        <v>550</v>
      </c>
      <c r="E395" s="13" t="s">
        <v>65</v>
      </c>
      <c r="F395" s="13" t="s">
        <v>882</v>
      </c>
      <c r="G395" s="16"/>
      <c r="H395" s="16"/>
      <c r="I395" s="16"/>
    </row>
    <row r="396" spans="1:9" x14ac:dyDescent="0.25">
      <c r="A396" s="11" t="s">
        <v>599</v>
      </c>
      <c r="B396" s="11" t="s">
        <v>600</v>
      </c>
      <c r="C396" s="13" t="s">
        <v>518</v>
      </c>
      <c r="D396" s="13" t="s">
        <v>539</v>
      </c>
      <c r="E396" s="13" t="s">
        <v>65</v>
      </c>
      <c r="F396" s="13" t="s">
        <v>882</v>
      </c>
      <c r="G396" s="16"/>
      <c r="H396" s="16"/>
      <c r="I396" s="16"/>
    </row>
    <row r="397" spans="1:9" x14ac:dyDescent="0.25">
      <c r="A397" s="11" t="s">
        <v>601</v>
      </c>
      <c r="B397" s="11" t="s">
        <v>600</v>
      </c>
      <c r="C397" s="13" t="s">
        <v>518</v>
      </c>
      <c r="D397" s="13" t="s">
        <v>539</v>
      </c>
      <c r="E397" s="13" t="s">
        <v>65</v>
      </c>
      <c r="F397" s="13" t="s">
        <v>882</v>
      </c>
      <c r="G397" s="16"/>
      <c r="H397" s="16"/>
      <c r="I397" s="16"/>
    </row>
    <row r="398" spans="1:9" x14ac:dyDescent="0.25">
      <c r="A398" s="11" t="s">
        <v>602</v>
      </c>
      <c r="B398" s="11" t="s">
        <v>549</v>
      </c>
      <c r="C398" s="13" t="s">
        <v>518</v>
      </c>
      <c r="D398" s="13" t="s">
        <v>550</v>
      </c>
      <c r="E398" s="13" t="s">
        <v>65</v>
      </c>
      <c r="F398" s="13" t="s">
        <v>881</v>
      </c>
      <c r="G398" s="16"/>
      <c r="H398" s="16"/>
      <c r="I398" s="16"/>
    </row>
    <row r="399" spans="1:9" x14ac:dyDescent="0.25">
      <c r="A399" s="11" t="s">
        <v>603</v>
      </c>
      <c r="B399" s="11" t="s">
        <v>549</v>
      </c>
      <c r="C399" s="13" t="s">
        <v>518</v>
      </c>
      <c r="D399" s="13" t="s">
        <v>550</v>
      </c>
      <c r="E399" s="13" t="s">
        <v>65</v>
      </c>
      <c r="F399" s="13" t="s">
        <v>883</v>
      </c>
      <c r="G399" s="16"/>
      <c r="H399" s="16"/>
      <c r="I399" s="16"/>
    </row>
    <row r="400" spans="1:9" x14ac:dyDescent="0.25">
      <c r="A400" s="11" t="s">
        <v>604</v>
      </c>
      <c r="B400" s="11" t="s">
        <v>545</v>
      </c>
      <c r="C400" s="13" t="s">
        <v>518</v>
      </c>
      <c r="D400" s="13" t="s">
        <v>155</v>
      </c>
      <c r="E400" s="13" t="s">
        <v>65</v>
      </c>
      <c r="F400" s="13" t="s">
        <v>883</v>
      </c>
      <c r="G400" s="16"/>
      <c r="H400" s="16"/>
      <c r="I400" s="16"/>
    </row>
    <row r="401" spans="1:9" x14ac:dyDescent="0.25">
      <c r="A401" s="11" t="s">
        <v>605</v>
      </c>
      <c r="B401" s="11" t="s">
        <v>545</v>
      </c>
      <c r="C401" s="13" t="s">
        <v>518</v>
      </c>
      <c r="D401" s="13" t="s">
        <v>155</v>
      </c>
      <c r="E401" s="13" t="s">
        <v>65</v>
      </c>
      <c r="F401" s="13" t="s">
        <v>883</v>
      </c>
      <c r="G401" s="16"/>
      <c r="H401" s="16"/>
      <c r="I401" s="16"/>
    </row>
    <row r="402" spans="1:9" x14ac:dyDescent="0.25">
      <c r="A402" s="11" t="s">
        <v>612</v>
      </c>
      <c r="B402" s="11" t="s">
        <v>613</v>
      </c>
      <c r="C402" s="13" t="s">
        <v>518</v>
      </c>
      <c r="D402" s="13" t="s">
        <v>29</v>
      </c>
      <c r="E402" s="13" t="s">
        <v>29</v>
      </c>
      <c r="F402" s="13" t="s">
        <v>29</v>
      </c>
      <c r="G402" s="16"/>
      <c r="H402" s="16"/>
      <c r="I402" s="16"/>
    </row>
    <row r="403" spans="1:9" x14ac:dyDescent="0.25">
      <c r="A403" s="11" t="s">
        <v>614</v>
      </c>
      <c r="B403" s="11" t="s">
        <v>615</v>
      </c>
      <c r="C403" s="13" t="s">
        <v>518</v>
      </c>
      <c r="D403" s="13" t="s">
        <v>29</v>
      </c>
      <c r="E403" s="13" t="s">
        <v>29</v>
      </c>
      <c r="F403" s="13" t="s">
        <v>616</v>
      </c>
      <c r="G403" s="16"/>
      <c r="H403" s="16"/>
      <c r="I403" s="16"/>
    </row>
    <row r="404" spans="1:9" x14ac:dyDescent="0.25">
      <c r="A404" s="11" t="s">
        <v>884</v>
      </c>
      <c r="B404" s="13" t="s">
        <v>885</v>
      </c>
      <c r="C404" s="13" t="s">
        <v>886</v>
      </c>
      <c r="D404" s="13" t="s">
        <v>550</v>
      </c>
      <c r="E404" s="23" t="s">
        <v>65</v>
      </c>
      <c r="F404" s="13" t="s">
        <v>870</v>
      </c>
      <c r="G404" s="16"/>
      <c r="H404" s="16"/>
      <c r="I404" s="16"/>
    </row>
    <row r="405" spans="1:9" x14ac:dyDescent="0.25">
      <c r="A405" s="11" t="s">
        <v>887</v>
      </c>
      <c r="B405" s="11" t="s">
        <v>888</v>
      </c>
      <c r="C405" s="13" t="s">
        <v>886</v>
      </c>
      <c r="D405" s="13" t="s">
        <v>880</v>
      </c>
      <c r="E405" s="23" t="s">
        <v>65</v>
      </c>
      <c r="F405" s="13" t="s">
        <v>870</v>
      </c>
      <c r="G405" s="16"/>
      <c r="H405" s="16"/>
      <c r="I405" s="16"/>
    </row>
    <row r="406" spans="1:9" x14ac:dyDescent="0.25">
      <c r="A406" t="s">
        <v>889</v>
      </c>
      <c r="B406" t="s">
        <v>890</v>
      </c>
      <c r="C406" s="13" t="s">
        <v>891</v>
      </c>
      <c r="D406" s="13" t="s">
        <v>64</v>
      </c>
      <c r="E406" s="13" t="s">
        <v>29</v>
      </c>
      <c r="F406" s="13" t="s">
        <v>883</v>
      </c>
      <c r="G406" s="16"/>
      <c r="H406" s="16"/>
      <c r="I406" s="16"/>
    </row>
    <row r="407" spans="1:9" x14ac:dyDescent="0.25">
      <c r="A407" t="s">
        <v>892</v>
      </c>
      <c r="B407" t="s">
        <v>890</v>
      </c>
      <c r="C407" s="13" t="s">
        <v>891</v>
      </c>
      <c r="D407" s="13" t="s">
        <v>64</v>
      </c>
      <c r="E407" s="13" t="s">
        <v>29</v>
      </c>
      <c r="F407" s="13" t="s">
        <v>883</v>
      </c>
      <c r="G407" s="16"/>
      <c r="H407" s="16"/>
      <c r="I407" s="16"/>
    </row>
    <row r="408" spans="1:9" x14ac:dyDescent="0.25">
      <c r="A408" s="13" t="s">
        <v>893</v>
      </c>
      <c r="B408" s="11" t="s">
        <v>894</v>
      </c>
      <c r="C408" s="13" t="s">
        <v>66</v>
      </c>
      <c r="D408" s="13" t="s">
        <v>64</v>
      </c>
      <c r="E408" s="13" t="s">
        <v>120</v>
      </c>
      <c r="F408" s="13" t="s">
        <v>639</v>
      </c>
      <c r="G408" s="16"/>
      <c r="H408" s="16"/>
      <c r="I408" s="16"/>
    </row>
    <row r="409" spans="1:9" x14ac:dyDescent="0.25">
      <c r="A409" s="16" t="s">
        <v>896</v>
      </c>
      <c r="B409" s="16" t="s">
        <v>897</v>
      </c>
      <c r="C409" s="16" t="s">
        <v>898</v>
      </c>
      <c r="D409" s="16" t="s">
        <v>69</v>
      </c>
      <c r="E409" s="16" t="s">
        <v>65</v>
      </c>
      <c r="F409" s="16" t="s">
        <v>639</v>
      </c>
      <c r="G409" s="16"/>
      <c r="H409" s="16"/>
      <c r="I409" s="16"/>
    </row>
    <row r="410" spans="1:9" x14ac:dyDescent="0.25">
      <c r="A410" s="16" t="s">
        <v>899</v>
      </c>
      <c r="B410" s="16" t="s">
        <v>900</v>
      </c>
      <c r="C410" s="16" t="s">
        <v>898</v>
      </c>
      <c r="D410" s="16" t="s">
        <v>72</v>
      </c>
      <c r="E410" s="16" t="s">
        <v>65</v>
      </c>
      <c r="F410" s="16" t="s">
        <v>639</v>
      </c>
      <c r="G410" s="16"/>
      <c r="H410" s="16"/>
      <c r="I410" s="16"/>
    </row>
    <row r="411" spans="1:9" x14ac:dyDescent="0.25">
      <c r="A411" s="16" t="s">
        <v>748</v>
      </c>
      <c r="B411" s="16" t="s">
        <v>749</v>
      </c>
      <c r="C411" s="16" t="s">
        <v>898</v>
      </c>
      <c r="D411" s="16" t="s">
        <v>69</v>
      </c>
      <c r="E411" s="16" t="s">
        <v>65</v>
      </c>
      <c r="F411" s="16" t="s">
        <v>639</v>
      </c>
      <c r="G411" s="16"/>
      <c r="H411" s="16"/>
      <c r="I411" s="16"/>
    </row>
    <row r="412" spans="1:9" x14ac:dyDescent="0.25">
      <c r="A412" s="16" t="s">
        <v>901</v>
      </c>
      <c r="B412" s="16" t="s">
        <v>902</v>
      </c>
      <c r="C412" s="16" t="s">
        <v>898</v>
      </c>
      <c r="D412" s="16" t="s">
        <v>72</v>
      </c>
      <c r="E412" s="16" t="s">
        <v>65</v>
      </c>
      <c r="F412" s="16" t="s">
        <v>639</v>
      </c>
      <c r="G412" s="16"/>
      <c r="H412" s="16"/>
      <c r="I412" s="16"/>
    </row>
    <row r="413" spans="1:9" x14ac:dyDescent="0.25">
      <c r="A413" s="16"/>
      <c r="B413" s="16"/>
      <c r="C413" s="16"/>
      <c r="D413" s="16"/>
      <c r="E413" s="16"/>
      <c r="F413" s="16"/>
      <c r="G413" s="16"/>
      <c r="H413" s="16"/>
      <c r="I413" s="16"/>
    </row>
  </sheetData>
  <dataConsolidate/>
  <dataValidations count="4">
    <dataValidation type="list" allowBlank="1" showInputMessage="1" showErrorMessage="1" sqref="D1">
      <formula1>$AF$3:$AF$24</formula1>
    </dataValidation>
    <dataValidation type="list" allowBlank="1" showInputMessage="1" showErrorMessage="1" sqref="E1">
      <formula1>$AG$3:$AG$10</formula1>
    </dataValidation>
    <dataValidation type="list" allowBlank="1" showInputMessage="1" showErrorMessage="1" sqref="F1">
      <formula1>$AI$3:$AI$24</formula1>
    </dataValidation>
    <dataValidation type="list" allowBlank="1" showInputMessage="1" showErrorMessage="1" sqref="C1">
      <formula1>$AH$3:$AH$24</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2 Shot</vt:lpstr>
      <vt:lpstr>3 Shot</vt:lpstr>
      <vt:lpstr>ANSI High Velocity </vt:lpstr>
      <vt:lpstr>Lion</vt:lpstr>
      <vt:lpstr>V50</vt:lpstr>
      <vt:lpstr>Impact Descriptions</vt:lpstr>
      <vt:lpstr>Product List</vt:lpstr>
    </vt:vector>
  </TitlesOfParts>
  <Company>Revision Military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Falk</dc:creator>
  <cp:lastModifiedBy>Leight Johnson</cp:lastModifiedBy>
  <cp:lastPrinted>2014-07-24T11:27:26Z</cp:lastPrinted>
  <dcterms:created xsi:type="dcterms:W3CDTF">2014-04-29T12:29:54Z</dcterms:created>
  <dcterms:modified xsi:type="dcterms:W3CDTF">2018-08-24T18:27:40Z</dcterms:modified>
</cp:coreProperties>
</file>