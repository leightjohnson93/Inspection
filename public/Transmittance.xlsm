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4.xml" ContentType="application/vnd.openxmlformats-officedocument.drawingml.chart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ites\Inspection\public\"/>
    </mc:Choice>
  </mc:AlternateContent>
  <bookViews>
    <workbookView xWindow="0" yWindow="0" windowWidth="17400" windowHeight="7950" tabRatio="732" firstSheet="1" activeTab="1"/>
  </bookViews>
  <sheets>
    <sheet name="REPORT" sheetId="5" state="hidden" r:id="rId1"/>
    <sheet name="VLT Results" sheetId="9" r:id="rId2"/>
    <sheet name="Neutrality" sheetId="8" state="hidden" r:id="rId3"/>
    <sheet name="Transmission Calculations" sheetId="4" state="hidden" r:id="rId4"/>
    <sheet name="Spectral Functions" sheetId="1" state="hidden" r:id="rId5"/>
    <sheet name="Chromaticity Calculations" sheetId="7" state="hidden" r:id="rId6"/>
    <sheet name="Chromaticity Diagram" sheetId="6" state="hidden" r:id="rId7"/>
  </sheets>
  <definedNames>
    <definedName name="Bronze01" localSheetId="3">'Transmission Calculations'!$C$5:$C$85</definedName>
    <definedName name="Bronze01_1" localSheetId="3">'Transmission Calculations'!#REF!</definedName>
    <definedName name="Bronze01_2" localSheetId="3">'Transmission Calculations'!#REF!</definedName>
    <definedName name="Bronze01_3" localSheetId="3">'Transmission Calculations'!#REF!</definedName>
    <definedName name="Bronze01_4" localSheetId="3">'Transmission Calculations'!$C$5:$C$85</definedName>
    <definedName name="Bronze01_5" localSheetId="3">'Transmission Calculations'!#REF!</definedName>
    <definedName name="Bronze01_6" localSheetId="3">'Transmission Calculations'!#REF!</definedName>
    <definedName name="Bronze01_7" localSheetId="3">'Transmission Calculations'!#REF!</definedName>
    <definedName name="Bronze01_8" localSheetId="3">'Transmission Calculations'!#REF!</definedName>
    <definedName name="Data__1" localSheetId="3">'Transmission Calculations'!$C$5:$C$205</definedName>
    <definedName name="Data__1_1" localSheetId="3">'Transmission Calculations'!$C$5:$C$205</definedName>
    <definedName name="Data__1_2" localSheetId="3">'Transmission Calculations'!$C$5:$C$205</definedName>
    <definedName name="Data__1_3" localSheetId="3">'Transmission Calculations'!$C$5:$C$85</definedName>
    <definedName name="Data__1_4" localSheetId="3">'Transmission Calculations'!#REF!</definedName>
    <definedName name="Data__1_5" localSheetId="3">'Transmission Calculations'!$C$5:$C$205</definedName>
    <definedName name="Data__1_6" localSheetId="3">'Transmission Calculations'!$C$5:$C$205</definedName>
    <definedName name="Data__2" localSheetId="3">'Transmission Calculations'!$F$5:$F$205</definedName>
    <definedName name="Data__2_1" localSheetId="3">'Transmission Calculations'!$F$5:$F$205</definedName>
    <definedName name="Data__2_2" localSheetId="3">'Transmission Calculations'!$F$5:$F$205</definedName>
    <definedName name="Data__2_3" localSheetId="3">'Transmission Calculations'!$F$5:$F$205</definedName>
    <definedName name="Data__2_4" localSheetId="3">'Transmission Calculations'!$F$5:$F$205</definedName>
    <definedName name="Data__3" localSheetId="3">'Transmission Calculations'!$I$5:$I$205</definedName>
    <definedName name="Data__3_1" localSheetId="3">'Transmission Calculations'!$I$5:$I$205</definedName>
    <definedName name="Data__3_2" localSheetId="3">'Transmission Calculations'!$I$5:$I$205</definedName>
    <definedName name="Data__3_3" localSheetId="3">'Transmission Calculations'!$I$5:$I$85</definedName>
    <definedName name="Data__3_4" localSheetId="3">'Transmission Calculations'!#REF!</definedName>
    <definedName name="Data__3_5" localSheetId="3">'Transmission Calculations'!$I$5:$I$205</definedName>
    <definedName name="Data__3_6" localSheetId="3">'Transmission Calculations'!$I$5:$I$205</definedName>
    <definedName name="illa" localSheetId="4">'Spectral Functions'!#REF!</definedName>
    <definedName name="illa_1" localSheetId="4">'Spectral Functions'!$J$3:$J$203</definedName>
    <definedName name="New_Text_Document" localSheetId="4">'Spectral Functions'!$P$3:$Q$26</definedName>
    <definedName name="_xlnm.Print_Area" localSheetId="0">REPORT!$A$1:$G$250</definedName>
  </definedNames>
  <calcPr calcId="152511"/>
</workbook>
</file>

<file path=xl/calcChain.xml><?xml version="1.0" encoding="utf-8"?>
<calcChain xmlns="http://schemas.openxmlformats.org/spreadsheetml/2006/main">
  <c r="D242" i="5" l="1"/>
  <c r="D232" i="5"/>
  <c r="C215" i="5" l="1"/>
  <c r="C209" i="5"/>
  <c r="D194" i="5" l="1"/>
  <c r="D193" i="5"/>
  <c r="AF204" i="7" l="1"/>
  <c r="E16" i="8"/>
  <c r="D143" i="4"/>
  <c r="G143" i="4"/>
  <c r="J143" i="4"/>
  <c r="D145" i="4"/>
  <c r="G145" i="4"/>
  <c r="J145" i="4"/>
  <c r="D131" i="4"/>
  <c r="G131" i="4"/>
  <c r="J131" i="4"/>
  <c r="D25" i="4"/>
  <c r="G25" i="4"/>
  <c r="J25" i="4"/>
  <c r="D26" i="4"/>
  <c r="G26" i="4"/>
  <c r="J26" i="4"/>
  <c r="D27" i="4"/>
  <c r="G27" i="4"/>
  <c r="J27" i="4"/>
  <c r="D28" i="4"/>
  <c r="G28" i="4"/>
  <c r="J28" i="4"/>
  <c r="D29" i="4"/>
  <c r="G29" i="4"/>
  <c r="J29" i="4"/>
  <c r="D30" i="4"/>
  <c r="G30" i="4"/>
  <c r="J30" i="4"/>
  <c r="D31" i="4"/>
  <c r="G31" i="4"/>
  <c r="J31" i="4"/>
  <c r="D32" i="4"/>
  <c r="G32" i="4"/>
  <c r="J32" i="4"/>
  <c r="D33" i="4"/>
  <c r="G33" i="4"/>
  <c r="J33" i="4"/>
  <c r="D34" i="4"/>
  <c r="G34" i="4"/>
  <c r="J34" i="4"/>
  <c r="D35" i="4"/>
  <c r="G35" i="4"/>
  <c r="J35" i="4"/>
  <c r="D36" i="4"/>
  <c r="G36" i="4"/>
  <c r="J36" i="4"/>
  <c r="D37" i="4"/>
  <c r="G37" i="4"/>
  <c r="J37" i="4"/>
  <c r="D38" i="4"/>
  <c r="G38" i="4"/>
  <c r="J38" i="4"/>
  <c r="D39" i="4"/>
  <c r="G39" i="4"/>
  <c r="J39" i="4"/>
  <c r="D40" i="4"/>
  <c r="G40" i="4"/>
  <c r="J40" i="4"/>
  <c r="D41" i="4"/>
  <c r="G41" i="4"/>
  <c r="J41" i="4"/>
  <c r="D42" i="4"/>
  <c r="G42" i="4"/>
  <c r="J42" i="4"/>
  <c r="D43" i="4"/>
  <c r="G43" i="4"/>
  <c r="J43" i="4"/>
  <c r="D44" i="4"/>
  <c r="G44" i="4"/>
  <c r="J44" i="4"/>
  <c r="D45" i="4"/>
  <c r="G45" i="4"/>
  <c r="J45" i="4"/>
  <c r="D46" i="4"/>
  <c r="G46" i="4"/>
  <c r="J46" i="4"/>
  <c r="D47" i="4"/>
  <c r="G47" i="4"/>
  <c r="J47" i="4"/>
  <c r="D48" i="4"/>
  <c r="G48" i="4"/>
  <c r="J48" i="4"/>
  <c r="D49" i="4"/>
  <c r="G49" i="4"/>
  <c r="J49" i="4"/>
  <c r="D50" i="4"/>
  <c r="G50" i="4"/>
  <c r="J50" i="4"/>
  <c r="D51" i="4"/>
  <c r="G51" i="4"/>
  <c r="J51" i="4"/>
  <c r="D52" i="4"/>
  <c r="G52" i="4"/>
  <c r="J52" i="4"/>
  <c r="D53" i="4"/>
  <c r="G53" i="4"/>
  <c r="J53" i="4"/>
  <c r="D54" i="4"/>
  <c r="G54" i="4"/>
  <c r="J54" i="4"/>
  <c r="D55" i="4"/>
  <c r="G55" i="4"/>
  <c r="J55" i="4"/>
  <c r="D56" i="4"/>
  <c r="G56" i="4"/>
  <c r="J56" i="4"/>
  <c r="D57" i="4"/>
  <c r="G57" i="4"/>
  <c r="J57" i="4"/>
  <c r="D58" i="4"/>
  <c r="G58" i="4"/>
  <c r="J58" i="4"/>
  <c r="D59" i="4"/>
  <c r="G59" i="4"/>
  <c r="J59" i="4"/>
  <c r="D60" i="4"/>
  <c r="G60" i="4"/>
  <c r="J60" i="4"/>
  <c r="D61" i="4"/>
  <c r="G61" i="4"/>
  <c r="J61" i="4"/>
  <c r="D62" i="4"/>
  <c r="G62" i="4"/>
  <c r="J62" i="4"/>
  <c r="D63" i="4"/>
  <c r="G63" i="4"/>
  <c r="J63" i="4"/>
  <c r="D64" i="4"/>
  <c r="G64" i="4"/>
  <c r="J64" i="4"/>
  <c r="D65" i="4"/>
  <c r="G65" i="4"/>
  <c r="J65" i="4"/>
  <c r="D66" i="4"/>
  <c r="G66" i="4"/>
  <c r="J66" i="4"/>
  <c r="D67" i="4"/>
  <c r="G67" i="4"/>
  <c r="J67" i="4"/>
  <c r="D68" i="4"/>
  <c r="G68" i="4"/>
  <c r="J68" i="4"/>
  <c r="D69" i="4"/>
  <c r="G69" i="4"/>
  <c r="J69" i="4"/>
  <c r="D70" i="4"/>
  <c r="G70" i="4"/>
  <c r="J70" i="4"/>
  <c r="D71" i="4"/>
  <c r="G71" i="4"/>
  <c r="J71" i="4"/>
  <c r="D72" i="4"/>
  <c r="G72" i="4"/>
  <c r="J72" i="4"/>
  <c r="D73" i="4"/>
  <c r="G73" i="4"/>
  <c r="J73" i="4"/>
  <c r="D74" i="4"/>
  <c r="G74" i="4"/>
  <c r="J74" i="4"/>
  <c r="D75" i="4"/>
  <c r="G75" i="4"/>
  <c r="J75" i="4"/>
  <c r="D76" i="4"/>
  <c r="G76" i="4"/>
  <c r="J76" i="4"/>
  <c r="D77" i="4"/>
  <c r="G77" i="4"/>
  <c r="J77" i="4"/>
  <c r="D78" i="4"/>
  <c r="G78" i="4"/>
  <c r="J78" i="4"/>
  <c r="D79" i="4"/>
  <c r="G79" i="4"/>
  <c r="J79" i="4"/>
  <c r="D80" i="4"/>
  <c r="G80" i="4"/>
  <c r="J80" i="4"/>
  <c r="D81" i="4"/>
  <c r="G81" i="4"/>
  <c r="J81" i="4"/>
  <c r="D82" i="4"/>
  <c r="G82" i="4"/>
  <c r="J82" i="4"/>
  <c r="D83" i="4"/>
  <c r="G83" i="4"/>
  <c r="J83" i="4"/>
  <c r="D84" i="4"/>
  <c r="G84" i="4"/>
  <c r="J84" i="4"/>
  <c r="D85" i="4"/>
  <c r="G85" i="4"/>
  <c r="J85" i="4"/>
  <c r="D86" i="4"/>
  <c r="G86" i="4"/>
  <c r="J86" i="4"/>
  <c r="D87" i="4"/>
  <c r="G87" i="4"/>
  <c r="J87" i="4"/>
  <c r="D88" i="4"/>
  <c r="G88" i="4"/>
  <c r="J88" i="4"/>
  <c r="D89" i="4"/>
  <c r="G89" i="4"/>
  <c r="J89" i="4"/>
  <c r="D90" i="4"/>
  <c r="G90" i="4"/>
  <c r="J90" i="4"/>
  <c r="D91" i="4"/>
  <c r="G91" i="4"/>
  <c r="J91" i="4"/>
  <c r="D92" i="4"/>
  <c r="G92" i="4"/>
  <c r="J92" i="4"/>
  <c r="D93" i="4"/>
  <c r="G93" i="4"/>
  <c r="J93" i="4"/>
  <c r="D94" i="4"/>
  <c r="G94" i="4"/>
  <c r="J94" i="4"/>
  <c r="D95" i="4"/>
  <c r="G95" i="4"/>
  <c r="J95" i="4"/>
  <c r="D96" i="4"/>
  <c r="G96" i="4"/>
  <c r="J96" i="4"/>
  <c r="D97" i="4"/>
  <c r="G97" i="4"/>
  <c r="J97" i="4"/>
  <c r="D98" i="4"/>
  <c r="G98" i="4"/>
  <c r="J98" i="4"/>
  <c r="D99" i="4"/>
  <c r="G99" i="4"/>
  <c r="J99" i="4"/>
  <c r="D100" i="4"/>
  <c r="G100" i="4"/>
  <c r="J100" i="4"/>
  <c r="D101" i="4"/>
  <c r="G101" i="4"/>
  <c r="J101" i="4"/>
  <c r="D102" i="4"/>
  <c r="G102" i="4"/>
  <c r="J102" i="4"/>
  <c r="D103" i="4"/>
  <c r="G103" i="4"/>
  <c r="J103" i="4"/>
  <c r="D104" i="4"/>
  <c r="G104" i="4"/>
  <c r="J104" i="4"/>
  <c r="D105" i="4"/>
  <c r="G105" i="4"/>
  <c r="J105" i="4"/>
  <c r="D106" i="4"/>
  <c r="G106" i="4"/>
  <c r="J106" i="4"/>
  <c r="D107" i="4"/>
  <c r="G107" i="4"/>
  <c r="J107" i="4"/>
  <c r="D108" i="4"/>
  <c r="G108" i="4"/>
  <c r="J108" i="4"/>
  <c r="D109" i="4"/>
  <c r="G109" i="4"/>
  <c r="J109" i="4"/>
  <c r="D110" i="4"/>
  <c r="G110" i="4"/>
  <c r="J110" i="4"/>
  <c r="D111" i="4"/>
  <c r="G111" i="4"/>
  <c r="J111" i="4"/>
  <c r="D112" i="4"/>
  <c r="G112" i="4"/>
  <c r="J112" i="4"/>
  <c r="D113" i="4"/>
  <c r="G113" i="4"/>
  <c r="J113" i="4"/>
  <c r="D114" i="4"/>
  <c r="G114" i="4"/>
  <c r="J114" i="4"/>
  <c r="D115" i="4"/>
  <c r="G115" i="4"/>
  <c r="J115" i="4"/>
  <c r="D116" i="4"/>
  <c r="G116" i="4"/>
  <c r="J116" i="4"/>
  <c r="D117" i="4"/>
  <c r="G117" i="4"/>
  <c r="J117" i="4"/>
  <c r="D118" i="4"/>
  <c r="G118" i="4"/>
  <c r="J118" i="4"/>
  <c r="D119" i="4"/>
  <c r="G119" i="4"/>
  <c r="J119" i="4"/>
  <c r="D120" i="4"/>
  <c r="G120" i="4"/>
  <c r="J120" i="4"/>
  <c r="D121" i="4"/>
  <c r="G121" i="4"/>
  <c r="J121" i="4"/>
  <c r="D122" i="4"/>
  <c r="G122" i="4"/>
  <c r="J122" i="4"/>
  <c r="D123" i="4"/>
  <c r="G123" i="4"/>
  <c r="J123" i="4"/>
  <c r="D124" i="4"/>
  <c r="G124" i="4"/>
  <c r="J124" i="4"/>
  <c r="D125" i="4"/>
  <c r="G125" i="4"/>
  <c r="J125" i="4"/>
  <c r="D126" i="4"/>
  <c r="G126" i="4"/>
  <c r="J126" i="4"/>
  <c r="D127" i="4"/>
  <c r="G127" i="4"/>
  <c r="J127" i="4"/>
  <c r="D128" i="4"/>
  <c r="G128" i="4"/>
  <c r="J128" i="4"/>
  <c r="D129" i="4"/>
  <c r="G129" i="4"/>
  <c r="J129" i="4"/>
  <c r="D130" i="4"/>
  <c r="G130" i="4"/>
  <c r="J130" i="4"/>
  <c r="D132" i="4"/>
  <c r="G132" i="4"/>
  <c r="J132" i="4"/>
  <c r="D133" i="4"/>
  <c r="G133" i="4"/>
  <c r="J133" i="4"/>
  <c r="D134" i="4"/>
  <c r="G134" i="4"/>
  <c r="J134" i="4"/>
  <c r="D135" i="4"/>
  <c r="G135" i="4"/>
  <c r="J135" i="4"/>
  <c r="D136" i="4"/>
  <c r="G136" i="4"/>
  <c r="J136" i="4"/>
  <c r="D137" i="4"/>
  <c r="G137" i="4"/>
  <c r="J137" i="4"/>
  <c r="D138" i="4"/>
  <c r="G138" i="4"/>
  <c r="J138" i="4"/>
  <c r="D139" i="4"/>
  <c r="G139" i="4"/>
  <c r="J139" i="4"/>
  <c r="D140" i="4"/>
  <c r="G140" i="4"/>
  <c r="J140" i="4"/>
  <c r="D141" i="4"/>
  <c r="G141" i="4"/>
  <c r="J141" i="4"/>
  <c r="D142" i="4"/>
  <c r="G142" i="4"/>
  <c r="J142" i="4"/>
  <c r="D146" i="4"/>
  <c r="G146" i="4"/>
  <c r="J146" i="4"/>
  <c r="D147" i="4"/>
  <c r="G147" i="4"/>
  <c r="J147" i="4"/>
  <c r="D148" i="4"/>
  <c r="G148" i="4"/>
  <c r="J148" i="4"/>
  <c r="D149" i="4"/>
  <c r="G149" i="4"/>
  <c r="J149" i="4"/>
  <c r="D150" i="4"/>
  <c r="G150" i="4"/>
  <c r="J150" i="4"/>
  <c r="D151" i="4"/>
  <c r="G151" i="4"/>
  <c r="J151" i="4"/>
  <c r="D152" i="4"/>
  <c r="G152" i="4"/>
  <c r="J152" i="4"/>
  <c r="D153" i="4"/>
  <c r="G153" i="4"/>
  <c r="J153" i="4"/>
  <c r="D154" i="4"/>
  <c r="G154" i="4"/>
  <c r="J154" i="4"/>
  <c r="D155" i="4"/>
  <c r="G155" i="4"/>
  <c r="J155" i="4"/>
  <c r="D156" i="4"/>
  <c r="G156" i="4"/>
  <c r="J156" i="4"/>
  <c r="D157" i="4"/>
  <c r="G157" i="4"/>
  <c r="J157" i="4"/>
  <c r="D158" i="4"/>
  <c r="G158" i="4"/>
  <c r="J158" i="4"/>
  <c r="D159" i="4"/>
  <c r="G159" i="4"/>
  <c r="J159" i="4"/>
  <c r="D160" i="4"/>
  <c r="G160" i="4"/>
  <c r="J160" i="4"/>
  <c r="D161" i="4"/>
  <c r="G161" i="4"/>
  <c r="J161" i="4"/>
  <c r="D162" i="4"/>
  <c r="G162" i="4"/>
  <c r="J162" i="4"/>
  <c r="D163" i="4"/>
  <c r="G163" i="4"/>
  <c r="J163" i="4"/>
  <c r="D164" i="4"/>
  <c r="G164" i="4"/>
  <c r="J164" i="4"/>
  <c r="D165" i="4"/>
  <c r="G165" i="4"/>
  <c r="J165" i="4"/>
  <c r="D166" i="4"/>
  <c r="G166" i="4"/>
  <c r="J166" i="4"/>
  <c r="D167" i="4"/>
  <c r="G167" i="4"/>
  <c r="J167" i="4"/>
  <c r="D168" i="4"/>
  <c r="G168" i="4"/>
  <c r="J168" i="4"/>
  <c r="D169" i="4"/>
  <c r="G169" i="4"/>
  <c r="J169" i="4"/>
  <c r="D170" i="4"/>
  <c r="G170" i="4"/>
  <c r="J170" i="4"/>
  <c r="D171" i="4"/>
  <c r="G171" i="4"/>
  <c r="J171" i="4"/>
  <c r="D172" i="4"/>
  <c r="G172" i="4"/>
  <c r="J172" i="4"/>
  <c r="D173" i="4"/>
  <c r="G173" i="4"/>
  <c r="J173" i="4"/>
  <c r="D174" i="4"/>
  <c r="G174" i="4"/>
  <c r="J174" i="4"/>
  <c r="D175" i="4"/>
  <c r="G175" i="4"/>
  <c r="J175" i="4"/>
  <c r="D176" i="4"/>
  <c r="G176" i="4"/>
  <c r="J176" i="4"/>
  <c r="D177" i="4"/>
  <c r="G177" i="4"/>
  <c r="J177" i="4"/>
  <c r="D178" i="4"/>
  <c r="G178" i="4"/>
  <c r="J178" i="4"/>
  <c r="D179" i="4"/>
  <c r="G179" i="4"/>
  <c r="J179" i="4"/>
  <c r="D180" i="4"/>
  <c r="G180" i="4"/>
  <c r="J180" i="4"/>
  <c r="D181" i="4"/>
  <c r="G181" i="4"/>
  <c r="J181" i="4"/>
  <c r="D182" i="4"/>
  <c r="G182" i="4"/>
  <c r="J182" i="4"/>
  <c r="D183" i="4"/>
  <c r="G183" i="4"/>
  <c r="J183" i="4"/>
  <c r="D184" i="4"/>
  <c r="G184" i="4"/>
  <c r="J184" i="4"/>
  <c r="D185" i="4"/>
  <c r="G185" i="4"/>
  <c r="J185" i="4"/>
  <c r="D186" i="4"/>
  <c r="G186" i="4"/>
  <c r="J186" i="4"/>
  <c r="D187" i="4"/>
  <c r="G187" i="4"/>
  <c r="J187" i="4"/>
  <c r="D188" i="4"/>
  <c r="G188" i="4"/>
  <c r="J188" i="4"/>
  <c r="D189" i="4"/>
  <c r="G189" i="4"/>
  <c r="J189" i="4"/>
  <c r="D190" i="4"/>
  <c r="G190" i="4"/>
  <c r="J190" i="4"/>
  <c r="D191" i="4"/>
  <c r="G191" i="4"/>
  <c r="J191" i="4"/>
  <c r="D192" i="4"/>
  <c r="G192" i="4"/>
  <c r="J192" i="4"/>
  <c r="D193" i="4"/>
  <c r="G193" i="4"/>
  <c r="J193" i="4"/>
  <c r="D194" i="4"/>
  <c r="G194" i="4"/>
  <c r="J194" i="4"/>
  <c r="D195" i="4"/>
  <c r="G195" i="4"/>
  <c r="J195" i="4"/>
  <c r="D196" i="4"/>
  <c r="G196" i="4"/>
  <c r="J196" i="4"/>
  <c r="D197" i="4"/>
  <c r="G197" i="4"/>
  <c r="J197" i="4"/>
  <c r="D198" i="4"/>
  <c r="G198" i="4"/>
  <c r="J198" i="4"/>
  <c r="D199" i="4"/>
  <c r="G199" i="4"/>
  <c r="J199" i="4"/>
  <c r="D200" i="4"/>
  <c r="G200" i="4"/>
  <c r="J200" i="4"/>
  <c r="D201" i="4"/>
  <c r="G201" i="4"/>
  <c r="J201" i="4"/>
  <c r="D202" i="4"/>
  <c r="G202" i="4"/>
  <c r="J202" i="4"/>
  <c r="D203" i="4"/>
  <c r="G203" i="4"/>
  <c r="J203" i="4"/>
  <c r="D204" i="4"/>
  <c r="G204" i="4"/>
  <c r="J204" i="4"/>
  <c r="D205" i="4"/>
  <c r="G205" i="4"/>
  <c r="J205" i="4"/>
  <c r="D24" i="4"/>
  <c r="G24" i="4"/>
  <c r="J24" i="4"/>
  <c r="D6" i="4"/>
  <c r="G6" i="4"/>
  <c r="J6" i="4"/>
  <c r="D7" i="4"/>
  <c r="G7" i="4"/>
  <c r="J7" i="4"/>
  <c r="D8" i="4"/>
  <c r="G8" i="4"/>
  <c r="J8" i="4"/>
  <c r="D9" i="4"/>
  <c r="G9" i="4"/>
  <c r="J9" i="4"/>
  <c r="D10" i="4"/>
  <c r="G10" i="4"/>
  <c r="J10" i="4"/>
  <c r="D11" i="4"/>
  <c r="G11" i="4"/>
  <c r="J11" i="4"/>
  <c r="D12" i="4"/>
  <c r="G12" i="4"/>
  <c r="J12" i="4"/>
  <c r="D13" i="4"/>
  <c r="G13" i="4"/>
  <c r="J13" i="4"/>
  <c r="D14" i="4"/>
  <c r="G14" i="4"/>
  <c r="J14" i="4"/>
  <c r="D15" i="4"/>
  <c r="G15" i="4"/>
  <c r="J15" i="4"/>
  <c r="D16" i="4"/>
  <c r="G16" i="4"/>
  <c r="J16" i="4"/>
  <c r="D17" i="4"/>
  <c r="G17" i="4"/>
  <c r="J17" i="4"/>
  <c r="D18" i="4"/>
  <c r="G18" i="4"/>
  <c r="J18" i="4"/>
  <c r="D19" i="4"/>
  <c r="G19" i="4"/>
  <c r="J19" i="4"/>
  <c r="D20" i="4"/>
  <c r="G20" i="4"/>
  <c r="J20" i="4"/>
  <c r="D21" i="4"/>
  <c r="G21" i="4"/>
  <c r="J21" i="4"/>
  <c r="D22" i="4"/>
  <c r="G22" i="4"/>
  <c r="J22" i="4"/>
  <c r="D23" i="4"/>
  <c r="G23" i="4"/>
  <c r="J23" i="4"/>
  <c r="D5" i="4"/>
  <c r="G5" i="4"/>
  <c r="J5" i="4"/>
  <c r="D144" i="4"/>
  <c r="G144" i="4"/>
  <c r="J144" i="4"/>
  <c r="V3" i="7"/>
  <c r="V4" i="7"/>
  <c r="V5" i="7"/>
  <c r="V6" i="7"/>
  <c r="V7" i="7"/>
  <c r="V8" i="7"/>
  <c r="V9" i="7"/>
  <c r="V10" i="7"/>
  <c r="V11" i="7"/>
  <c r="V12" i="7"/>
  <c r="V13" i="7"/>
  <c r="V14" i="7"/>
  <c r="V15" i="7"/>
  <c r="V16" i="7"/>
  <c r="V17" i="7"/>
  <c r="V18" i="7"/>
  <c r="V19" i="7"/>
  <c r="V20" i="7"/>
  <c r="V21" i="7"/>
  <c r="V22" i="7"/>
  <c r="V23" i="7"/>
  <c r="V24" i="7"/>
  <c r="V25" i="7"/>
  <c r="V26" i="7"/>
  <c r="V27" i="7"/>
  <c r="V28" i="7"/>
  <c r="V29" i="7"/>
  <c r="V30" i="7"/>
  <c r="V31" i="7"/>
  <c r="V32" i="7"/>
  <c r="V33" i="7"/>
  <c r="V34" i="7"/>
  <c r="V35" i="7"/>
  <c r="V36" i="7"/>
  <c r="V37" i="7"/>
  <c r="V38" i="7"/>
  <c r="V39" i="7"/>
  <c r="V40" i="7"/>
  <c r="V41" i="7"/>
  <c r="V42" i="7"/>
  <c r="V43" i="7"/>
  <c r="V44" i="7"/>
  <c r="V45" i="7"/>
  <c r="V46" i="7"/>
  <c r="V47" i="7"/>
  <c r="V48" i="7"/>
  <c r="V49" i="7"/>
  <c r="V50" i="7"/>
  <c r="V51" i="7"/>
  <c r="V52" i="7"/>
  <c r="V53" i="7"/>
  <c r="V54" i="7"/>
  <c r="V55" i="7"/>
  <c r="V56" i="7"/>
  <c r="V57" i="7"/>
  <c r="V58" i="7"/>
  <c r="V59" i="7"/>
  <c r="V60" i="7"/>
  <c r="V61" i="7"/>
  <c r="V62" i="7"/>
  <c r="V63" i="7"/>
  <c r="V68" i="7"/>
  <c r="V73" i="7"/>
  <c r="V78" i="7"/>
  <c r="V83" i="7"/>
  <c r="V88" i="7"/>
  <c r="V93" i="7"/>
  <c r="V98" i="7"/>
  <c r="V103" i="7"/>
  <c r="V108" i="7"/>
  <c r="V113" i="7"/>
  <c r="V118" i="7"/>
  <c r="V123" i="7"/>
  <c r="V128" i="7"/>
  <c r="V133" i="7"/>
  <c r="V138" i="7"/>
  <c r="V143" i="7"/>
  <c r="V148" i="7"/>
  <c r="V153" i="7"/>
  <c r="V154" i="7"/>
  <c r="V155" i="7"/>
  <c r="V156" i="7"/>
  <c r="V157" i="7"/>
  <c r="V158" i="7"/>
  <c r="V159" i="7"/>
  <c r="V160" i="7"/>
  <c r="V161" i="7"/>
  <c r="V162" i="7"/>
  <c r="V163" i="7"/>
  <c r="V164" i="7"/>
  <c r="V165" i="7"/>
  <c r="V166" i="7"/>
  <c r="V167" i="7"/>
  <c r="V168" i="7"/>
  <c r="V173" i="7"/>
  <c r="V178" i="7"/>
  <c r="V183" i="7"/>
  <c r="V188" i="7"/>
  <c r="V193" i="7"/>
  <c r="V198" i="7"/>
  <c r="V203" i="7"/>
  <c r="N3" i="7"/>
  <c r="N8" i="7"/>
  <c r="N13" i="7"/>
  <c r="N18" i="7"/>
  <c r="N23" i="7"/>
  <c r="N28" i="7"/>
  <c r="N33" i="7"/>
  <c r="N38" i="7"/>
  <c r="N43" i="7"/>
  <c r="N48" i="7"/>
  <c r="N53" i="7"/>
  <c r="N58" i="7"/>
  <c r="N63" i="7"/>
  <c r="N68" i="7"/>
  <c r="N73" i="7"/>
  <c r="N78" i="7"/>
  <c r="N83" i="7"/>
  <c r="N88" i="7"/>
  <c r="N93" i="7"/>
  <c r="N98" i="7"/>
  <c r="N103" i="7"/>
  <c r="N108" i="7"/>
  <c r="N113" i="7"/>
  <c r="N118" i="7"/>
  <c r="N123" i="7"/>
  <c r="N128" i="7"/>
  <c r="N133" i="7"/>
  <c r="N138" i="7"/>
  <c r="N143" i="7"/>
  <c r="N148" i="7"/>
  <c r="N153" i="7"/>
  <c r="N158" i="7"/>
  <c r="N163" i="7"/>
  <c r="N168" i="7"/>
  <c r="N173" i="7"/>
  <c r="N174" i="7"/>
  <c r="N175" i="7"/>
  <c r="N176" i="7"/>
  <c r="N177" i="7"/>
  <c r="N178" i="7"/>
  <c r="N179" i="7"/>
  <c r="N180" i="7"/>
  <c r="N181" i="7"/>
  <c r="N182" i="7"/>
  <c r="N183" i="7"/>
  <c r="N184" i="7"/>
  <c r="N185" i="7"/>
  <c r="N186" i="7"/>
  <c r="N187" i="7"/>
  <c r="N188" i="7"/>
  <c r="N189" i="7"/>
  <c r="N190" i="7"/>
  <c r="N191" i="7"/>
  <c r="N192" i="7"/>
  <c r="N193" i="7"/>
  <c r="N194" i="7"/>
  <c r="N195" i="7"/>
  <c r="N196" i="7"/>
  <c r="N197" i="7"/>
  <c r="N198" i="7"/>
  <c r="N203" i="7"/>
  <c r="AB3" i="7"/>
  <c r="AB4" i="7"/>
  <c r="AB5" i="7"/>
  <c r="AB6" i="7"/>
  <c r="AB7" i="7"/>
  <c r="AB8" i="7"/>
  <c r="AB9" i="7"/>
  <c r="AB10" i="7"/>
  <c r="AB11" i="7"/>
  <c r="AB12" i="7"/>
  <c r="AB13" i="7"/>
  <c r="AB14" i="7"/>
  <c r="AB15" i="7"/>
  <c r="AB16" i="7"/>
  <c r="AB17" i="7"/>
  <c r="AB18" i="7"/>
  <c r="AB19" i="7"/>
  <c r="AB20" i="7"/>
  <c r="AB21" i="7"/>
  <c r="AB22" i="7"/>
  <c r="AB23" i="7"/>
  <c r="AB24" i="7"/>
  <c r="AB25" i="7"/>
  <c r="AB26" i="7"/>
  <c r="AB27" i="7"/>
  <c r="AB28" i="7"/>
  <c r="AB29" i="7"/>
  <c r="AB30" i="7"/>
  <c r="AB31" i="7"/>
  <c r="AB32" i="7"/>
  <c r="AB33" i="7"/>
  <c r="AB34" i="7"/>
  <c r="AB35" i="7"/>
  <c r="AB36" i="7"/>
  <c r="AB37" i="7"/>
  <c r="AB38" i="7"/>
  <c r="AB39" i="7"/>
  <c r="AB40" i="7"/>
  <c r="AB41" i="7"/>
  <c r="AB42" i="7"/>
  <c r="AB43" i="7"/>
  <c r="AB44" i="7"/>
  <c r="AB45" i="7"/>
  <c r="AB46" i="7"/>
  <c r="AB47" i="7"/>
  <c r="AB48" i="7"/>
  <c r="AB49" i="7"/>
  <c r="AB50" i="7"/>
  <c r="AB51" i="7"/>
  <c r="AB52" i="7"/>
  <c r="AB53" i="7"/>
  <c r="AB54" i="7"/>
  <c r="AB55" i="7"/>
  <c r="AB56" i="7"/>
  <c r="AB57" i="7"/>
  <c r="AB58" i="7"/>
  <c r="AB59" i="7"/>
  <c r="AB60" i="7"/>
  <c r="AB61" i="7"/>
  <c r="AB62" i="7"/>
  <c r="AB63" i="7"/>
  <c r="AB64" i="7"/>
  <c r="AB65" i="7"/>
  <c r="AB66" i="7"/>
  <c r="AB67" i="7"/>
  <c r="AB68" i="7"/>
  <c r="AB69" i="7"/>
  <c r="AB70" i="7"/>
  <c r="AB71" i="7"/>
  <c r="AB72" i="7"/>
  <c r="AB73" i="7"/>
  <c r="AB74" i="7"/>
  <c r="AB75" i="7"/>
  <c r="AB76" i="7"/>
  <c r="AB77" i="7"/>
  <c r="AB78" i="7"/>
  <c r="AB79" i="7"/>
  <c r="AB80" i="7"/>
  <c r="AB81" i="7"/>
  <c r="AB82" i="7"/>
  <c r="AB83" i="7"/>
  <c r="AB84" i="7"/>
  <c r="AB85" i="7"/>
  <c r="AB86" i="7"/>
  <c r="AB87" i="7"/>
  <c r="AB88" i="7"/>
  <c r="AB89" i="7"/>
  <c r="AB90" i="7"/>
  <c r="AB91" i="7"/>
  <c r="AB92" i="7"/>
  <c r="AB93" i="7"/>
  <c r="AB94" i="7"/>
  <c r="AB95" i="7"/>
  <c r="AB96" i="7"/>
  <c r="AB97" i="7"/>
  <c r="AB98" i="7"/>
  <c r="AB99" i="7"/>
  <c r="AB100" i="7"/>
  <c r="AB101" i="7"/>
  <c r="AB102" i="7"/>
  <c r="AB103" i="7"/>
  <c r="AB104" i="7"/>
  <c r="AB105" i="7"/>
  <c r="AB106" i="7"/>
  <c r="AB107" i="7"/>
  <c r="AB108" i="7"/>
  <c r="AB113" i="7"/>
  <c r="AB118" i="7"/>
  <c r="AB123" i="7"/>
  <c r="AB128" i="7"/>
  <c r="AB133" i="7"/>
  <c r="AB138" i="7"/>
  <c r="AB143" i="7"/>
  <c r="AB148" i="7"/>
  <c r="AB153" i="7"/>
  <c r="AB158" i="7"/>
  <c r="AB163" i="7"/>
  <c r="AB168" i="7"/>
  <c r="AB173" i="7"/>
  <c r="AB178" i="7"/>
  <c r="AB183" i="7"/>
  <c r="AB188" i="7"/>
  <c r="AB193" i="7"/>
  <c r="AB198" i="7"/>
  <c r="AB203" i="7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O96" i="4"/>
  <c r="O97" i="4"/>
  <c r="O98" i="4"/>
  <c r="O99" i="4"/>
  <c r="O100" i="4"/>
  <c r="O101" i="4"/>
  <c r="O102" i="4"/>
  <c r="O103" i="4"/>
  <c r="O104" i="4"/>
  <c r="O105" i="4"/>
  <c r="O106" i="4"/>
  <c r="O107" i="4"/>
  <c r="O108" i="4"/>
  <c r="O109" i="4"/>
  <c r="O110" i="4"/>
  <c r="O111" i="4"/>
  <c r="O112" i="4"/>
  <c r="O113" i="4"/>
  <c r="O114" i="4"/>
  <c r="O115" i="4"/>
  <c r="O116" i="4"/>
  <c r="O117" i="4"/>
  <c r="O118" i="4"/>
  <c r="O119" i="4"/>
  <c r="O120" i="4"/>
  <c r="O121" i="4"/>
  <c r="O122" i="4"/>
  <c r="O123" i="4"/>
  <c r="O124" i="4"/>
  <c r="O125" i="4"/>
  <c r="O126" i="4"/>
  <c r="O127" i="4"/>
  <c r="O128" i="4"/>
  <c r="O129" i="4"/>
  <c r="O130" i="4"/>
  <c r="O131" i="4"/>
  <c r="O132" i="4"/>
  <c r="O133" i="4"/>
  <c r="O134" i="4"/>
  <c r="O135" i="4"/>
  <c r="O136" i="4"/>
  <c r="O137" i="4"/>
  <c r="O138" i="4"/>
  <c r="O139" i="4"/>
  <c r="O140" i="4"/>
  <c r="O141" i="4"/>
  <c r="O142" i="4"/>
  <c r="O143" i="4"/>
  <c r="O144" i="4"/>
  <c r="O145" i="4"/>
  <c r="O146" i="4"/>
  <c r="O147" i="4"/>
  <c r="O148" i="4"/>
  <c r="O149" i="4"/>
  <c r="O150" i="4"/>
  <c r="O151" i="4"/>
  <c r="O152" i="4"/>
  <c r="O153" i="4"/>
  <c r="O154" i="4"/>
  <c r="O155" i="4"/>
  <c r="O156" i="4"/>
  <c r="O157" i="4"/>
  <c r="O158" i="4"/>
  <c r="O159" i="4"/>
  <c r="O160" i="4"/>
  <c r="O161" i="4"/>
  <c r="O162" i="4"/>
  <c r="O163" i="4"/>
  <c r="O164" i="4"/>
  <c r="O165" i="4"/>
  <c r="O166" i="4"/>
  <c r="O167" i="4"/>
  <c r="O168" i="4"/>
  <c r="O169" i="4"/>
  <c r="O170" i="4"/>
  <c r="O171" i="4"/>
  <c r="O172" i="4"/>
  <c r="O173" i="4"/>
  <c r="O174" i="4"/>
  <c r="O175" i="4"/>
  <c r="O176" i="4"/>
  <c r="O177" i="4"/>
  <c r="O178" i="4"/>
  <c r="O179" i="4"/>
  <c r="O180" i="4"/>
  <c r="O181" i="4"/>
  <c r="O182" i="4"/>
  <c r="O183" i="4"/>
  <c r="O184" i="4"/>
  <c r="O185" i="4"/>
  <c r="O186" i="4"/>
  <c r="O187" i="4"/>
  <c r="O188" i="4"/>
  <c r="O189" i="4"/>
  <c r="O190" i="4"/>
  <c r="O191" i="4"/>
  <c r="O192" i="4"/>
  <c r="O193" i="4"/>
  <c r="O194" i="4"/>
  <c r="O195" i="4"/>
  <c r="O196" i="4"/>
  <c r="O197" i="4"/>
  <c r="O198" i="4"/>
  <c r="O199" i="4"/>
  <c r="O200" i="4"/>
  <c r="O201" i="4"/>
  <c r="O202" i="4"/>
  <c r="O203" i="4"/>
  <c r="O204" i="4"/>
  <c r="O205" i="4"/>
  <c r="AZ3" i="7"/>
  <c r="AZ4" i="7"/>
  <c r="AZ5" i="7"/>
  <c r="AZ6" i="7"/>
  <c r="AZ7" i="7"/>
  <c r="AZ8" i="7"/>
  <c r="AZ9" i="7"/>
  <c r="AZ10" i="7"/>
  <c r="AZ11" i="7"/>
  <c r="AZ12" i="7"/>
  <c r="AZ13" i="7"/>
  <c r="AZ14" i="7"/>
  <c r="AZ15" i="7"/>
  <c r="AZ16" i="7"/>
  <c r="AZ17" i="7"/>
  <c r="AZ18" i="7"/>
  <c r="AZ19" i="7"/>
  <c r="AZ20" i="7"/>
  <c r="AZ21" i="7"/>
  <c r="AZ22" i="7"/>
  <c r="AZ23" i="7"/>
  <c r="AZ24" i="7"/>
  <c r="AZ25" i="7"/>
  <c r="AZ26" i="7"/>
  <c r="AZ27" i="7"/>
  <c r="AZ28" i="7"/>
  <c r="AZ29" i="7"/>
  <c r="AZ30" i="7"/>
  <c r="AZ31" i="7"/>
  <c r="AZ32" i="7"/>
  <c r="AZ33" i="7"/>
  <c r="AZ34" i="7"/>
  <c r="AZ35" i="7"/>
  <c r="AZ36" i="7"/>
  <c r="AZ37" i="7"/>
  <c r="AZ38" i="7"/>
  <c r="AZ39" i="7"/>
  <c r="AZ40" i="7"/>
  <c r="AZ41" i="7"/>
  <c r="AZ42" i="7"/>
  <c r="AZ43" i="7"/>
  <c r="AZ44" i="7"/>
  <c r="AZ45" i="7"/>
  <c r="AZ46" i="7"/>
  <c r="AZ47" i="7"/>
  <c r="AZ48" i="7"/>
  <c r="AZ49" i="7"/>
  <c r="AZ50" i="7"/>
  <c r="AZ51" i="7"/>
  <c r="AZ52" i="7"/>
  <c r="AZ53" i="7"/>
  <c r="AZ54" i="7"/>
  <c r="AZ55" i="7"/>
  <c r="AZ56" i="7"/>
  <c r="AZ57" i="7"/>
  <c r="AZ58" i="7"/>
  <c r="AZ59" i="7"/>
  <c r="AZ60" i="7"/>
  <c r="AZ61" i="7"/>
  <c r="AZ62" i="7"/>
  <c r="AZ63" i="7"/>
  <c r="AZ64" i="7"/>
  <c r="AZ65" i="7"/>
  <c r="AZ66" i="7"/>
  <c r="AZ67" i="7"/>
  <c r="AZ68" i="7"/>
  <c r="AZ69" i="7"/>
  <c r="AZ70" i="7"/>
  <c r="AZ71" i="7"/>
  <c r="AZ72" i="7"/>
  <c r="AZ73" i="7"/>
  <c r="AZ74" i="7"/>
  <c r="AZ75" i="7"/>
  <c r="AZ76" i="7"/>
  <c r="AZ77" i="7"/>
  <c r="AZ78" i="7"/>
  <c r="AZ79" i="7"/>
  <c r="AZ80" i="7"/>
  <c r="AZ81" i="7"/>
  <c r="AZ82" i="7"/>
  <c r="AZ83" i="7"/>
  <c r="AZ84" i="7"/>
  <c r="AZ85" i="7"/>
  <c r="N199" i="1"/>
  <c r="N169" i="1"/>
  <c r="N164" i="1"/>
  <c r="N165" i="1" s="1"/>
  <c r="N166" i="1" s="1"/>
  <c r="N166" i="7" s="1"/>
  <c r="N159" i="1"/>
  <c r="N160" i="1" s="1"/>
  <c r="N154" i="1"/>
  <c r="N154" i="7" s="1"/>
  <c r="N149" i="1"/>
  <c r="N144" i="1"/>
  <c r="N139" i="1"/>
  <c r="N139" i="7" s="1"/>
  <c r="N134" i="1"/>
  <c r="N129" i="1"/>
  <c r="N124" i="1"/>
  <c r="N124" i="7" s="1"/>
  <c r="N119" i="1"/>
  <c r="N120" i="1" s="1"/>
  <c r="N121" i="1" s="1"/>
  <c r="N122" i="1" s="1"/>
  <c r="N122" i="7" s="1"/>
  <c r="N114" i="1"/>
  <c r="N114" i="7" s="1"/>
  <c r="N109" i="1"/>
  <c r="N104" i="1"/>
  <c r="N105" i="1" s="1"/>
  <c r="N105" i="7" s="1"/>
  <c r="N99" i="1"/>
  <c r="N99" i="7" s="1"/>
  <c r="N94" i="1"/>
  <c r="N95" i="1" s="1"/>
  <c r="N95" i="7" s="1"/>
  <c r="N89" i="1"/>
  <c r="N90" i="1" s="1"/>
  <c r="N90" i="7" s="1"/>
  <c r="N84" i="1"/>
  <c r="N85" i="1" s="1"/>
  <c r="N85" i="7" s="1"/>
  <c r="N79" i="1"/>
  <c r="N80" i="1" s="1"/>
  <c r="N80" i="7" s="1"/>
  <c r="N74" i="1"/>
  <c r="N74" i="7" s="1"/>
  <c r="N69" i="1"/>
  <c r="N64" i="1"/>
  <c r="N59" i="1"/>
  <c r="N54" i="1"/>
  <c r="N54" i="7" s="1"/>
  <c r="N49" i="1"/>
  <c r="N50" i="1" s="1"/>
  <c r="N44" i="1"/>
  <c r="N45" i="1" s="1"/>
  <c r="N45" i="7" s="1"/>
  <c r="N39" i="1"/>
  <c r="N40" i="1" s="1"/>
  <c r="N40" i="7" s="1"/>
  <c r="N34" i="1"/>
  <c r="N34" i="7" s="1"/>
  <c r="N29" i="1"/>
  <c r="N24" i="1"/>
  <c r="N19" i="1"/>
  <c r="N19" i="7" s="1"/>
  <c r="N14" i="1"/>
  <c r="N14" i="7" s="1"/>
  <c r="N9" i="1"/>
  <c r="N10" i="1" s="1"/>
  <c r="N10" i="7" s="1"/>
  <c r="N4" i="1"/>
  <c r="N4" i="7" s="1"/>
  <c r="M199" i="1"/>
  <c r="M194" i="1"/>
  <c r="M195" i="1" s="1"/>
  <c r="M196" i="1" s="1"/>
  <c r="M189" i="1"/>
  <c r="M190" i="1" s="1"/>
  <c r="M184" i="1"/>
  <c r="M185" i="1" s="1"/>
  <c r="M186" i="1" s="1"/>
  <c r="M179" i="1"/>
  <c r="M174" i="1"/>
  <c r="V174" i="7" s="1"/>
  <c r="M169" i="1"/>
  <c r="M170" i="1" s="1"/>
  <c r="M171" i="1" s="1"/>
  <c r="M149" i="1"/>
  <c r="M150" i="1" s="1"/>
  <c r="V150" i="7" s="1"/>
  <c r="M144" i="1"/>
  <c r="M139" i="1"/>
  <c r="M140" i="1" s="1"/>
  <c r="M134" i="1"/>
  <c r="M135" i="1" s="1"/>
  <c r="M136" i="1" s="1"/>
  <c r="V136" i="7" s="1"/>
  <c r="M129" i="1"/>
  <c r="M130" i="1" s="1"/>
  <c r="V130" i="7" s="1"/>
  <c r="M124" i="1"/>
  <c r="M119" i="1"/>
  <c r="M120" i="1" s="1"/>
  <c r="M114" i="1"/>
  <c r="M115" i="1" s="1"/>
  <c r="M109" i="1"/>
  <c r="M110" i="1" s="1"/>
  <c r="V110" i="7" s="1"/>
  <c r="M104" i="1"/>
  <c r="V104" i="7" s="1"/>
  <c r="M99" i="1"/>
  <c r="V99" i="7" s="1"/>
  <c r="M94" i="1"/>
  <c r="V94" i="7" s="1"/>
  <c r="M89" i="1"/>
  <c r="M90" i="1" s="1"/>
  <c r="M84" i="1"/>
  <c r="M85" i="1" s="1"/>
  <c r="M86" i="1" s="1"/>
  <c r="V86" i="7" s="1"/>
  <c r="M79" i="1"/>
  <c r="V79" i="7" s="1"/>
  <c r="M74" i="1"/>
  <c r="M75" i="1" s="1"/>
  <c r="M69" i="1"/>
  <c r="V69" i="7" s="1"/>
  <c r="M64" i="1"/>
  <c r="M65" i="1" s="1"/>
  <c r="M66" i="1" s="1"/>
  <c r="M67" i="1" s="1"/>
  <c r="V67" i="7" s="1"/>
  <c r="L199" i="1"/>
  <c r="L200" i="1" s="1"/>
  <c r="AB199" i="7"/>
  <c r="L194" i="1"/>
  <c r="L189" i="1"/>
  <c r="AB189" i="7" s="1"/>
  <c r="L184" i="1"/>
  <c r="L185" i="1" s="1"/>
  <c r="AB185" i="7" s="1"/>
  <c r="L179" i="1"/>
  <c r="L174" i="1"/>
  <c r="L175" i="1" s="1"/>
  <c r="L176" i="1" s="1"/>
  <c r="L177" i="1" s="1"/>
  <c r="AB177" i="7" s="1"/>
  <c r="L169" i="1"/>
  <c r="L170" i="1" s="1"/>
  <c r="L164" i="1"/>
  <c r="L159" i="1"/>
  <c r="L154" i="1"/>
  <c r="AB154" i="7" s="1"/>
  <c r="L149" i="1"/>
  <c r="AB149" i="7" s="1"/>
  <c r="L144" i="1"/>
  <c r="L145" i="1" s="1"/>
  <c r="L139" i="1"/>
  <c r="L140" i="1" s="1"/>
  <c r="L134" i="1"/>
  <c r="L135" i="1" s="1"/>
  <c r="AB135" i="7" s="1"/>
  <c r="L129" i="1"/>
  <c r="L130" i="1" s="1"/>
  <c r="L124" i="1"/>
  <c r="L125" i="1" s="1"/>
  <c r="L126" i="1" s="1"/>
  <c r="AB126" i="7" s="1"/>
  <c r="L109" i="1"/>
  <c r="L110" i="1" s="1"/>
  <c r="AB110" i="7" s="1"/>
  <c r="L119" i="1"/>
  <c r="AB119" i="7" s="1"/>
  <c r="L114" i="1"/>
  <c r="L115" i="1" s="1"/>
  <c r="L116" i="1" s="1"/>
  <c r="AF5" i="4"/>
  <c r="AF6" i="4"/>
  <c r="AF7" i="4"/>
  <c r="AF8" i="4"/>
  <c r="AF9" i="4"/>
  <c r="AF10" i="4"/>
  <c r="AF11" i="4"/>
  <c r="AF12" i="4"/>
  <c r="AF13" i="4"/>
  <c r="AF14" i="4"/>
  <c r="AF15" i="4"/>
  <c r="AF16" i="4"/>
  <c r="AF17" i="4"/>
  <c r="AF18" i="4"/>
  <c r="AF19" i="4"/>
  <c r="AF20" i="4"/>
  <c r="AF21" i="4"/>
  <c r="AF22" i="4"/>
  <c r="AF23" i="4"/>
  <c r="AF24" i="4"/>
  <c r="AF25" i="4"/>
  <c r="AF26" i="4"/>
  <c r="AF27" i="4"/>
  <c r="AF28" i="4"/>
  <c r="AF29" i="4"/>
  <c r="AF30" i="4"/>
  <c r="AF31" i="4"/>
  <c r="AF32" i="4"/>
  <c r="AF33" i="4"/>
  <c r="AF34" i="4"/>
  <c r="AF35" i="4"/>
  <c r="AF36" i="4"/>
  <c r="AF37" i="4"/>
  <c r="AF38" i="4"/>
  <c r="AF39" i="4"/>
  <c r="AF40" i="4"/>
  <c r="AF41" i="4"/>
  <c r="AF42" i="4"/>
  <c r="AF43" i="4"/>
  <c r="AF44" i="4"/>
  <c r="AF45" i="4"/>
  <c r="AF46" i="4"/>
  <c r="AF47" i="4"/>
  <c r="AF48" i="4"/>
  <c r="AF49" i="4"/>
  <c r="AF50" i="4"/>
  <c r="AF51" i="4"/>
  <c r="AF52" i="4"/>
  <c r="AF53" i="4"/>
  <c r="AF54" i="4"/>
  <c r="AF55" i="4"/>
  <c r="AF56" i="4"/>
  <c r="AF57" i="4"/>
  <c r="AF58" i="4"/>
  <c r="AF59" i="4"/>
  <c r="AF60" i="4"/>
  <c r="AF61" i="4"/>
  <c r="AF62" i="4"/>
  <c r="AF63" i="4"/>
  <c r="AF64" i="4"/>
  <c r="AF65" i="4"/>
  <c r="AF66" i="4"/>
  <c r="AF67" i="4"/>
  <c r="AF68" i="4"/>
  <c r="AF69" i="4"/>
  <c r="AF70" i="4"/>
  <c r="AF71" i="4"/>
  <c r="AF72" i="4"/>
  <c r="AF73" i="4"/>
  <c r="AF74" i="4"/>
  <c r="AF75" i="4"/>
  <c r="AF76" i="4"/>
  <c r="AF77" i="4"/>
  <c r="AF78" i="4"/>
  <c r="AF79" i="4"/>
  <c r="AF80" i="4"/>
  <c r="AF81" i="4"/>
  <c r="AF82" i="4"/>
  <c r="AF83" i="4"/>
  <c r="AF84" i="4"/>
  <c r="AF85" i="4"/>
  <c r="AF86" i="4"/>
  <c r="AF87" i="4"/>
  <c r="AF88" i="4"/>
  <c r="AF89" i="4"/>
  <c r="AF90" i="4"/>
  <c r="AF91" i="4"/>
  <c r="AF92" i="4"/>
  <c r="AF93" i="4"/>
  <c r="AF94" i="4"/>
  <c r="AF95" i="4"/>
  <c r="AF96" i="4"/>
  <c r="AF97" i="4"/>
  <c r="AF98" i="4"/>
  <c r="AF99" i="4"/>
  <c r="AF100" i="4"/>
  <c r="AF101" i="4"/>
  <c r="AF102" i="4"/>
  <c r="AF103" i="4"/>
  <c r="AF104" i="4"/>
  <c r="AF105" i="4"/>
  <c r="AF106" i="4"/>
  <c r="AF107" i="4"/>
  <c r="AF108" i="4"/>
  <c r="AF109" i="4"/>
  <c r="AF110" i="4"/>
  <c r="AF111" i="4"/>
  <c r="AF112" i="4"/>
  <c r="AF113" i="4"/>
  <c r="AF114" i="4"/>
  <c r="AF115" i="4"/>
  <c r="AF116" i="4"/>
  <c r="AF117" i="4"/>
  <c r="AF118" i="4"/>
  <c r="AF119" i="4"/>
  <c r="AF120" i="4"/>
  <c r="AF121" i="4"/>
  <c r="AF122" i="4"/>
  <c r="AF123" i="4"/>
  <c r="AF124" i="4"/>
  <c r="AF125" i="4"/>
  <c r="AF126" i="4"/>
  <c r="AF127" i="4"/>
  <c r="AF128" i="4"/>
  <c r="AF129" i="4"/>
  <c r="AF130" i="4"/>
  <c r="AF131" i="4"/>
  <c r="AF132" i="4"/>
  <c r="AF133" i="4"/>
  <c r="AF134" i="4"/>
  <c r="AF135" i="4"/>
  <c r="AF136" i="4"/>
  <c r="AF137" i="4"/>
  <c r="AF138" i="4"/>
  <c r="AF139" i="4"/>
  <c r="AF140" i="4"/>
  <c r="AF141" i="4"/>
  <c r="AF142" i="4"/>
  <c r="AF143" i="4"/>
  <c r="AF144" i="4"/>
  <c r="AF145" i="4"/>
  <c r="AF146" i="4"/>
  <c r="AF147" i="4"/>
  <c r="AF148" i="4"/>
  <c r="AF149" i="4"/>
  <c r="AF150" i="4"/>
  <c r="AF151" i="4"/>
  <c r="AF152" i="4"/>
  <c r="AF153" i="4"/>
  <c r="AF154" i="4"/>
  <c r="AF155" i="4"/>
  <c r="AF156" i="4"/>
  <c r="AF157" i="4"/>
  <c r="AF158" i="4"/>
  <c r="AF159" i="4"/>
  <c r="AF160" i="4"/>
  <c r="AF161" i="4"/>
  <c r="AF162" i="4"/>
  <c r="AF163" i="4"/>
  <c r="AF164" i="4"/>
  <c r="AF165" i="4"/>
  <c r="AF166" i="4"/>
  <c r="AF167" i="4"/>
  <c r="AF168" i="4"/>
  <c r="AF169" i="4"/>
  <c r="AF170" i="4"/>
  <c r="AF171" i="4"/>
  <c r="AF172" i="4"/>
  <c r="AF173" i="4"/>
  <c r="AF174" i="4"/>
  <c r="AF175" i="4"/>
  <c r="AF176" i="4"/>
  <c r="AF177" i="4"/>
  <c r="AF178" i="4"/>
  <c r="AF179" i="4"/>
  <c r="AF180" i="4"/>
  <c r="AF181" i="4"/>
  <c r="AF182" i="4"/>
  <c r="AF183" i="4"/>
  <c r="AF184" i="4"/>
  <c r="AF185" i="4"/>
  <c r="AF186" i="4"/>
  <c r="AF187" i="4"/>
  <c r="AF188" i="4"/>
  <c r="AF189" i="4"/>
  <c r="AF190" i="4"/>
  <c r="AF191" i="4"/>
  <c r="AF192" i="4"/>
  <c r="AF193" i="4"/>
  <c r="AF194" i="4"/>
  <c r="AF195" i="4"/>
  <c r="AF196" i="4"/>
  <c r="AF197" i="4"/>
  <c r="AF198" i="4"/>
  <c r="AF199" i="4"/>
  <c r="AF200" i="4"/>
  <c r="AF201" i="4"/>
  <c r="AF202" i="4"/>
  <c r="AF203" i="4"/>
  <c r="AF204" i="4"/>
  <c r="AF205" i="4"/>
  <c r="AD5" i="4"/>
  <c r="AD6" i="4"/>
  <c r="AD7" i="4"/>
  <c r="AD8" i="4"/>
  <c r="AD9" i="4"/>
  <c r="AD10" i="4"/>
  <c r="AD11" i="4"/>
  <c r="AD12" i="4"/>
  <c r="AD13" i="4"/>
  <c r="AD14" i="4"/>
  <c r="AD15" i="4"/>
  <c r="AD16" i="4"/>
  <c r="AD17" i="4"/>
  <c r="AD18" i="4"/>
  <c r="AD19" i="4"/>
  <c r="AD20" i="4"/>
  <c r="AD21" i="4"/>
  <c r="AD22" i="4"/>
  <c r="AD23" i="4"/>
  <c r="AD24" i="4"/>
  <c r="AD25" i="4"/>
  <c r="AD26" i="4"/>
  <c r="AD27" i="4"/>
  <c r="AD28" i="4"/>
  <c r="AD29" i="4"/>
  <c r="AD30" i="4"/>
  <c r="AD31" i="4"/>
  <c r="AD32" i="4"/>
  <c r="AD33" i="4"/>
  <c r="AD34" i="4"/>
  <c r="AD35" i="4"/>
  <c r="AD36" i="4"/>
  <c r="AD37" i="4"/>
  <c r="AD38" i="4"/>
  <c r="AD39" i="4"/>
  <c r="AD40" i="4"/>
  <c r="AD41" i="4"/>
  <c r="AD42" i="4"/>
  <c r="AD43" i="4"/>
  <c r="AD44" i="4"/>
  <c r="AD45" i="4"/>
  <c r="AD46" i="4"/>
  <c r="AD47" i="4"/>
  <c r="AD48" i="4"/>
  <c r="AD49" i="4"/>
  <c r="AD50" i="4"/>
  <c r="AD51" i="4"/>
  <c r="AD52" i="4"/>
  <c r="AD53" i="4"/>
  <c r="AD54" i="4"/>
  <c r="AD55" i="4"/>
  <c r="AD56" i="4"/>
  <c r="AD57" i="4"/>
  <c r="AD58" i="4"/>
  <c r="AD59" i="4"/>
  <c r="AD60" i="4"/>
  <c r="AD61" i="4"/>
  <c r="AD62" i="4"/>
  <c r="AD63" i="4"/>
  <c r="AD64" i="4"/>
  <c r="AD65" i="4"/>
  <c r="AD66" i="4"/>
  <c r="AD67" i="4"/>
  <c r="AD68" i="4"/>
  <c r="AD69" i="4"/>
  <c r="AD70" i="4"/>
  <c r="AD71" i="4"/>
  <c r="AD72" i="4"/>
  <c r="AD73" i="4"/>
  <c r="AD74" i="4"/>
  <c r="AD75" i="4"/>
  <c r="AD76" i="4"/>
  <c r="AD77" i="4"/>
  <c r="AD78" i="4"/>
  <c r="AD79" i="4"/>
  <c r="AD80" i="4"/>
  <c r="AD81" i="4"/>
  <c r="AD82" i="4"/>
  <c r="AD83" i="4"/>
  <c r="AD84" i="4"/>
  <c r="AD85" i="4"/>
  <c r="AD86" i="4"/>
  <c r="AD87" i="4"/>
  <c r="AD88" i="4"/>
  <c r="AD89" i="4"/>
  <c r="AD90" i="4"/>
  <c r="AD91" i="4"/>
  <c r="AD92" i="4"/>
  <c r="AD93" i="4"/>
  <c r="AD94" i="4"/>
  <c r="AD95" i="4"/>
  <c r="AD96" i="4"/>
  <c r="AD97" i="4"/>
  <c r="AD98" i="4"/>
  <c r="AD99" i="4"/>
  <c r="AD100" i="4"/>
  <c r="AD101" i="4"/>
  <c r="AD102" i="4"/>
  <c r="AD103" i="4"/>
  <c r="AD104" i="4"/>
  <c r="AD105" i="4"/>
  <c r="AD106" i="4"/>
  <c r="AD107" i="4"/>
  <c r="AD108" i="4"/>
  <c r="AD109" i="4"/>
  <c r="AD110" i="4"/>
  <c r="AD111" i="4"/>
  <c r="AD112" i="4"/>
  <c r="AD113" i="4"/>
  <c r="AD114" i="4"/>
  <c r="AD115" i="4"/>
  <c r="AD116" i="4"/>
  <c r="AD117" i="4"/>
  <c r="AD118" i="4"/>
  <c r="AD119" i="4"/>
  <c r="AD120" i="4"/>
  <c r="AD121" i="4"/>
  <c r="AD122" i="4"/>
  <c r="AD123" i="4"/>
  <c r="AD124" i="4"/>
  <c r="AD125" i="4"/>
  <c r="AD126" i="4"/>
  <c r="AD127" i="4"/>
  <c r="AD128" i="4"/>
  <c r="AD129" i="4"/>
  <c r="AD130" i="4"/>
  <c r="AD131" i="4"/>
  <c r="AD132" i="4"/>
  <c r="AD133" i="4"/>
  <c r="AD134" i="4"/>
  <c r="AD135" i="4"/>
  <c r="AD136" i="4"/>
  <c r="AD137" i="4"/>
  <c r="AD138" i="4"/>
  <c r="AD139" i="4"/>
  <c r="AD140" i="4"/>
  <c r="AD141" i="4"/>
  <c r="AD142" i="4"/>
  <c r="AD143" i="4"/>
  <c r="AD144" i="4"/>
  <c r="AD145" i="4"/>
  <c r="AD146" i="4"/>
  <c r="AD147" i="4"/>
  <c r="AD148" i="4"/>
  <c r="AD149" i="4"/>
  <c r="AD150" i="4"/>
  <c r="AD151" i="4"/>
  <c r="AD152" i="4"/>
  <c r="AD153" i="4"/>
  <c r="AD154" i="4"/>
  <c r="AD155" i="4"/>
  <c r="AD156" i="4"/>
  <c r="AD157" i="4"/>
  <c r="AD158" i="4"/>
  <c r="AD159" i="4"/>
  <c r="AD160" i="4"/>
  <c r="AD161" i="4"/>
  <c r="AD162" i="4"/>
  <c r="AD163" i="4"/>
  <c r="AD164" i="4"/>
  <c r="AD165" i="4"/>
  <c r="AD166" i="4"/>
  <c r="AD167" i="4"/>
  <c r="AD168" i="4"/>
  <c r="AD169" i="4"/>
  <c r="AD170" i="4"/>
  <c r="AD171" i="4"/>
  <c r="AD172" i="4"/>
  <c r="AD173" i="4"/>
  <c r="AD174" i="4"/>
  <c r="AD175" i="4"/>
  <c r="AD176" i="4"/>
  <c r="AD177" i="4"/>
  <c r="AD178" i="4"/>
  <c r="AD179" i="4"/>
  <c r="AD180" i="4"/>
  <c r="AD181" i="4"/>
  <c r="AD182" i="4"/>
  <c r="AD183" i="4"/>
  <c r="AD184" i="4"/>
  <c r="AD185" i="4"/>
  <c r="AD186" i="4"/>
  <c r="AD187" i="4"/>
  <c r="AD188" i="4"/>
  <c r="AD189" i="4"/>
  <c r="AD190" i="4"/>
  <c r="AD191" i="4"/>
  <c r="AD192" i="4"/>
  <c r="AD193" i="4"/>
  <c r="AD194" i="4"/>
  <c r="AD195" i="4"/>
  <c r="AD196" i="4"/>
  <c r="AD197" i="4"/>
  <c r="AD198" i="4"/>
  <c r="AD199" i="4"/>
  <c r="AD200" i="4"/>
  <c r="AD201" i="4"/>
  <c r="AD202" i="4"/>
  <c r="AD203" i="4"/>
  <c r="AD204" i="4"/>
  <c r="AD205" i="4"/>
  <c r="AA5" i="4"/>
  <c r="AA6" i="4"/>
  <c r="AA7" i="4"/>
  <c r="AA8" i="4"/>
  <c r="AA9" i="4"/>
  <c r="AA10" i="4"/>
  <c r="AA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AA45" i="4"/>
  <c r="AA46" i="4"/>
  <c r="AA47" i="4"/>
  <c r="AA48" i="4"/>
  <c r="AA49" i="4"/>
  <c r="AA50" i="4"/>
  <c r="AA51" i="4"/>
  <c r="AA52" i="4"/>
  <c r="AA53" i="4"/>
  <c r="AA54" i="4"/>
  <c r="AA55" i="4"/>
  <c r="AA56" i="4"/>
  <c r="AA57" i="4"/>
  <c r="AA58" i="4"/>
  <c r="AA59" i="4"/>
  <c r="AA60" i="4"/>
  <c r="AA61" i="4"/>
  <c r="AA62" i="4"/>
  <c r="AA63" i="4"/>
  <c r="AA64" i="4"/>
  <c r="AA65" i="4"/>
  <c r="AA66" i="4"/>
  <c r="AA67" i="4"/>
  <c r="AA68" i="4"/>
  <c r="AA69" i="4"/>
  <c r="AA70" i="4"/>
  <c r="AA71" i="4"/>
  <c r="AA72" i="4"/>
  <c r="AA73" i="4"/>
  <c r="AA74" i="4"/>
  <c r="AA75" i="4"/>
  <c r="AA76" i="4"/>
  <c r="AA77" i="4"/>
  <c r="AA78" i="4"/>
  <c r="AA79" i="4"/>
  <c r="AA80" i="4"/>
  <c r="AA81" i="4"/>
  <c r="AA82" i="4"/>
  <c r="AA83" i="4"/>
  <c r="AA84" i="4"/>
  <c r="AA85" i="4"/>
  <c r="AA86" i="4"/>
  <c r="AA87" i="4"/>
  <c r="AA88" i="4"/>
  <c r="AA89" i="4"/>
  <c r="AA90" i="4"/>
  <c r="AA91" i="4"/>
  <c r="AA92" i="4"/>
  <c r="AA93" i="4"/>
  <c r="AA94" i="4"/>
  <c r="AA95" i="4"/>
  <c r="AA96" i="4"/>
  <c r="AA97" i="4"/>
  <c r="AA98" i="4"/>
  <c r="AA99" i="4"/>
  <c r="AA100" i="4"/>
  <c r="AA101" i="4"/>
  <c r="AA102" i="4"/>
  <c r="AA103" i="4"/>
  <c r="AA104" i="4"/>
  <c r="AA105" i="4"/>
  <c r="AA106" i="4"/>
  <c r="AA107" i="4"/>
  <c r="AA108" i="4"/>
  <c r="AA109" i="4"/>
  <c r="AA110" i="4"/>
  <c r="AA111" i="4"/>
  <c r="AA112" i="4"/>
  <c r="AA113" i="4"/>
  <c r="AA114" i="4"/>
  <c r="AA115" i="4"/>
  <c r="AA116" i="4"/>
  <c r="AA117" i="4"/>
  <c r="AA118" i="4"/>
  <c r="AA119" i="4"/>
  <c r="AA120" i="4"/>
  <c r="AA121" i="4"/>
  <c r="AA122" i="4"/>
  <c r="AA123" i="4"/>
  <c r="AA124" i="4"/>
  <c r="AA125" i="4"/>
  <c r="AA126" i="4"/>
  <c r="AA127" i="4"/>
  <c r="AA128" i="4"/>
  <c r="AA129" i="4"/>
  <c r="AA130" i="4"/>
  <c r="AA131" i="4"/>
  <c r="AA132" i="4"/>
  <c r="AA133" i="4"/>
  <c r="AA134" i="4"/>
  <c r="AA135" i="4"/>
  <c r="AA136" i="4"/>
  <c r="AA137" i="4"/>
  <c r="AA138" i="4"/>
  <c r="AA139" i="4"/>
  <c r="AA140" i="4"/>
  <c r="AA141" i="4"/>
  <c r="AA142" i="4"/>
  <c r="AA143" i="4"/>
  <c r="AA144" i="4"/>
  <c r="AA145" i="4"/>
  <c r="AA146" i="4"/>
  <c r="AA147" i="4"/>
  <c r="AA148" i="4"/>
  <c r="AA149" i="4"/>
  <c r="AA150" i="4"/>
  <c r="AA151" i="4"/>
  <c r="AA152" i="4"/>
  <c r="AA153" i="4"/>
  <c r="AA154" i="4"/>
  <c r="AA155" i="4"/>
  <c r="AA156" i="4"/>
  <c r="AA157" i="4"/>
  <c r="AA158" i="4"/>
  <c r="AA159" i="4"/>
  <c r="AA160" i="4"/>
  <c r="AA161" i="4"/>
  <c r="AA162" i="4"/>
  <c r="AA163" i="4"/>
  <c r="AA164" i="4"/>
  <c r="AA165" i="4"/>
  <c r="AA166" i="4"/>
  <c r="AA167" i="4"/>
  <c r="AA168" i="4"/>
  <c r="AA169" i="4"/>
  <c r="AA170" i="4"/>
  <c r="AA171" i="4"/>
  <c r="AA172" i="4"/>
  <c r="AA173" i="4"/>
  <c r="AA174" i="4"/>
  <c r="AA175" i="4"/>
  <c r="AA176" i="4"/>
  <c r="AA177" i="4"/>
  <c r="AA178" i="4"/>
  <c r="AA179" i="4"/>
  <c r="AA180" i="4"/>
  <c r="AA181" i="4"/>
  <c r="AA182" i="4"/>
  <c r="AA183" i="4"/>
  <c r="AA184" i="4"/>
  <c r="AA185" i="4"/>
  <c r="AA186" i="4"/>
  <c r="AA187" i="4"/>
  <c r="AA188" i="4"/>
  <c r="AA189" i="4"/>
  <c r="AA190" i="4"/>
  <c r="AA191" i="4"/>
  <c r="AA192" i="4"/>
  <c r="AA193" i="4"/>
  <c r="AA194" i="4"/>
  <c r="AA195" i="4"/>
  <c r="AA196" i="4"/>
  <c r="AA197" i="4"/>
  <c r="AA198" i="4"/>
  <c r="AA199" i="4"/>
  <c r="AA200" i="4"/>
  <c r="AA201" i="4"/>
  <c r="AA202" i="4"/>
  <c r="AA203" i="4"/>
  <c r="AA204" i="4"/>
  <c r="AA205" i="4"/>
  <c r="Y5" i="4"/>
  <c r="Y6" i="4"/>
  <c r="Y7" i="4"/>
  <c r="Y8" i="4"/>
  <c r="Y9" i="4"/>
  <c r="Y10" i="4"/>
  <c r="Y11" i="4"/>
  <c r="Y12" i="4"/>
  <c r="Y13" i="4"/>
  <c r="Y14" i="4"/>
  <c r="Y15" i="4"/>
  <c r="Y16" i="4"/>
  <c r="Y17" i="4"/>
  <c r="Y18" i="4"/>
  <c r="Y19" i="4"/>
  <c r="Y20" i="4"/>
  <c r="Y21" i="4"/>
  <c r="Y22" i="4"/>
  <c r="Y23" i="4"/>
  <c r="Y24" i="4"/>
  <c r="Y25" i="4"/>
  <c r="Y26" i="4"/>
  <c r="Y27" i="4"/>
  <c r="Y28" i="4"/>
  <c r="Y29" i="4"/>
  <c r="Y30" i="4"/>
  <c r="Y31" i="4"/>
  <c r="Y32" i="4"/>
  <c r="Y33" i="4"/>
  <c r="Y34" i="4"/>
  <c r="Y35" i="4"/>
  <c r="Y36" i="4"/>
  <c r="Y37" i="4"/>
  <c r="Y38" i="4"/>
  <c r="Y39" i="4"/>
  <c r="Y40" i="4"/>
  <c r="Y41" i="4"/>
  <c r="Y42" i="4"/>
  <c r="Y43" i="4"/>
  <c r="Y44" i="4"/>
  <c r="Y45" i="4"/>
  <c r="Y46" i="4"/>
  <c r="Y47" i="4"/>
  <c r="Y48" i="4"/>
  <c r="Y49" i="4"/>
  <c r="Y50" i="4"/>
  <c r="Y51" i="4"/>
  <c r="Y52" i="4"/>
  <c r="Y53" i="4"/>
  <c r="Y54" i="4"/>
  <c r="Y55" i="4"/>
  <c r="Y56" i="4"/>
  <c r="Y57" i="4"/>
  <c r="Y58" i="4"/>
  <c r="Y59" i="4"/>
  <c r="Y60" i="4"/>
  <c r="Y61" i="4"/>
  <c r="Y62" i="4"/>
  <c r="Y63" i="4"/>
  <c r="Y64" i="4"/>
  <c r="Y65" i="4"/>
  <c r="Y66" i="4"/>
  <c r="Y67" i="4"/>
  <c r="Y68" i="4"/>
  <c r="Y69" i="4"/>
  <c r="Y70" i="4"/>
  <c r="Y71" i="4"/>
  <c r="Y72" i="4"/>
  <c r="Y73" i="4"/>
  <c r="Y74" i="4"/>
  <c r="Y75" i="4"/>
  <c r="Y76" i="4"/>
  <c r="Y77" i="4"/>
  <c r="Y78" i="4"/>
  <c r="Y79" i="4"/>
  <c r="Y80" i="4"/>
  <c r="Y81" i="4"/>
  <c r="Y82" i="4"/>
  <c r="Y83" i="4"/>
  <c r="Y84" i="4"/>
  <c r="Y85" i="4"/>
  <c r="Y86" i="4"/>
  <c r="Y87" i="4"/>
  <c r="Y88" i="4"/>
  <c r="Y89" i="4"/>
  <c r="Y90" i="4"/>
  <c r="Y91" i="4"/>
  <c r="Y92" i="4"/>
  <c r="Y93" i="4"/>
  <c r="Y94" i="4"/>
  <c r="Y95" i="4"/>
  <c r="Y96" i="4"/>
  <c r="Y97" i="4"/>
  <c r="Y98" i="4"/>
  <c r="Y99" i="4"/>
  <c r="Y100" i="4"/>
  <c r="Y101" i="4"/>
  <c r="Y102" i="4"/>
  <c r="Y103" i="4"/>
  <c r="Y104" i="4"/>
  <c r="Y105" i="4"/>
  <c r="Y106" i="4"/>
  <c r="Y107" i="4"/>
  <c r="Y108" i="4"/>
  <c r="Y109" i="4"/>
  <c r="Y110" i="4"/>
  <c r="Y111" i="4"/>
  <c r="Y112" i="4"/>
  <c r="Y113" i="4"/>
  <c r="Y114" i="4"/>
  <c r="Y115" i="4"/>
  <c r="Y116" i="4"/>
  <c r="Y117" i="4"/>
  <c r="Y118" i="4"/>
  <c r="Y119" i="4"/>
  <c r="Y120" i="4"/>
  <c r="Y121" i="4"/>
  <c r="Y122" i="4"/>
  <c r="Y123" i="4"/>
  <c r="Y124" i="4"/>
  <c r="Y125" i="4"/>
  <c r="Y126" i="4"/>
  <c r="Y127" i="4"/>
  <c r="Y128" i="4"/>
  <c r="Y129" i="4"/>
  <c r="Y130" i="4"/>
  <c r="Y131" i="4"/>
  <c r="Y132" i="4"/>
  <c r="Y133" i="4"/>
  <c r="Y134" i="4"/>
  <c r="Y135" i="4"/>
  <c r="Y136" i="4"/>
  <c r="Y137" i="4"/>
  <c r="Y138" i="4"/>
  <c r="Y139" i="4"/>
  <c r="Y140" i="4"/>
  <c r="Y141" i="4"/>
  <c r="Y142" i="4"/>
  <c r="Y143" i="4"/>
  <c r="Y144" i="4"/>
  <c r="Y145" i="4"/>
  <c r="Y146" i="4"/>
  <c r="Y147" i="4"/>
  <c r="Y148" i="4"/>
  <c r="Y149" i="4"/>
  <c r="Y150" i="4"/>
  <c r="Y151" i="4"/>
  <c r="Y152" i="4"/>
  <c r="Y153" i="4"/>
  <c r="Y154" i="4"/>
  <c r="Y155" i="4"/>
  <c r="Y156" i="4"/>
  <c r="Y157" i="4"/>
  <c r="Y158" i="4"/>
  <c r="Y159" i="4"/>
  <c r="Y160" i="4"/>
  <c r="Y161" i="4"/>
  <c r="Y162" i="4"/>
  <c r="Y163" i="4"/>
  <c r="Y164" i="4"/>
  <c r="Y165" i="4"/>
  <c r="Y166" i="4"/>
  <c r="Y167" i="4"/>
  <c r="Y168" i="4"/>
  <c r="Y169" i="4"/>
  <c r="Y170" i="4"/>
  <c r="Y171" i="4"/>
  <c r="Y172" i="4"/>
  <c r="Y173" i="4"/>
  <c r="Y174" i="4"/>
  <c r="Y175" i="4"/>
  <c r="Y176" i="4"/>
  <c r="Y177" i="4"/>
  <c r="Y178" i="4"/>
  <c r="Y179" i="4"/>
  <c r="Y180" i="4"/>
  <c r="Y181" i="4"/>
  <c r="Y182" i="4"/>
  <c r="Y183" i="4"/>
  <c r="Y184" i="4"/>
  <c r="Y185" i="4"/>
  <c r="Y186" i="4"/>
  <c r="Y187" i="4"/>
  <c r="Y188" i="4"/>
  <c r="Y189" i="4"/>
  <c r="Y190" i="4"/>
  <c r="Y191" i="4"/>
  <c r="Y192" i="4"/>
  <c r="Y193" i="4"/>
  <c r="Y194" i="4"/>
  <c r="Y195" i="4"/>
  <c r="Y196" i="4"/>
  <c r="Y197" i="4"/>
  <c r="Y198" i="4"/>
  <c r="Y199" i="4"/>
  <c r="Y200" i="4"/>
  <c r="Y201" i="4"/>
  <c r="Y202" i="4"/>
  <c r="Y203" i="4"/>
  <c r="Y204" i="4"/>
  <c r="Y205" i="4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22" i="4"/>
  <c r="V23" i="4"/>
  <c r="V24" i="4"/>
  <c r="V25" i="4"/>
  <c r="V26" i="4"/>
  <c r="V27" i="4"/>
  <c r="V28" i="4"/>
  <c r="V29" i="4"/>
  <c r="V30" i="4"/>
  <c r="V31" i="4"/>
  <c r="V32" i="4"/>
  <c r="V33" i="4"/>
  <c r="V34" i="4"/>
  <c r="V35" i="4"/>
  <c r="V36" i="4"/>
  <c r="V37" i="4"/>
  <c r="V38" i="4"/>
  <c r="V39" i="4"/>
  <c r="V40" i="4"/>
  <c r="V41" i="4"/>
  <c r="V42" i="4"/>
  <c r="V43" i="4"/>
  <c r="V44" i="4"/>
  <c r="V45" i="4"/>
  <c r="V46" i="4"/>
  <c r="V47" i="4"/>
  <c r="V48" i="4"/>
  <c r="V49" i="4"/>
  <c r="V50" i="4"/>
  <c r="V51" i="4"/>
  <c r="V52" i="4"/>
  <c r="V53" i="4"/>
  <c r="V54" i="4"/>
  <c r="V55" i="4"/>
  <c r="V56" i="4"/>
  <c r="V57" i="4"/>
  <c r="V58" i="4"/>
  <c r="V59" i="4"/>
  <c r="V60" i="4"/>
  <c r="V61" i="4"/>
  <c r="V62" i="4"/>
  <c r="V63" i="4"/>
  <c r="V64" i="4"/>
  <c r="V65" i="4"/>
  <c r="V66" i="4"/>
  <c r="V67" i="4"/>
  <c r="V68" i="4"/>
  <c r="V69" i="4"/>
  <c r="V70" i="4"/>
  <c r="V71" i="4"/>
  <c r="V72" i="4"/>
  <c r="V73" i="4"/>
  <c r="V74" i="4"/>
  <c r="V75" i="4"/>
  <c r="V76" i="4"/>
  <c r="V77" i="4"/>
  <c r="V78" i="4"/>
  <c r="V79" i="4"/>
  <c r="V80" i="4"/>
  <c r="V81" i="4"/>
  <c r="V82" i="4"/>
  <c r="V83" i="4"/>
  <c r="V84" i="4"/>
  <c r="V85" i="4"/>
  <c r="V86" i="4"/>
  <c r="V87" i="4"/>
  <c r="V88" i="4"/>
  <c r="V89" i="4"/>
  <c r="V90" i="4"/>
  <c r="V91" i="4"/>
  <c r="V92" i="4"/>
  <c r="V93" i="4"/>
  <c r="V94" i="4"/>
  <c r="V95" i="4"/>
  <c r="V96" i="4"/>
  <c r="V97" i="4"/>
  <c r="V98" i="4"/>
  <c r="V99" i="4"/>
  <c r="V100" i="4"/>
  <c r="V101" i="4"/>
  <c r="V102" i="4"/>
  <c r="V103" i="4"/>
  <c r="V104" i="4"/>
  <c r="V105" i="4"/>
  <c r="V106" i="4"/>
  <c r="V107" i="4"/>
  <c r="V108" i="4"/>
  <c r="V109" i="4"/>
  <c r="V110" i="4"/>
  <c r="V111" i="4"/>
  <c r="V112" i="4"/>
  <c r="V113" i="4"/>
  <c r="V114" i="4"/>
  <c r="V115" i="4"/>
  <c r="V116" i="4"/>
  <c r="V117" i="4"/>
  <c r="V118" i="4"/>
  <c r="V119" i="4"/>
  <c r="V120" i="4"/>
  <c r="V121" i="4"/>
  <c r="V122" i="4"/>
  <c r="V123" i="4"/>
  <c r="V124" i="4"/>
  <c r="V125" i="4"/>
  <c r="V126" i="4"/>
  <c r="V127" i="4"/>
  <c r="V128" i="4"/>
  <c r="V129" i="4"/>
  <c r="V130" i="4"/>
  <c r="V131" i="4"/>
  <c r="V132" i="4"/>
  <c r="V133" i="4"/>
  <c r="V134" i="4"/>
  <c r="V135" i="4"/>
  <c r="V136" i="4"/>
  <c r="V137" i="4"/>
  <c r="V138" i="4"/>
  <c r="V139" i="4"/>
  <c r="V140" i="4"/>
  <c r="V141" i="4"/>
  <c r="V142" i="4"/>
  <c r="V143" i="4"/>
  <c r="V144" i="4"/>
  <c r="V145" i="4"/>
  <c r="V146" i="4"/>
  <c r="V147" i="4"/>
  <c r="V148" i="4"/>
  <c r="V149" i="4"/>
  <c r="V150" i="4"/>
  <c r="V151" i="4"/>
  <c r="V152" i="4"/>
  <c r="V153" i="4"/>
  <c r="V154" i="4"/>
  <c r="V155" i="4"/>
  <c r="V156" i="4"/>
  <c r="V157" i="4"/>
  <c r="V158" i="4"/>
  <c r="V159" i="4"/>
  <c r="V160" i="4"/>
  <c r="V161" i="4"/>
  <c r="V162" i="4"/>
  <c r="V163" i="4"/>
  <c r="V164" i="4"/>
  <c r="V165" i="4"/>
  <c r="V166" i="4"/>
  <c r="V167" i="4"/>
  <c r="V168" i="4"/>
  <c r="V169" i="4"/>
  <c r="V170" i="4"/>
  <c r="V171" i="4"/>
  <c r="V172" i="4"/>
  <c r="V173" i="4"/>
  <c r="V174" i="4"/>
  <c r="V175" i="4"/>
  <c r="V176" i="4"/>
  <c r="V177" i="4"/>
  <c r="V178" i="4"/>
  <c r="V179" i="4"/>
  <c r="V180" i="4"/>
  <c r="V181" i="4"/>
  <c r="V182" i="4"/>
  <c r="V183" i="4"/>
  <c r="V184" i="4"/>
  <c r="V185" i="4"/>
  <c r="V186" i="4"/>
  <c r="V187" i="4"/>
  <c r="V188" i="4"/>
  <c r="V189" i="4"/>
  <c r="V190" i="4"/>
  <c r="V191" i="4"/>
  <c r="V192" i="4"/>
  <c r="V193" i="4"/>
  <c r="V194" i="4"/>
  <c r="V195" i="4"/>
  <c r="V196" i="4"/>
  <c r="V197" i="4"/>
  <c r="V198" i="4"/>
  <c r="V199" i="4"/>
  <c r="V200" i="4"/>
  <c r="V201" i="4"/>
  <c r="V202" i="4"/>
  <c r="V203" i="4"/>
  <c r="V204" i="4"/>
  <c r="V205" i="4"/>
  <c r="T5" i="4"/>
  <c r="T6" i="4"/>
  <c r="T7" i="4"/>
  <c r="T8" i="4"/>
  <c r="T9" i="4"/>
  <c r="T10" i="4"/>
  <c r="T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52" i="4"/>
  <c r="T53" i="4"/>
  <c r="T54" i="4"/>
  <c r="T55" i="4"/>
  <c r="T56" i="4"/>
  <c r="T57" i="4"/>
  <c r="T58" i="4"/>
  <c r="T59" i="4"/>
  <c r="T60" i="4"/>
  <c r="T61" i="4"/>
  <c r="T62" i="4"/>
  <c r="T63" i="4"/>
  <c r="T64" i="4"/>
  <c r="T65" i="4"/>
  <c r="T66" i="4"/>
  <c r="T67" i="4"/>
  <c r="T68" i="4"/>
  <c r="T69" i="4"/>
  <c r="T70" i="4"/>
  <c r="T71" i="4"/>
  <c r="T72" i="4"/>
  <c r="T73" i="4"/>
  <c r="T74" i="4"/>
  <c r="T75" i="4"/>
  <c r="T76" i="4"/>
  <c r="T77" i="4"/>
  <c r="T78" i="4"/>
  <c r="T79" i="4"/>
  <c r="T80" i="4"/>
  <c r="T81" i="4"/>
  <c r="T82" i="4"/>
  <c r="T83" i="4"/>
  <c r="T84" i="4"/>
  <c r="T85" i="4"/>
  <c r="T86" i="4"/>
  <c r="T87" i="4"/>
  <c r="T88" i="4"/>
  <c r="T89" i="4"/>
  <c r="T90" i="4"/>
  <c r="T91" i="4"/>
  <c r="T92" i="4"/>
  <c r="T93" i="4"/>
  <c r="T94" i="4"/>
  <c r="T95" i="4"/>
  <c r="T96" i="4"/>
  <c r="T97" i="4"/>
  <c r="T98" i="4"/>
  <c r="T99" i="4"/>
  <c r="T100" i="4"/>
  <c r="T101" i="4"/>
  <c r="T102" i="4"/>
  <c r="T103" i="4"/>
  <c r="T104" i="4"/>
  <c r="T105" i="4"/>
  <c r="T106" i="4"/>
  <c r="T107" i="4"/>
  <c r="T108" i="4"/>
  <c r="T109" i="4"/>
  <c r="T110" i="4"/>
  <c r="T111" i="4"/>
  <c r="T112" i="4"/>
  <c r="T113" i="4"/>
  <c r="T114" i="4"/>
  <c r="T115" i="4"/>
  <c r="T116" i="4"/>
  <c r="T117" i="4"/>
  <c r="T118" i="4"/>
  <c r="T119" i="4"/>
  <c r="T120" i="4"/>
  <c r="T121" i="4"/>
  <c r="T122" i="4"/>
  <c r="T123" i="4"/>
  <c r="T124" i="4"/>
  <c r="T125" i="4"/>
  <c r="T126" i="4"/>
  <c r="T127" i="4"/>
  <c r="T128" i="4"/>
  <c r="T129" i="4"/>
  <c r="T130" i="4"/>
  <c r="T131" i="4"/>
  <c r="T132" i="4"/>
  <c r="T133" i="4"/>
  <c r="T134" i="4"/>
  <c r="T135" i="4"/>
  <c r="T136" i="4"/>
  <c r="T137" i="4"/>
  <c r="T138" i="4"/>
  <c r="T139" i="4"/>
  <c r="T140" i="4"/>
  <c r="T141" i="4"/>
  <c r="T142" i="4"/>
  <c r="T143" i="4"/>
  <c r="T144" i="4"/>
  <c r="T145" i="4"/>
  <c r="T146" i="4"/>
  <c r="T147" i="4"/>
  <c r="T148" i="4"/>
  <c r="T149" i="4"/>
  <c r="T150" i="4"/>
  <c r="T151" i="4"/>
  <c r="T152" i="4"/>
  <c r="T153" i="4"/>
  <c r="T154" i="4"/>
  <c r="T155" i="4"/>
  <c r="T156" i="4"/>
  <c r="T157" i="4"/>
  <c r="T158" i="4"/>
  <c r="T159" i="4"/>
  <c r="T160" i="4"/>
  <c r="T161" i="4"/>
  <c r="T162" i="4"/>
  <c r="T163" i="4"/>
  <c r="T164" i="4"/>
  <c r="T165" i="4"/>
  <c r="T166" i="4"/>
  <c r="T167" i="4"/>
  <c r="T168" i="4"/>
  <c r="T169" i="4"/>
  <c r="T170" i="4"/>
  <c r="T171" i="4"/>
  <c r="T172" i="4"/>
  <c r="T173" i="4"/>
  <c r="T174" i="4"/>
  <c r="T175" i="4"/>
  <c r="T176" i="4"/>
  <c r="T177" i="4"/>
  <c r="T178" i="4"/>
  <c r="T179" i="4"/>
  <c r="T180" i="4"/>
  <c r="T181" i="4"/>
  <c r="T182" i="4"/>
  <c r="T183" i="4"/>
  <c r="T184" i="4"/>
  <c r="T185" i="4"/>
  <c r="T186" i="4"/>
  <c r="T187" i="4"/>
  <c r="T188" i="4"/>
  <c r="T189" i="4"/>
  <c r="T190" i="4"/>
  <c r="T191" i="4"/>
  <c r="T192" i="4"/>
  <c r="T193" i="4"/>
  <c r="T194" i="4"/>
  <c r="T195" i="4"/>
  <c r="T196" i="4"/>
  <c r="T197" i="4"/>
  <c r="T198" i="4"/>
  <c r="T199" i="4"/>
  <c r="T200" i="4"/>
  <c r="T201" i="4"/>
  <c r="T202" i="4"/>
  <c r="T203" i="4"/>
  <c r="T204" i="4"/>
  <c r="T205" i="4"/>
  <c r="Q5" i="4"/>
  <c r="Q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Q74" i="4"/>
  <c r="Q75" i="4"/>
  <c r="Q76" i="4"/>
  <c r="Q77" i="4"/>
  <c r="Q78" i="4"/>
  <c r="Q79" i="4"/>
  <c r="Q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111" i="4"/>
  <c r="Q112" i="4"/>
  <c r="Q113" i="4"/>
  <c r="Q114" i="4"/>
  <c r="Q115" i="4"/>
  <c r="Q116" i="4"/>
  <c r="Q117" i="4"/>
  <c r="Q118" i="4"/>
  <c r="Q119" i="4"/>
  <c r="Q120" i="4"/>
  <c r="Q121" i="4"/>
  <c r="Q122" i="4"/>
  <c r="Q123" i="4"/>
  <c r="Q124" i="4"/>
  <c r="Q125" i="4"/>
  <c r="Q126" i="4"/>
  <c r="Q127" i="4"/>
  <c r="Q128" i="4"/>
  <c r="Q129" i="4"/>
  <c r="Q130" i="4"/>
  <c r="Q131" i="4"/>
  <c r="Q132" i="4"/>
  <c r="Q133" i="4"/>
  <c r="Q134" i="4"/>
  <c r="Q135" i="4"/>
  <c r="Q136" i="4"/>
  <c r="Q137" i="4"/>
  <c r="Q138" i="4"/>
  <c r="Q139" i="4"/>
  <c r="Q140" i="4"/>
  <c r="Q141" i="4"/>
  <c r="Q142" i="4"/>
  <c r="Q143" i="4"/>
  <c r="Q144" i="4"/>
  <c r="Q145" i="4"/>
  <c r="Q146" i="4"/>
  <c r="Q147" i="4"/>
  <c r="Q148" i="4"/>
  <c r="Q149" i="4"/>
  <c r="Q150" i="4"/>
  <c r="Q151" i="4"/>
  <c r="Q152" i="4"/>
  <c r="Q153" i="4"/>
  <c r="Q154" i="4"/>
  <c r="Q155" i="4"/>
  <c r="Q156" i="4"/>
  <c r="Q157" i="4"/>
  <c r="Q158" i="4"/>
  <c r="Q159" i="4"/>
  <c r="Q160" i="4"/>
  <c r="Q161" i="4"/>
  <c r="Q162" i="4"/>
  <c r="Q163" i="4"/>
  <c r="Q164" i="4"/>
  <c r="Q165" i="4"/>
  <c r="Q166" i="4"/>
  <c r="Q167" i="4"/>
  <c r="Q168" i="4"/>
  <c r="Q169" i="4"/>
  <c r="Q170" i="4"/>
  <c r="Q171" i="4"/>
  <c r="Q172" i="4"/>
  <c r="Q173" i="4"/>
  <c r="Q174" i="4"/>
  <c r="Q175" i="4"/>
  <c r="Q176" i="4"/>
  <c r="Q177" i="4"/>
  <c r="Q178" i="4"/>
  <c r="Q179" i="4"/>
  <c r="Q180" i="4"/>
  <c r="Q181" i="4"/>
  <c r="Q182" i="4"/>
  <c r="Q183" i="4"/>
  <c r="Q184" i="4"/>
  <c r="Q185" i="4"/>
  <c r="Q186" i="4"/>
  <c r="Q187" i="4"/>
  <c r="Q188" i="4"/>
  <c r="Q189" i="4"/>
  <c r="Q190" i="4"/>
  <c r="Q191" i="4"/>
  <c r="Q192" i="4"/>
  <c r="Q193" i="4"/>
  <c r="Q194" i="4"/>
  <c r="Q195" i="4"/>
  <c r="Q196" i="4"/>
  <c r="Q197" i="4"/>
  <c r="Q198" i="4"/>
  <c r="Q199" i="4"/>
  <c r="Q200" i="4"/>
  <c r="Q201" i="4"/>
  <c r="Q202" i="4"/>
  <c r="Q203" i="4"/>
  <c r="Q204" i="4"/>
  <c r="Q205" i="4"/>
  <c r="N79" i="7"/>
  <c r="N94" i="7"/>
  <c r="L120" i="1"/>
  <c r="V64" i="7"/>
  <c r="N55" i="1"/>
  <c r="N56" i="1" s="1"/>
  <c r="N56" i="7" s="1"/>
  <c r="AB129" i="7"/>
  <c r="AB114" i="7"/>
  <c r="N15" i="1"/>
  <c r="M80" i="1"/>
  <c r="M81" i="1" s="1"/>
  <c r="V81" i="7" s="1"/>
  <c r="N81" i="1"/>
  <c r="N81" i="7" s="1"/>
  <c r="L150" i="1"/>
  <c r="L151" i="1" s="1"/>
  <c r="L152" i="1" s="1"/>
  <c r="AB152" i="7" s="1"/>
  <c r="V89" i="7"/>
  <c r="N135" i="1"/>
  <c r="N136" i="1" s="1"/>
  <c r="N134" i="7"/>
  <c r="N155" i="1"/>
  <c r="N200" i="1"/>
  <c r="N201" i="1" s="1"/>
  <c r="N202" i="1" s="1"/>
  <c r="N202" i="7" s="1"/>
  <c r="N199" i="7"/>
  <c r="M197" i="1"/>
  <c r="V197" i="7" s="1"/>
  <c r="V196" i="7"/>
  <c r="N44" i="7" l="1"/>
  <c r="N9" i="7"/>
  <c r="N20" i="1"/>
  <c r="N21" i="1" s="1"/>
  <c r="N115" i="1"/>
  <c r="N116" i="1" s="1"/>
  <c r="V134" i="7"/>
  <c r="N86" i="1"/>
  <c r="N46" i="1"/>
  <c r="N46" i="7" s="1"/>
  <c r="AB116" i="7"/>
  <c r="L117" i="1"/>
  <c r="AB117" i="7" s="1"/>
  <c r="V114" i="7"/>
  <c r="V189" i="7"/>
  <c r="N119" i="7"/>
  <c r="N41" i="1"/>
  <c r="N42" i="1" s="1"/>
  <c r="N42" i="7" s="1"/>
  <c r="N75" i="1"/>
  <c r="N75" i="7" s="1"/>
  <c r="N140" i="1"/>
  <c r="N140" i="7" s="1"/>
  <c r="L190" i="1"/>
  <c r="AB190" i="7" s="1"/>
  <c r="N39" i="7"/>
  <c r="N91" i="1"/>
  <c r="N91" i="7" s="1"/>
  <c r="N104" i="7"/>
  <c r="V115" i="7"/>
  <c r="M116" i="1"/>
  <c r="M117" i="1" s="1"/>
  <c r="V117" i="7" s="1"/>
  <c r="V135" i="7"/>
  <c r="M82" i="1"/>
  <c r="V82" i="7" s="1"/>
  <c r="V74" i="7"/>
  <c r="AB125" i="7"/>
  <c r="V109" i="7"/>
  <c r="M100" i="1"/>
  <c r="V100" i="7" s="1"/>
  <c r="M111" i="1"/>
  <c r="V111" i="7" s="1"/>
  <c r="N82" i="1"/>
  <c r="N82" i="7" s="1"/>
  <c r="N135" i="7"/>
  <c r="L111" i="1"/>
  <c r="L112" i="1" s="1"/>
  <c r="AB112" i="7" s="1"/>
  <c r="AB115" i="7"/>
  <c r="AB184" i="7"/>
  <c r="N165" i="7"/>
  <c r="AB124" i="7"/>
  <c r="V139" i="7"/>
  <c r="V75" i="7"/>
  <c r="M76" i="1"/>
  <c r="M77" i="1" s="1"/>
  <c r="V77" i="7" s="1"/>
  <c r="V140" i="7"/>
  <c r="M141" i="1"/>
  <c r="V141" i="7" s="1"/>
  <c r="M191" i="1"/>
  <c r="M192" i="1" s="1"/>
  <c r="V192" i="7" s="1"/>
  <c r="V190" i="7"/>
  <c r="AB176" i="7"/>
  <c r="N49" i="7"/>
  <c r="V170" i="7"/>
  <c r="N125" i="1"/>
  <c r="N126" i="1" s="1"/>
  <c r="N167" i="1"/>
  <c r="N167" i="7" s="1"/>
  <c r="AB174" i="7"/>
  <c r="N35" i="1"/>
  <c r="N35" i="7" s="1"/>
  <c r="M131" i="1"/>
  <c r="V131" i="7" s="1"/>
  <c r="N200" i="7"/>
  <c r="AB139" i="7"/>
  <c r="V169" i="7"/>
  <c r="L127" i="1"/>
  <c r="AB127" i="7" s="1"/>
  <c r="L155" i="1"/>
  <c r="AB144" i="7"/>
  <c r="N5" i="1"/>
  <c r="N6" i="1" s="1"/>
  <c r="N76" i="1"/>
  <c r="N76" i="7" s="1"/>
  <c r="M112" i="1"/>
  <c r="V112" i="7" s="1"/>
  <c r="V171" i="7"/>
  <c r="M172" i="1"/>
  <c r="V172" i="7" s="1"/>
  <c r="N16" i="1"/>
  <c r="N15" i="7"/>
  <c r="L121" i="1"/>
  <c r="AB120" i="7"/>
  <c r="L141" i="1"/>
  <c r="AB140" i="7"/>
  <c r="AB170" i="7"/>
  <c r="L171" i="1"/>
  <c r="V120" i="7"/>
  <c r="M121" i="1"/>
  <c r="V186" i="7"/>
  <c r="M187" i="1"/>
  <c r="V187" i="7" s="1"/>
  <c r="N29" i="7"/>
  <c r="N30" i="1"/>
  <c r="N160" i="7"/>
  <c r="N161" i="1"/>
  <c r="AB151" i="7"/>
  <c r="AB150" i="7"/>
  <c r="V149" i="7"/>
  <c r="M105" i="1"/>
  <c r="N86" i="7"/>
  <c r="N87" i="1"/>
  <c r="N87" i="7" s="1"/>
  <c r="AB145" i="7"/>
  <c r="L146" i="1"/>
  <c r="L147" i="1" s="1"/>
  <c r="AB147" i="7" s="1"/>
  <c r="L160" i="1"/>
  <c r="AB159" i="7"/>
  <c r="L195" i="1"/>
  <c r="AB195" i="7" s="1"/>
  <c r="AB194" i="7"/>
  <c r="M91" i="1"/>
  <c r="M92" i="1" s="1"/>
  <c r="V92" i="7" s="1"/>
  <c r="V90" i="7"/>
  <c r="V124" i="7"/>
  <c r="M125" i="1"/>
  <c r="N70" i="1"/>
  <c r="N69" i="7"/>
  <c r="N145" i="1"/>
  <c r="N145" i="7" s="1"/>
  <c r="N144" i="7"/>
  <c r="V185" i="7"/>
  <c r="N164" i="7"/>
  <c r="N84" i="7"/>
  <c r="N150" i="1"/>
  <c r="N150" i="7" s="1"/>
  <c r="N149" i="7"/>
  <c r="M137" i="1"/>
  <c r="V137" i="7" s="1"/>
  <c r="V66" i="7"/>
  <c r="M151" i="1"/>
  <c r="N11" i="1"/>
  <c r="N11" i="7" s="1"/>
  <c r="V84" i="7"/>
  <c r="N159" i="7"/>
  <c r="AB169" i="7"/>
  <c r="AB200" i="7"/>
  <c r="L201" i="1"/>
  <c r="M145" i="1"/>
  <c r="V144" i="7"/>
  <c r="M180" i="1"/>
  <c r="V180" i="7" s="1"/>
  <c r="V179" i="7"/>
  <c r="AB109" i="7"/>
  <c r="AB175" i="7"/>
  <c r="N89" i="7"/>
  <c r="N137" i="1"/>
  <c r="N137" i="7" s="1"/>
  <c r="N136" i="7"/>
  <c r="N155" i="7"/>
  <c r="N156" i="1"/>
  <c r="N201" i="7"/>
  <c r="L131" i="1"/>
  <c r="AB130" i="7"/>
  <c r="N36" i="1"/>
  <c r="T206" i="4"/>
  <c r="V206" i="4"/>
  <c r="AD206" i="4"/>
  <c r="N24" i="7"/>
  <c r="N25" i="1"/>
  <c r="N96" i="1"/>
  <c r="M95" i="1"/>
  <c r="V80" i="7"/>
  <c r="N92" i="1"/>
  <c r="N92" i="7" s="1"/>
  <c r="L186" i="1"/>
  <c r="V129" i="7"/>
  <c r="L136" i="1"/>
  <c r="V119" i="7"/>
  <c r="V145" i="7"/>
  <c r="M146" i="1"/>
  <c r="M175" i="1"/>
  <c r="N100" i="1"/>
  <c r="N120" i="7"/>
  <c r="N129" i="7"/>
  <c r="N130" i="1"/>
  <c r="N141" i="1"/>
  <c r="N55" i="7"/>
  <c r="Y206" i="4"/>
  <c r="L165" i="1"/>
  <c r="AB164" i="7"/>
  <c r="L180" i="1"/>
  <c r="AB179" i="7"/>
  <c r="N59" i="7"/>
  <c r="N60" i="1"/>
  <c r="N109" i="7"/>
  <c r="N110" i="1"/>
  <c r="N169" i="7"/>
  <c r="N170" i="1"/>
  <c r="V65" i="7"/>
  <c r="N106" i="1"/>
  <c r="N57" i="1"/>
  <c r="N57" i="7" s="1"/>
  <c r="V195" i="7"/>
  <c r="M87" i="1"/>
  <c r="V87" i="7" s="1"/>
  <c r="V194" i="7"/>
  <c r="V184" i="7"/>
  <c r="N121" i="7"/>
  <c r="M70" i="1"/>
  <c r="AB134" i="7"/>
  <c r="V85" i="7"/>
  <c r="M200" i="1"/>
  <c r="V199" i="7"/>
  <c r="N51" i="1"/>
  <c r="N50" i="7"/>
  <c r="N64" i="7"/>
  <c r="N65" i="1"/>
  <c r="Q206" i="4"/>
  <c r="AA206" i="4"/>
  <c r="AF206" i="4"/>
  <c r="AZ86" i="7"/>
  <c r="O206" i="4"/>
  <c r="L180" i="4"/>
  <c r="AP178" i="7" s="1"/>
  <c r="L124" i="4"/>
  <c r="U124" i="4" s="1"/>
  <c r="L5" i="4"/>
  <c r="AE5" i="4" s="1"/>
  <c r="L20" i="4"/>
  <c r="C18" i="7" s="1"/>
  <c r="L16" i="4"/>
  <c r="B14" i="7" s="1"/>
  <c r="L12" i="4"/>
  <c r="AR10" i="7" s="1"/>
  <c r="L205" i="4"/>
  <c r="AA203" i="7" s="1"/>
  <c r="L197" i="4"/>
  <c r="L195" i="7" s="1"/>
  <c r="L193" i="4"/>
  <c r="B191" i="7" s="1"/>
  <c r="L181" i="4"/>
  <c r="L179" i="7" s="1"/>
  <c r="L177" i="4"/>
  <c r="AA175" i="7" s="1"/>
  <c r="L173" i="4"/>
  <c r="Z173" i="4" s="1"/>
  <c r="L169" i="4"/>
  <c r="S167" i="7" s="1"/>
  <c r="L165" i="4"/>
  <c r="AA163" i="7" s="1"/>
  <c r="L161" i="4"/>
  <c r="AY41" i="7" s="1"/>
  <c r="L157" i="4"/>
  <c r="X157" i="4" s="1"/>
  <c r="L153" i="4"/>
  <c r="D151" i="7" s="1"/>
  <c r="L149" i="4"/>
  <c r="C147" i="7" s="1"/>
  <c r="L142" i="4"/>
  <c r="AE142" i="4" s="1"/>
  <c r="L138" i="4"/>
  <c r="Z138" i="4" s="1"/>
  <c r="L134" i="4"/>
  <c r="AY14" i="7" s="1"/>
  <c r="L129" i="4"/>
  <c r="L125" i="4"/>
  <c r="S125" i="4" s="1"/>
  <c r="L121" i="4"/>
  <c r="K119" i="7" s="1"/>
  <c r="L117" i="4"/>
  <c r="D115" i="7" s="1"/>
  <c r="L113" i="4"/>
  <c r="L109" i="4"/>
  <c r="AR107" i="7" s="1"/>
  <c r="L105" i="4"/>
  <c r="AE103" i="7" s="1"/>
  <c r="L101" i="4"/>
  <c r="T99" i="7" s="1"/>
  <c r="L97" i="4"/>
  <c r="L93" i="4"/>
  <c r="U93" i="4" s="1"/>
  <c r="L89" i="4"/>
  <c r="D87" i="7" s="1"/>
  <c r="L85" i="4"/>
  <c r="Z85" i="4" s="1"/>
  <c r="L81" i="4"/>
  <c r="L77" i="4"/>
  <c r="Z77" i="4" s="1"/>
  <c r="L73" i="4"/>
  <c r="L69" i="4"/>
  <c r="AP67" i="7" s="1"/>
  <c r="L65" i="4"/>
  <c r="L61" i="4"/>
  <c r="P61" i="4" s="1"/>
  <c r="L57" i="4"/>
  <c r="AE57" i="4" s="1"/>
  <c r="L53" i="4"/>
  <c r="C51" i="7" s="1"/>
  <c r="L49" i="4"/>
  <c r="C47" i="7" s="1"/>
  <c r="L45" i="4"/>
  <c r="M43" i="7" s="1"/>
  <c r="L41" i="4"/>
  <c r="N41" i="4" s="1"/>
  <c r="L37" i="4"/>
  <c r="P37" i="4" s="1"/>
  <c r="L33" i="4"/>
  <c r="L29" i="4"/>
  <c r="S27" i="7" s="1"/>
  <c r="L25" i="4"/>
  <c r="T23" i="7" s="1"/>
  <c r="L175" i="4"/>
  <c r="B173" i="7" s="1"/>
  <c r="L167" i="4"/>
  <c r="L163" i="4"/>
  <c r="N163" i="4" s="1"/>
  <c r="L115" i="4"/>
  <c r="B113" i="7" s="1"/>
  <c r="L111" i="4"/>
  <c r="D109" i="7" s="1"/>
  <c r="L103" i="4"/>
  <c r="L99" i="4"/>
  <c r="S99" i="4" s="1"/>
  <c r="L95" i="4"/>
  <c r="D93" i="7" s="1"/>
  <c r="L91" i="4"/>
  <c r="Z91" i="4" s="1"/>
  <c r="L87" i="4"/>
  <c r="U87" i="4" s="1"/>
  <c r="L79" i="4"/>
  <c r="L75" i="4"/>
  <c r="M73" i="7" s="1"/>
  <c r="L71" i="4"/>
  <c r="B69" i="7" s="1"/>
  <c r="L67" i="4"/>
  <c r="AR65" i="7" s="1"/>
  <c r="L63" i="4"/>
  <c r="L59" i="4"/>
  <c r="X59" i="4" s="1"/>
  <c r="L55" i="4"/>
  <c r="P55" i="4" s="1"/>
  <c r="L51" i="4"/>
  <c r="M49" i="7" s="1"/>
  <c r="L47" i="4"/>
  <c r="T45" i="7" s="1"/>
  <c r="L43" i="4"/>
  <c r="L39" i="4"/>
  <c r="L35" i="4"/>
  <c r="AC35" i="4" s="1"/>
  <c r="L31" i="4"/>
  <c r="B29" i="7" s="1"/>
  <c r="L27" i="4"/>
  <c r="U25" i="7" s="1"/>
  <c r="L120" i="4"/>
  <c r="N120" i="4" s="1"/>
  <c r="L48" i="4"/>
  <c r="U48" i="4" s="1"/>
  <c r="L96" i="4"/>
  <c r="AQ94" i="7" s="1"/>
  <c r="L80" i="4"/>
  <c r="L60" i="4"/>
  <c r="C58" i="7" s="1"/>
  <c r="N49" i="4"/>
  <c r="AE161" i="7"/>
  <c r="L22" i="4"/>
  <c r="AE20" i="7" s="1"/>
  <c r="L18" i="4"/>
  <c r="P18" i="4" s="1"/>
  <c r="L14" i="4"/>
  <c r="L10" i="4"/>
  <c r="S8" i="7" s="1"/>
  <c r="L6" i="4"/>
  <c r="AR4" i="7" s="1"/>
  <c r="L199" i="4"/>
  <c r="U197" i="7" s="1"/>
  <c r="L195" i="4"/>
  <c r="X195" i="4" s="1"/>
  <c r="L191" i="4"/>
  <c r="B189" i="7" s="1"/>
  <c r="L187" i="4"/>
  <c r="AP185" i="7" s="1"/>
  <c r="L183" i="4"/>
  <c r="AE181" i="7" s="1"/>
  <c r="L23" i="4"/>
  <c r="D21" i="7" s="1"/>
  <c r="L19" i="4"/>
  <c r="B17" i="7" s="1"/>
  <c r="L15" i="4"/>
  <c r="T13" i="7" s="1"/>
  <c r="L11" i="4"/>
  <c r="AA9" i="7" s="1"/>
  <c r="L7" i="4"/>
  <c r="D5" i="7" s="1"/>
  <c r="L204" i="4"/>
  <c r="N204" i="4" s="1"/>
  <c r="L200" i="4"/>
  <c r="AA198" i="7" s="1"/>
  <c r="L196" i="4"/>
  <c r="N196" i="4" s="1"/>
  <c r="L192" i="4"/>
  <c r="U190" i="7" s="1"/>
  <c r="L188" i="4"/>
  <c r="AR186" i="7" s="1"/>
  <c r="L184" i="4"/>
  <c r="L156" i="4"/>
  <c r="U154" i="7" s="1"/>
  <c r="L148" i="4"/>
  <c r="X148" i="4" s="1"/>
  <c r="L137" i="4"/>
  <c r="T135" i="7" s="1"/>
  <c r="L128" i="4"/>
  <c r="B126" i="7" s="1"/>
  <c r="L112" i="4"/>
  <c r="U112" i="4" s="1"/>
  <c r="L88" i="4"/>
  <c r="AA86" i="7" s="1"/>
  <c r="L84" i="4"/>
  <c r="L76" i="4"/>
  <c r="U76" i="4" s="1"/>
  <c r="L44" i="4"/>
  <c r="AA42" i="7" s="1"/>
  <c r="L40" i="4"/>
  <c r="AR38" i="7" s="1"/>
  <c r="L28" i="4"/>
  <c r="B26" i="7" s="1"/>
  <c r="L202" i="4"/>
  <c r="L194" i="4"/>
  <c r="L186" i="4"/>
  <c r="T184" i="7" s="1"/>
  <c r="L154" i="4"/>
  <c r="L150" i="4"/>
  <c r="C148" i="7" s="1"/>
  <c r="L139" i="4"/>
  <c r="U139" i="4" s="1"/>
  <c r="L130" i="4"/>
  <c r="S130" i="4" s="1"/>
  <c r="L145" i="4"/>
  <c r="D143" i="7" s="1"/>
  <c r="L176" i="4"/>
  <c r="M174" i="7" s="1"/>
  <c r="L108" i="4"/>
  <c r="U108" i="4" s="1"/>
  <c r="L72" i="4"/>
  <c r="L144" i="4"/>
  <c r="P144" i="4" s="1"/>
  <c r="L21" i="4"/>
  <c r="N21" i="4" s="1"/>
  <c r="L17" i="4"/>
  <c r="M15" i="7" s="1"/>
  <c r="L13" i="4"/>
  <c r="S13" i="4" s="1"/>
  <c r="L9" i="4"/>
  <c r="S9" i="4" s="1"/>
  <c r="L24" i="4"/>
  <c r="X24" i="4" s="1"/>
  <c r="L198" i="4"/>
  <c r="L190" i="4"/>
  <c r="AY70" i="7" s="1"/>
  <c r="L178" i="4"/>
  <c r="L172" i="4"/>
  <c r="L166" i="4"/>
  <c r="U166" i="4" s="1"/>
  <c r="L158" i="4"/>
  <c r="AP156" i="7" s="1"/>
  <c r="L146" i="4"/>
  <c r="U146" i="4" s="1"/>
  <c r="L135" i="4"/>
  <c r="N135" i="4" s="1"/>
  <c r="L126" i="4"/>
  <c r="AA124" i="7" s="1"/>
  <c r="L102" i="4"/>
  <c r="L90" i="4"/>
  <c r="U90" i="4" s="1"/>
  <c r="L70" i="4"/>
  <c r="K68" i="7" s="1"/>
  <c r="L203" i="4"/>
  <c r="AR201" i="7" s="1"/>
  <c r="L160" i="4"/>
  <c r="AE160" i="4" s="1"/>
  <c r="L152" i="4"/>
  <c r="AC152" i="4" s="1"/>
  <c r="L141" i="4"/>
  <c r="L139" i="7" s="1"/>
  <c r="L133" i="4"/>
  <c r="L116" i="4"/>
  <c r="L104" i="4"/>
  <c r="L100" i="4"/>
  <c r="L92" i="4"/>
  <c r="U92" i="4" s="1"/>
  <c r="L68" i="4"/>
  <c r="L64" i="4"/>
  <c r="L52" i="4"/>
  <c r="X52" i="4" s="1"/>
  <c r="L36" i="4"/>
  <c r="AA34" i="7" s="1"/>
  <c r="AQ100" i="7"/>
  <c r="L66" i="4"/>
  <c r="AR64" i="7" s="1"/>
  <c r="L62" i="4"/>
  <c r="N62" i="4" s="1"/>
  <c r="L58" i="4"/>
  <c r="C56" i="7" s="1"/>
  <c r="L54" i="4"/>
  <c r="P54" i="4" s="1"/>
  <c r="L50" i="4"/>
  <c r="AR48" i="7" s="1"/>
  <c r="L46" i="4"/>
  <c r="X46" i="4" s="1"/>
  <c r="L42" i="4"/>
  <c r="N42" i="4" s="1"/>
  <c r="L38" i="4"/>
  <c r="AE38" i="4" s="1"/>
  <c r="L34" i="4"/>
  <c r="U32" i="7" s="1"/>
  <c r="L30" i="4"/>
  <c r="L28" i="7" s="1"/>
  <c r="L26" i="4"/>
  <c r="T24" i="7" s="1"/>
  <c r="L143" i="4"/>
  <c r="L174" i="4"/>
  <c r="AP172" i="7" s="1"/>
  <c r="L162" i="4"/>
  <c r="AC162" i="4" s="1"/>
  <c r="L182" i="4"/>
  <c r="AQ180" i="7" s="1"/>
  <c r="L171" i="4"/>
  <c r="L168" i="4"/>
  <c r="AP166" i="7" s="1"/>
  <c r="L122" i="4"/>
  <c r="AE122" i="4" s="1"/>
  <c r="L119" i="4"/>
  <c r="L118" i="4"/>
  <c r="L114" i="4"/>
  <c r="S114" i="4" s="1"/>
  <c r="L110" i="4"/>
  <c r="AE108" i="7" s="1"/>
  <c r="L107" i="4"/>
  <c r="L106" i="4"/>
  <c r="L98" i="4"/>
  <c r="L94" i="4"/>
  <c r="AE92" i="7" s="1"/>
  <c r="L86" i="4"/>
  <c r="L83" i="4"/>
  <c r="L82" i="4"/>
  <c r="C80" i="7" s="1"/>
  <c r="L78" i="4"/>
  <c r="L74" i="4"/>
  <c r="N74" i="4" s="1"/>
  <c r="L164" i="4"/>
  <c r="S164" i="4" s="1"/>
  <c r="L170" i="4"/>
  <c r="T168" i="7" s="1"/>
  <c r="L159" i="4"/>
  <c r="AP157" i="7" s="1"/>
  <c r="L155" i="4"/>
  <c r="K153" i="7" s="1"/>
  <c r="L151" i="4"/>
  <c r="AE151" i="4" s="1"/>
  <c r="L147" i="4"/>
  <c r="D145" i="7" s="1"/>
  <c r="L140" i="4"/>
  <c r="AC140" i="4" s="1"/>
  <c r="L136" i="4"/>
  <c r="T134" i="7" s="1"/>
  <c r="L132" i="4"/>
  <c r="P132" i="4" s="1"/>
  <c r="L127" i="4"/>
  <c r="L123" i="4"/>
  <c r="C121" i="7" s="1"/>
  <c r="L8" i="4"/>
  <c r="L201" i="4"/>
  <c r="L189" i="4"/>
  <c r="L185" i="4"/>
  <c r="L179" i="4"/>
  <c r="L56" i="4"/>
  <c r="L32" i="4"/>
  <c r="L131" i="4"/>
  <c r="V91" i="7" l="1"/>
  <c r="N20" i="7"/>
  <c r="L191" i="1"/>
  <c r="N125" i="7"/>
  <c r="AB111" i="7"/>
  <c r="N115" i="7"/>
  <c r="N47" i="1"/>
  <c r="N47" i="7" s="1"/>
  <c r="L125" i="7"/>
  <c r="U82" i="7"/>
  <c r="N151" i="1"/>
  <c r="N152" i="1" s="1"/>
  <c r="N152" i="7" s="1"/>
  <c r="M101" i="1"/>
  <c r="M132" i="1"/>
  <c r="V132" i="7" s="1"/>
  <c r="M63" i="7"/>
  <c r="N41" i="7"/>
  <c r="T100" i="7"/>
  <c r="L196" i="1"/>
  <c r="V116" i="7"/>
  <c r="N77" i="1"/>
  <c r="N77" i="7" s="1"/>
  <c r="N5" i="7"/>
  <c r="M142" i="1"/>
  <c r="V142" i="7" s="1"/>
  <c r="N146" i="1"/>
  <c r="L146" i="7" s="1"/>
  <c r="T192" i="7"/>
  <c r="V191" i="7"/>
  <c r="AB155" i="7"/>
  <c r="L156" i="1"/>
  <c r="V76" i="7"/>
  <c r="T178" i="7"/>
  <c r="S178" i="7"/>
  <c r="U180" i="4"/>
  <c r="S180" i="4"/>
  <c r="U178" i="7"/>
  <c r="C132" i="7"/>
  <c r="L202" i="1"/>
  <c r="AB202" i="7" s="1"/>
  <c r="AB201" i="7"/>
  <c r="V151" i="7"/>
  <c r="M152" i="1"/>
  <c r="V152" i="7" s="1"/>
  <c r="V105" i="7"/>
  <c r="M106" i="1"/>
  <c r="U106" i="7" s="1"/>
  <c r="N30" i="7"/>
  <c r="N31" i="1"/>
  <c r="M31" i="7" s="1"/>
  <c r="M122" i="1"/>
  <c r="V122" i="7" s="1"/>
  <c r="V121" i="7"/>
  <c r="N71" i="1"/>
  <c r="K71" i="7" s="1"/>
  <c r="N70" i="7"/>
  <c r="AB160" i="7"/>
  <c r="L161" i="1"/>
  <c r="AA161" i="7" s="1"/>
  <c r="AB141" i="7"/>
  <c r="L142" i="1"/>
  <c r="AB142" i="7" s="1"/>
  <c r="N17" i="1"/>
  <c r="N17" i="7" s="1"/>
  <c r="N16" i="7"/>
  <c r="N12" i="1"/>
  <c r="N12" i="7" s="1"/>
  <c r="M181" i="1"/>
  <c r="V181" i="7" s="1"/>
  <c r="N116" i="7"/>
  <c r="N117" i="1"/>
  <c r="N117" i="7" s="1"/>
  <c r="M126" i="1"/>
  <c r="S126" i="7" s="1"/>
  <c r="V125" i="7"/>
  <c r="N162" i="1"/>
  <c r="N162" i="7" s="1"/>
  <c r="N161" i="7"/>
  <c r="L172" i="1"/>
  <c r="AB172" i="7" s="1"/>
  <c r="AB171" i="7"/>
  <c r="L170" i="7"/>
  <c r="AB146" i="7"/>
  <c r="L122" i="1"/>
  <c r="AB122" i="7" s="1"/>
  <c r="AB121" i="7"/>
  <c r="N66" i="1"/>
  <c r="M66" i="7" s="1"/>
  <c r="N65" i="7"/>
  <c r="V70" i="7"/>
  <c r="M71" i="1"/>
  <c r="T71" i="7" s="1"/>
  <c r="L166" i="1"/>
  <c r="AA166" i="7" s="1"/>
  <c r="AB165" i="7"/>
  <c r="V175" i="7"/>
  <c r="M176" i="1"/>
  <c r="U176" i="7" s="1"/>
  <c r="AB136" i="7"/>
  <c r="L137" i="1"/>
  <c r="AB137" i="7" s="1"/>
  <c r="N126" i="7"/>
  <c r="N127" i="1"/>
  <c r="N127" i="7" s="1"/>
  <c r="V200" i="7"/>
  <c r="M201" i="1"/>
  <c r="N106" i="7"/>
  <c r="N107" i="1"/>
  <c r="N107" i="7" s="1"/>
  <c r="N110" i="7"/>
  <c r="N111" i="1"/>
  <c r="L111" i="7" s="1"/>
  <c r="N142" i="1"/>
  <c r="N142" i="7" s="1"/>
  <c r="N141" i="7"/>
  <c r="N100" i="7"/>
  <c r="N101" i="1"/>
  <c r="M147" i="1"/>
  <c r="V147" i="7" s="1"/>
  <c r="V146" i="7"/>
  <c r="N97" i="1"/>
  <c r="N97" i="7" s="1"/>
  <c r="N96" i="7"/>
  <c r="N6" i="7"/>
  <c r="N7" i="1"/>
  <c r="N7" i="7" s="1"/>
  <c r="L132" i="1"/>
  <c r="AB132" i="7" s="1"/>
  <c r="AB131" i="7"/>
  <c r="N156" i="7"/>
  <c r="N157" i="1"/>
  <c r="N157" i="7" s="1"/>
  <c r="AB180" i="7"/>
  <c r="L181" i="1"/>
  <c r="N131" i="1"/>
  <c r="L131" i="7" s="1"/>
  <c r="N130" i="7"/>
  <c r="AB191" i="7"/>
  <c r="L192" i="1"/>
  <c r="AB192" i="7" s="1"/>
  <c r="N147" i="1"/>
  <c r="N147" i="7" s="1"/>
  <c r="V95" i="7"/>
  <c r="M96" i="1"/>
  <c r="T96" i="7" s="1"/>
  <c r="N52" i="1"/>
  <c r="N52" i="7" s="1"/>
  <c r="N51" i="7"/>
  <c r="N171" i="1"/>
  <c r="K171" i="7" s="1"/>
  <c r="N170" i="7"/>
  <c r="N61" i="1"/>
  <c r="M61" i="7" s="1"/>
  <c r="N60" i="7"/>
  <c r="N21" i="7"/>
  <c r="N22" i="1"/>
  <c r="N22" i="7" s="1"/>
  <c r="M102" i="1"/>
  <c r="V102" i="7" s="1"/>
  <c r="V101" i="7"/>
  <c r="AB186" i="7"/>
  <c r="L187" i="1"/>
  <c r="AB187" i="7" s="1"/>
  <c r="L197" i="1"/>
  <c r="AB197" i="7" s="1"/>
  <c r="AB196" i="7"/>
  <c r="N25" i="7"/>
  <c r="N26" i="1"/>
  <c r="L26" i="7" s="1"/>
  <c r="N36" i="7"/>
  <c r="N37" i="1"/>
  <c r="N37" i="7" s="1"/>
  <c r="AP107" i="7"/>
  <c r="N63" i="4"/>
  <c r="T75" i="7"/>
  <c r="AP161" i="7"/>
  <c r="M91" i="7"/>
  <c r="AE177" i="4"/>
  <c r="S63" i="4"/>
  <c r="C178" i="7"/>
  <c r="K178" i="7"/>
  <c r="AY60" i="7"/>
  <c r="AR178" i="7"/>
  <c r="AE178" i="7"/>
  <c r="M178" i="7"/>
  <c r="N180" i="4"/>
  <c r="AA178" i="7"/>
  <c r="AQ178" i="7"/>
  <c r="B178" i="7"/>
  <c r="P180" i="4"/>
  <c r="X180" i="4"/>
  <c r="AC180" i="4"/>
  <c r="D178" i="7"/>
  <c r="AE180" i="4"/>
  <c r="Z180" i="4"/>
  <c r="L178" i="7"/>
  <c r="U3" i="7"/>
  <c r="AP91" i="7"/>
  <c r="M29" i="7"/>
  <c r="X29" i="4"/>
  <c r="D77" i="7"/>
  <c r="D29" i="7"/>
  <c r="M59" i="7"/>
  <c r="D75" i="7"/>
  <c r="K159" i="7"/>
  <c r="K203" i="7"/>
  <c r="AP75" i="7"/>
  <c r="B27" i="7"/>
  <c r="B75" i="7"/>
  <c r="K123" i="7"/>
  <c r="N109" i="4"/>
  <c r="B97" i="7"/>
  <c r="L123" i="7"/>
  <c r="U29" i="7"/>
  <c r="U205" i="4"/>
  <c r="B175" i="7"/>
  <c r="AE27" i="7"/>
  <c r="U175" i="7"/>
  <c r="Z109" i="4"/>
  <c r="D107" i="7"/>
  <c r="T77" i="7"/>
  <c r="AR97" i="7"/>
  <c r="AA91" i="7"/>
  <c r="U61" i="7"/>
  <c r="AQ77" i="7"/>
  <c r="S205" i="4"/>
  <c r="U45" i="7"/>
  <c r="AE47" i="4"/>
  <c r="AE140" i="7"/>
  <c r="K3" i="7"/>
  <c r="AP59" i="7"/>
  <c r="AP43" i="7"/>
  <c r="U161" i="4"/>
  <c r="AE96" i="4"/>
  <c r="B61" i="7"/>
  <c r="AA77" i="7"/>
  <c r="B77" i="7"/>
  <c r="T91" i="7"/>
  <c r="Z93" i="4"/>
  <c r="X47" i="4"/>
  <c r="AQ203" i="7"/>
  <c r="B203" i="7"/>
  <c r="AA97" i="7"/>
  <c r="C159" i="7"/>
  <c r="S94" i="7"/>
  <c r="X61" i="4"/>
  <c r="AA43" i="7"/>
  <c r="S159" i="7"/>
  <c r="S75" i="7"/>
  <c r="AE124" i="4"/>
  <c r="Z124" i="4"/>
  <c r="AR122" i="7"/>
  <c r="AQ122" i="7"/>
  <c r="N27" i="4"/>
  <c r="AE107" i="7"/>
  <c r="B107" i="7"/>
  <c r="P79" i="4"/>
  <c r="AR77" i="7"/>
  <c r="AE79" i="4"/>
  <c r="AE97" i="7"/>
  <c r="P31" i="4"/>
  <c r="S123" i="7"/>
  <c r="AC93" i="4"/>
  <c r="U125" i="4"/>
  <c r="B123" i="7"/>
  <c r="C161" i="7"/>
  <c r="AC31" i="4"/>
  <c r="S45" i="7"/>
  <c r="Z205" i="4"/>
  <c r="S203" i="7"/>
  <c r="C97" i="7"/>
  <c r="AQ29" i="7"/>
  <c r="B43" i="7"/>
  <c r="AP61" i="7"/>
  <c r="L75" i="7"/>
  <c r="X161" i="4"/>
  <c r="AE3" i="7"/>
  <c r="D94" i="7"/>
  <c r="T27" i="7"/>
  <c r="AE59" i="7"/>
  <c r="AY57" i="7"/>
  <c r="S43" i="7"/>
  <c r="X142" i="4"/>
  <c r="N177" i="4"/>
  <c r="D3" i="7"/>
  <c r="AC29" i="4"/>
  <c r="K59" i="7"/>
  <c r="AQ123" i="7"/>
  <c r="S109" i="4"/>
  <c r="AA107" i="7"/>
  <c r="AQ107" i="7"/>
  <c r="Z79" i="4"/>
  <c r="AP77" i="7"/>
  <c r="S79" i="4"/>
  <c r="AC99" i="4"/>
  <c r="S29" i="7"/>
  <c r="AE93" i="4"/>
  <c r="S93" i="4"/>
  <c r="D123" i="7"/>
  <c r="Z125" i="4"/>
  <c r="U159" i="7"/>
  <c r="AC63" i="4"/>
  <c r="S31" i="4"/>
  <c r="C45" i="7"/>
  <c r="X205" i="4"/>
  <c r="AP203" i="7"/>
  <c r="T29" i="7"/>
  <c r="D45" i="7"/>
  <c r="P99" i="4"/>
  <c r="AQ43" i="7"/>
  <c r="AA140" i="7"/>
  <c r="K175" i="7"/>
  <c r="C3" i="7"/>
  <c r="AQ27" i="7"/>
  <c r="AP27" i="7"/>
  <c r="AR59" i="7"/>
  <c r="M3" i="7"/>
  <c r="Z45" i="4"/>
  <c r="AR140" i="7"/>
  <c r="L175" i="7"/>
  <c r="N5" i="4"/>
  <c r="AC96" i="4"/>
  <c r="AE75" i="7"/>
  <c r="S140" i="7"/>
  <c r="AE109" i="4"/>
  <c r="AC109" i="4"/>
  <c r="U109" i="4"/>
  <c r="U79" i="4"/>
  <c r="N79" i="4"/>
  <c r="AE77" i="7"/>
  <c r="AE99" i="4"/>
  <c r="X177" i="4"/>
  <c r="AA123" i="7"/>
  <c r="S91" i="7"/>
  <c r="C123" i="7"/>
  <c r="AE91" i="7"/>
  <c r="D91" i="7"/>
  <c r="K91" i="7"/>
  <c r="AE123" i="7"/>
  <c r="AP123" i="7"/>
  <c r="AY5" i="7"/>
  <c r="D159" i="7"/>
  <c r="Z63" i="4"/>
  <c r="L45" i="7"/>
  <c r="S77" i="7"/>
  <c r="U47" i="4"/>
  <c r="T203" i="7"/>
  <c r="C203" i="7"/>
  <c r="N205" i="4"/>
  <c r="AR203" i="7"/>
  <c r="AE31" i="4"/>
  <c r="AP29" i="7"/>
  <c r="P47" i="4"/>
  <c r="AR45" i="7"/>
  <c r="AR29" i="7"/>
  <c r="D97" i="7"/>
  <c r="N45" i="4"/>
  <c r="AA45" i="7"/>
  <c r="AE63" i="4"/>
  <c r="N77" i="4"/>
  <c r="AQ140" i="7"/>
  <c r="AR159" i="7"/>
  <c r="M175" i="7"/>
  <c r="X5" i="4"/>
  <c r="P5" i="4"/>
  <c r="B94" i="7"/>
  <c r="N29" i="4"/>
  <c r="AA27" i="7"/>
  <c r="Z61" i="4"/>
  <c r="AQ59" i="7"/>
  <c r="AE61" i="4"/>
  <c r="C27" i="7"/>
  <c r="N31" i="4"/>
  <c r="D43" i="7"/>
  <c r="AQ75" i="7"/>
  <c r="K75" i="7"/>
  <c r="S142" i="4"/>
  <c r="Z161" i="4"/>
  <c r="U177" i="4"/>
  <c r="AQ3" i="7"/>
  <c r="AR3" i="7"/>
  <c r="U94" i="7"/>
  <c r="X96" i="4"/>
  <c r="D59" i="7"/>
  <c r="S45" i="4"/>
  <c r="U140" i="7"/>
  <c r="B103" i="7"/>
  <c r="U99" i="4"/>
  <c r="S177" i="4"/>
  <c r="N125" i="4"/>
  <c r="P93" i="4"/>
  <c r="X93" i="4"/>
  <c r="AR91" i="7"/>
  <c r="AE125" i="4"/>
  <c r="P125" i="4"/>
  <c r="L159" i="7"/>
  <c r="C29" i="7"/>
  <c r="P63" i="4"/>
  <c r="AC47" i="4"/>
  <c r="AP97" i="7"/>
  <c r="T61" i="7"/>
  <c r="K45" i="7"/>
  <c r="U77" i="7"/>
  <c r="P205" i="4"/>
  <c r="U203" i="7"/>
  <c r="AE205" i="4"/>
  <c r="M45" i="7"/>
  <c r="Z99" i="4"/>
  <c r="AE45" i="4"/>
  <c r="AE77" i="4"/>
  <c r="T140" i="7"/>
  <c r="AA159" i="7"/>
  <c r="AQ175" i="7"/>
  <c r="AC5" i="4"/>
  <c r="T3" i="7"/>
  <c r="K94" i="7"/>
  <c r="U27" i="7"/>
  <c r="D27" i="7"/>
  <c r="AC61" i="4"/>
  <c r="U61" i="4"/>
  <c r="S29" i="4"/>
  <c r="U43" i="7"/>
  <c r="L43" i="7"/>
  <c r="P142" i="4"/>
  <c r="T175" i="7"/>
  <c r="N96" i="4"/>
  <c r="N75" i="4"/>
  <c r="P124" i="4"/>
  <c r="AQ87" i="7"/>
  <c r="K122" i="7"/>
  <c r="AY4" i="7"/>
  <c r="Z20" i="4"/>
  <c r="K41" i="7"/>
  <c r="S41" i="7"/>
  <c r="C71" i="7"/>
  <c r="U103" i="7"/>
  <c r="AR25" i="7"/>
  <c r="U93" i="7"/>
  <c r="U96" i="4"/>
  <c r="Z96" i="4"/>
  <c r="M94" i="7"/>
  <c r="AA94" i="7"/>
  <c r="P96" i="4"/>
  <c r="AP94" i="7"/>
  <c r="C94" i="7"/>
  <c r="AE29" i="7"/>
  <c r="K29" i="7"/>
  <c r="X31" i="4"/>
  <c r="U31" i="4"/>
  <c r="Z31" i="4"/>
  <c r="AA29" i="7"/>
  <c r="L29" i="7"/>
  <c r="N47" i="4"/>
  <c r="Z47" i="4"/>
  <c r="AP45" i="7"/>
  <c r="B45" i="7"/>
  <c r="S47" i="4"/>
  <c r="AE45" i="7"/>
  <c r="AE61" i="7"/>
  <c r="D61" i="7"/>
  <c r="AR61" i="7"/>
  <c r="C61" i="7"/>
  <c r="AQ61" i="7"/>
  <c r="U63" i="4"/>
  <c r="X79" i="4"/>
  <c r="C77" i="7"/>
  <c r="AC79" i="4"/>
  <c r="N99" i="4"/>
  <c r="X99" i="4"/>
  <c r="AQ97" i="7"/>
  <c r="X163" i="4"/>
  <c r="AC163" i="4"/>
  <c r="P163" i="4"/>
  <c r="AE163" i="4"/>
  <c r="Z29" i="4"/>
  <c r="AR27" i="7"/>
  <c r="P29" i="4"/>
  <c r="U29" i="4"/>
  <c r="AC45" i="4"/>
  <c r="P45" i="4"/>
  <c r="U45" i="4"/>
  <c r="K43" i="7"/>
  <c r="X45" i="4"/>
  <c r="AE43" i="7"/>
  <c r="T43" i="7"/>
  <c r="C43" i="7"/>
  <c r="S59" i="7"/>
  <c r="AA59" i="7"/>
  <c r="U59" i="7"/>
  <c r="N61" i="4"/>
  <c r="C59" i="7"/>
  <c r="B59" i="7"/>
  <c r="S61" i="4"/>
  <c r="L59" i="7"/>
  <c r="AC77" i="4"/>
  <c r="S77" i="4"/>
  <c r="X77" i="4"/>
  <c r="C75" i="7"/>
  <c r="P77" i="4"/>
  <c r="U75" i="7"/>
  <c r="AA75" i="7"/>
  <c r="AR75" i="7"/>
  <c r="U77" i="4"/>
  <c r="U91" i="7"/>
  <c r="L91" i="7"/>
  <c r="AQ91" i="7"/>
  <c r="N93" i="4"/>
  <c r="C91" i="7"/>
  <c r="B91" i="7"/>
  <c r="P109" i="4"/>
  <c r="X109" i="4"/>
  <c r="AC125" i="4"/>
  <c r="AR123" i="7"/>
  <c r="X125" i="4"/>
  <c r="T123" i="7"/>
  <c r="M123" i="7"/>
  <c r="U123" i="7"/>
  <c r="N142" i="4"/>
  <c r="U142" i="4"/>
  <c r="M140" i="7"/>
  <c r="C140" i="7"/>
  <c r="D140" i="7"/>
  <c r="B140" i="7"/>
  <c r="L140" i="7"/>
  <c r="K140" i="7"/>
  <c r="AY22" i="7"/>
  <c r="Z142" i="4"/>
  <c r="B159" i="7"/>
  <c r="AQ159" i="7"/>
  <c r="AP159" i="7"/>
  <c r="AE159" i="7"/>
  <c r="AC161" i="4"/>
  <c r="P161" i="4"/>
  <c r="M159" i="7"/>
  <c r="S161" i="4"/>
  <c r="AE161" i="4"/>
  <c r="N161" i="4"/>
  <c r="T159" i="7"/>
  <c r="P177" i="4"/>
  <c r="AP175" i="7"/>
  <c r="AE175" i="7"/>
  <c r="S175" i="7"/>
  <c r="D175" i="7"/>
  <c r="AC177" i="4"/>
  <c r="Z177" i="4"/>
  <c r="AR175" i="7"/>
  <c r="C175" i="7"/>
  <c r="AC205" i="4"/>
  <c r="AY85" i="7"/>
  <c r="D203" i="7"/>
  <c r="M203" i="7"/>
  <c r="AE203" i="7"/>
  <c r="L203" i="7"/>
  <c r="Z5" i="4"/>
  <c r="AP3" i="7"/>
  <c r="B3" i="7"/>
  <c r="S5" i="4"/>
  <c r="L3" i="7"/>
  <c r="AA3" i="7"/>
  <c r="S3" i="7"/>
  <c r="U5" i="4"/>
  <c r="S113" i="7"/>
  <c r="AE57" i="7"/>
  <c r="L113" i="7"/>
  <c r="K55" i="7"/>
  <c r="B119" i="7"/>
  <c r="P75" i="4"/>
  <c r="N124" i="4"/>
  <c r="AC124" i="4"/>
  <c r="M122" i="7"/>
  <c r="D122" i="7"/>
  <c r="S124" i="4"/>
  <c r="C122" i="7"/>
  <c r="X124" i="4"/>
  <c r="AE59" i="4"/>
  <c r="X27" i="4"/>
  <c r="S93" i="7"/>
  <c r="AR136" i="7"/>
  <c r="U173" i="4"/>
  <c r="S55" i="7"/>
  <c r="D136" i="7"/>
  <c r="AA18" i="7"/>
  <c r="M23" i="7"/>
  <c r="L122" i="7"/>
  <c r="AE122" i="7"/>
  <c r="AP122" i="7"/>
  <c r="B122" i="7"/>
  <c r="P43" i="4"/>
  <c r="T39" i="7"/>
  <c r="Z197" i="4"/>
  <c r="C155" i="7"/>
  <c r="C17" i="7"/>
  <c r="S137" i="4"/>
  <c r="AQ191" i="7"/>
  <c r="P175" i="4"/>
  <c r="Z169" i="4"/>
  <c r="AC37" i="4"/>
  <c r="D191" i="7"/>
  <c r="C151" i="7"/>
  <c r="M161" i="7"/>
  <c r="AE29" i="4"/>
  <c r="AE89" i="7"/>
  <c r="AP14" i="7"/>
  <c r="U115" i="7"/>
  <c r="S35" i="7"/>
  <c r="S153" i="4"/>
  <c r="X37" i="4"/>
  <c r="N193" i="4"/>
  <c r="AP151" i="7"/>
  <c r="S16" i="4"/>
  <c r="AR69" i="7"/>
  <c r="AE69" i="7"/>
  <c r="X134" i="4"/>
  <c r="U175" i="4"/>
  <c r="T37" i="7"/>
  <c r="N60" i="4"/>
  <c r="AA58" i="7"/>
  <c r="P53" i="4"/>
  <c r="N37" i="4"/>
  <c r="S191" i="7"/>
  <c r="AC153" i="4"/>
  <c r="AE55" i="4"/>
  <c r="AE173" i="7"/>
  <c r="AR35" i="7"/>
  <c r="AY73" i="7"/>
  <c r="X153" i="4"/>
  <c r="K53" i="7"/>
  <c r="M173" i="7"/>
  <c r="D173" i="7"/>
  <c r="S37" i="7"/>
  <c r="AA69" i="7"/>
  <c r="D35" i="7"/>
  <c r="P69" i="4"/>
  <c r="C181" i="7"/>
  <c r="AP35" i="7"/>
  <c r="AE37" i="4"/>
  <c r="U193" i="4"/>
  <c r="T191" i="7"/>
  <c r="B151" i="7"/>
  <c r="AE151" i="7"/>
  <c r="U151" i="7"/>
  <c r="B53" i="7"/>
  <c r="AY55" i="7"/>
  <c r="U71" i="4"/>
  <c r="U111" i="4"/>
  <c r="S194" i="4"/>
  <c r="AC53" i="4"/>
  <c r="AR83" i="7"/>
  <c r="K173" i="7"/>
  <c r="M35" i="7"/>
  <c r="B35" i="7"/>
  <c r="U37" i="4"/>
  <c r="L191" i="7"/>
  <c r="X193" i="4"/>
  <c r="K191" i="7"/>
  <c r="AQ151" i="7"/>
  <c r="AR53" i="7"/>
  <c r="U173" i="7"/>
  <c r="Z55" i="4"/>
  <c r="L109" i="7"/>
  <c r="U53" i="4"/>
  <c r="P181" i="4"/>
  <c r="Z69" i="4"/>
  <c r="K14" i="7"/>
  <c r="AP136" i="7"/>
  <c r="AE87" i="7"/>
  <c r="U105" i="4"/>
  <c r="S73" i="7"/>
  <c r="T73" i="7"/>
  <c r="T4" i="7"/>
  <c r="AR57" i="7"/>
  <c r="M25" i="7"/>
  <c r="B93" i="7"/>
  <c r="P27" i="4"/>
  <c r="C41" i="7"/>
  <c r="P95" i="4"/>
  <c r="U113" i="7"/>
  <c r="U195" i="7"/>
  <c r="AC41" i="4"/>
  <c r="U55" i="7"/>
  <c r="AE173" i="4"/>
  <c r="AE25" i="4"/>
  <c r="AE41" i="4"/>
  <c r="AQ45" i="7"/>
  <c r="S61" i="7"/>
  <c r="B161" i="7"/>
  <c r="S161" i="7"/>
  <c r="X105" i="4"/>
  <c r="AP73" i="7"/>
  <c r="P59" i="4"/>
  <c r="U43" i="4"/>
  <c r="C93" i="7"/>
  <c r="P115" i="4"/>
  <c r="T119" i="7"/>
  <c r="N157" i="4"/>
  <c r="Z73" i="4"/>
  <c r="B195" i="7"/>
  <c r="AE171" i="7"/>
  <c r="N57" i="4"/>
  <c r="AA103" i="7"/>
  <c r="AC105" i="4"/>
  <c r="AE75" i="4"/>
  <c r="AQ73" i="7"/>
  <c r="P138" i="4"/>
  <c r="L57" i="7"/>
  <c r="AR189" i="7"/>
  <c r="AQ57" i="7"/>
  <c r="N43" i="4"/>
  <c r="AE27" i="4"/>
  <c r="X115" i="4"/>
  <c r="C25" i="7"/>
  <c r="AP41" i="7"/>
  <c r="AA93" i="7"/>
  <c r="U27" i="4"/>
  <c r="D41" i="7"/>
  <c r="M41" i="7"/>
  <c r="AR93" i="7"/>
  <c r="M93" i="7"/>
  <c r="D113" i="7"/>
  <c r="S115" i="4"/>
  <c r="AQ39" i="7"/>
  <c r="AE155" i="7"/>
  <c r="C202" i="7"/>
  <c r="L87" i="7"/>
  <c r="C39" i="7"/>
  <c r="AC57" i="4"/>
  <c r="S73" i="4"/>
  <c r="D103" i="7"/>
  <c r="U155" i="7"/>
  <c r="AQ18" i="7"/>
  <c r="X28" i="4"/>
  <c r="U89" i="4"/>
  <c r="P25" i="4"/>
  <c r="L25" i="7"/>
  <c r="AP71" i="7"/>
  <c r="S136" i="7"/>
  <c r="AE163" i="7"/>
  <c r="AP103" i="7"/>
  <c r="L103" i="7"/>
  <c r="AQ103" i="7"/>
  <c r="K73" i="7"/>
  <c r="AE73" i="7"/>
  <c r="AR113" i="7"/>
  <c r="N59" i="4"/>
  <c r="K57" i="7"/>
  <c r="D57" i="7"/>
  <c r="AC59" i="4"/>
  <c r="U115" i="4"/>
  <c r="D73" i="7"/>
  <c r="AA25" i="7"/>
  <c r="S43" i="4"/>
  <c r="AE43" i="4"/>
  <c r="AC95" i="4"/>
  <c r="M113" i="7"/>
  <c r="S57" i="4"/>
  <c r="N73" i="4"/>
  <c r="S138" i="4"/>
  <c r="AA155" i="7"/>
  <c r="P20" i="4"/>
  <c r="AY77" i="7"/>
  <c r="AP25" i="7"/>
  <c r="AE73" i="4"/>
  <c r="M18" i="7"/>
  <c r="AQ195" i="7"/>
  <c r="U171" i="7"/>
  <c r="N173" i="4"/>
  <c r="C23" i="7"/>
  <c r="M119" i="7"/>
  <c r="L155" i="7"/>
  <c r="B67" i="7"/>
  <c r="AA173" i="7"/>
  <c r="AQ35" i="7"/>
  <c r="C35" i="7"/>
  <c r="Z37" i="4"/>
  <c r="P193" i="4"/>
  <c r="S193" i="4"/>
  <c r="AE193" i="4"/>
  <c r="AE153" i="4"/>
  <c r="AY33" i="7"/>
  <c r="K151" i="7"/>
  <c r="T53" i="7"/>
  <c r="C173" i="7"/>
  <c r="AP173" i="7"/>
  <c r="U69" i="7"/>
  <c r="AE188" i="4"/>
  <c r="M202" i="7"/>
  <c r="M69" i="7"/>
  <c r="B37" i="7"/>
  <c r="N71" i="4"/>
  <c r="L167" i="7"/>
  <c r="AP132" i="7"/>
  <c r="N150" i="4"/>
  <c r="T94" i="7"/>
  <c r="S96" i="4"/>
  <c r="AR94" i="7"/>
  <c r="AE94" i="7"/>
  <c r="X63" i="4"/>
  <c r="T59" i="7"/>
  <c r="AR43" i="7"/>
  <c r="AA61" i="7"/>
  <c r="M75" i="7"/>
  <c r="C107" i="7"/>
  <c r="AC142" i="4"/>
  <c r="AP140" i="7"/>
  <c r="U169" i="4"/>
  <c r="AA99" i="7"/>
  <c r="U132" i="7"/>
  <c r="U161" i="7"/>
  <c r="B16" i="7"/>
  <c r="AA158" i="7"/>
  <c r="AA15" i="7"/>
  <c r="M36" i="7"/>
  <c r="X190" i="4"/>
  <c r="B89" i="7"/>
  <c r="X91" i="4"/>
  <c r="C109" i="7"/>
  <c r="AA51" i="7"/>
  <c r="AQ118" i="7"/>
  <c r="T132" i="7"/>
  <c r="AE85" i="4"/>
  <c r="AA83" i="7"/>
  <c r="S67" i="7"/>
  <c r="C163" i="7"/>
  <c r="AQ173" i="7"/>
  <c r="AE35" i="7"/>
  <c r="U35" i="7"/>
  <c r="L35" i="7"/>
  <c r="U67" i="4"/>
  <c r="M191" i="7"/>
  <c r="Z193" i="4"/>
  <c r="AC193" i="4"/>
  <c r="AR191" i="7"/>
  <c r="B186" i="7"/>
  <c r="T151" i="7"/>
  <c r="P153" i="4"/>
  <c r="N153" i="4"/>
  <c r="S151" i="7"/>
  <c r="AQ53" i="7"/>
  <c r="U55" i="4"/>
  <c r="S173" i="7"/>
  <c r="S175" i="4"/>
  <c r="Z175" i="4"/>
  <c r="S30" i="4"/>
  <c r="T111" i="7"/>
  <c r="AR173" i="7"/>
  <c r="T69" i="7"/>
  <c r="S55" i="4"/>
  <c r="Z145" i="4"/>
  <c r="AP69" i="7"/>
  <c r="C37" i="7"/>
  <c r="N55" i="4"/>
  <c r="D89" i="7"/>
  <c r="T109" i="7"/>
  <c r="S108" i="4"/>
  <c r="AR51" i="7"/>
  <c r="AP167" i="7"/>
  <c r="AQ99" i="7"/>
  <c r="AQ132" i="7"/>
  <c r="S115" i="7"/>
  <c r="AE117" i="4"/>
  <c r="AE120" i="4"/>
  <c r="AC48" i="4"/>
  <c r="AP118" i="7"/>
  <c r="AR14" i="7"/>
  <c r="AE51" i="7"/>
  <c r="AC71" i="4"/>
  <c r="N16" i="4"/>
  <c r="U120" i="4"/>
  <c r="U58" i="7"/>
  <c r="AE83" i="7"/>
  <c r="S163" i="4"/>
  <c r="L161" i="7"/>
  <c r="T161" i="7"/>
  <c r="AQ161" i="7"/>
  <c r="D83" i="7"/>
  <c r="N101" i="4"/>
  <c r="AQ111" i="7"/>
  <c r="X67" i="4"/>
  <c r="S186" i="7"/>
  <c r="AE175" i="4"/>
  <c r="X191" i="4"/>
  <c r="X113" i="4"/>
  <c r="P111" i="4"/>
  <c r="S69" i="7"/>
  <c r="U35" i="4"/>
  <c r="AC39" i="4"/>
  <c r="Z71" i="4"/>
  <c r="M17" i="7"/>
  <c r="X19" i="4"/>
  <c r="U85" i="4"/>
  <c r="K115" i="7"/>
  <c r="M118" i="7"/>
  <c r="S117" i="4"/>
  <c r="AA10" i="7"/>
  <c r="P12" i="4"/>
  <c r="U118" i="7"/>
  <c r="B99" i="7"/>
  <c r="M99" i="7"/>
  <c r="N103" i="4"/>
  <c r="T101" i="7"/>
  <c r="T165" i="7"/>
  <c r="AC167" i="4"/>
  <c r="S167" i="4"/>
  <c r="AA31" i="7"/>
  <c r="AE33" i="4"/>
  <c r="AC33" i="4"/>
  <c r="S33" i="4"/>
  <c r="AQ47" i="7"/>
  <c r="AE49" i="4"/>
  <c r="K47" i="7"/>
  <c r="S47" i="7"/>
  <c r="C63" i="7"/>
  <c r="AC65" i="4"/>
  <c r="S65" i="4"/>
  <c r="T63" i="7"/>
  <c r="AE65" i="4"/>
  <c r="AP79" i="7"/>
  <c r="P81" i="4"/>
  <c r="U81" i="4"/>
  <c r="M95" i="7"/>
  <c r="X97" i="4"/>
  <c r="B95" i="7"/>
  <c r="Z129" i="4"/>
  <c r="L127" i="7"/>
  <c r="AY9" i="7"/>
  <c r="Z149" i="4"/>
  <c r="X149" i="4"/>
  <c r="D147" i="7"/>
  <c r="AP163" i="7"/>
  <c r="N165" i="4"/>
  <c r="P165" i="4"/>
  <c r="U179" i="7"/>
  <c r="K179" i="7"/>
  <c r="N181" i="4"/>
  <c r="S181" i="4"/>
  <c r="AQ10" i="7"/>
  <c r="U10" i="7"/>
  <c r="C10" i="7"/>
  <c r="AA113" i="7"/>
  <c r="B181" i="7"/>
  <c r="AR103" i="7"/>
  <c r="C103" i="7"/>
  <c r="K103" i="7"/>
  <c r="AE105" i="4"/>
  <c r="U65" i="7"/>
  <c r="S75" i="4"/>
  <c r="X75" i="4"/>
  <c r="AA73" i="7"/>
  <c r="U73" i="7"/>
  <c r="B136" i="7"/>
  <c r="N115" i="4"/>
  <c r="S59" i="4"/>
  <c r="AQ197" i="7"/>
  <c r="AP57" i="7"/>
  <c r="N113" i="4"/>
  <c r="Z59" i="4"/>
  <c r="AA57" i="7"/>
  <c r="U59" i="4"/>
  <c r="C57" i="7"/>
  <c r="B41" i="7"/>
  <c r="L93" i="7"/>
  <c r="K25" i="7"/>
  <c r="S35" i="4"/>
  <c r="X95" i="4"/>
  <c r="AE25" i="7"/>
  <c r="B25" i="7"/>
  <c r="AR33" i="7"/>
  <c r="AC75" i="4"/>
  <c r="S27" i="4"/>
  <c r="AE41" i="7"/>
  <c r="L41" i="7"/>
  <c r="U41" i="7"/>
  <c r="AC43" i="4"/>
  <c r="X43" i="4"/>
  <c r="T93" i="7"/>
  <c r="AE93" i="7"/>
  <c r="Z115" i="4"/>
  <c r="K113" i="7"/>
  <c r="X41" i="4"/>
  <c r="U121" i="4"/>
  <c r="AC138" i="4"/>
  <c r="N149" i="4"/>
  <c r="D155" i="7"/>
  <c r="S87" i="7"/>
  <c r="AR195" i="7"/>
  <c r="P173" i="4"/>
  <c r="AE197" i="4"/>
  <c r="S31" i="7"/>
  <c r="P73" i="4"/>
  <c r="AE121" i="4"/>
  <c r="AY61" i="7"/>
  <c r="N65" i="4"/>
  <c r="AR95" i="7"/>
  <c r="L136" i="7"/>
  <c r="X25" i="4"/>
  <c r="AE31" i="7"/>
  <c r="L73" i="7"/>
  <c r="AP119" i="7"/>
  <c r="AC129" i="4"/>
  <c r="L47" i="7"/>
  <c r="K78" i="7"/>
  <c r="U80" i="4"/>
  <c r="AA78" i="7"/>
  <c r="Z80" i="4"/>
  <c r="U78" i="7"/>
  <c r="S25" i="7"/>
  <c r="Z27" i="4"/>
  <c r="D25" i="7"/>
  <c r="U95" i="4"/>
  <c r="AP93" i="7"/>
  <c r="AC115" i="4"/>
  <c r="T113" i="7"/>
  <c r="AE113" i="7"/>
  <c r="AR23" i="7"/>
  <c r="AQ23" i="7"/>
  <c r="AP23" i="7"/>
  <c r="Z25" i="4"/>
  <c r="AE23" i="7"/>
  <c r="U23" i="7"/>
  <c r="L23" i="7"/>
  <c r="S23" i="7"/>
  <c r="AA23" i="7"/>
  <c r="U25" i="4"/>
  <c r="N25" i="4"/>
  <c r="D23" i="7"/>
  <c r="AC25" i="4"/>
  <c r="AP39" i="7"/>
  <c r="L39" i="7"/>
  <c r="P41" i="4"/>
  <c r="B39" i="7"/>
  <c r="Z41" i="4"/>
  <c r="K39" i="7"/>
  <c r="AA39" i="7"/>
  <c r="U39" i="7"/>
  <c r="AE39" i="7"/>
  <c r="S39" i="7"/>
  <c r="S41" i="4"/>
  <c r="D55" i="7"/>
  <c r="AQ55" i="7"/>
  <c r="X57" i="4"/>
  <c r="AE55" i="7"/>
  <c r="U57" i="4"/>
  <c r="T55" i="7"/>
  <c r="B55" i="7"/>
  <c r="AP55" i="7"/>
  <c r="AA55" i="7"/>
  <c r="M55" i="7"/>
  <c r="Z57" i="4"/>
  <c r="AE71" i="7"/>
  <c r="D71" i="7"/>
  <c r="AA71" i="7"/>
  <c r="AR71" i="7"/>
  <c r="X73" i="4"/>
  <c r="AC73" i="4"/>
  <c r="AQ71" i="7"/>
  <c r="U73" i="4"/>
  <c r="K87" i="7"/>
  <c r="B87" i="7"/>
  <c r="S89" i="4"/>
  <c r="M87" i="7"/>
  <c r="C87" i="7"/>
  <c r="U87" i="7"/>
  <c r="P89" i="4"/>
  <c r="AR87" i="7"/>
  <c r="Z89" i="4"/>
  <c r="AA87" i="7"/>
  <c r="N89" i="4"/>
  <c r="X89" i="4"/>
  <c r="S103" i="7"/>
  <c r="S105" i="4"/>
  <c r="C119" i="7"/>
  <c r="S119" i="7"/>
  <c r="Z121" i="4"/>
  <c r="AC121" i="4"/>
  <c r="AR119" i="7"/>
  <c r="U119" i="7"/>
  <c r="P121" i="4"/>
  <c r="D119" i="7"/>
  <c r="N121" i="4"/>
  <c r="L119" i="7"/>
  <c r="AE119" i="7"/>
  <c r="N138" i="4"/>
  <c r="U136" i="7"/>
  <c r="K136" i="7"/>
  <c r="AA136" i="7"/>
  <c r="T136" i="7"/>
  <c r="AE138" i="4"/>
  <c r="C136" i="7"/>
  <c r="U138" i="4"/>
  <c r="X138" i="4"/>
  <c r="M136" i="7"/>
  <c r="AY18" i="7"/>
  <c r="AQ136" i="7"/>
  <c r="B155" i="7"/>
  <c r="M155" i="7"/>
  <c r="P157" i="4"/>
  <c r="S155" i="7"/>
  <c r="K155" i="7"/>
  <c r="T155" i="7"/>
  <c r="Z157" i="4"/>
  <c r="AY37" i="7"/>
  <c r="S157" i="4"/>
  <c r="AE157" i="4"/>
  <c r="AQ155" i="7"/>
  <c r="U157" i="4"/>
  <c r="S171" i="7"/>
  <c r="S173" i="4"/>
  <c r="C171" i="7"/>
  <c r="AA171" i="7"/>
  <c r="AP171" i="7"/>
  <c r="X173" i="4"/>
  <c r="D171" i="7"/>
  <c r="B171" i="7"/>
  <c r="T171" i="7"/>
  <c r="AQ171" i="7"/>
  <c r="X197" i="4"/>
  <c r="AA195" i="7"/>
  <c r="AC197" i="4"/>
  <c r="P197" i="4"/>
  <c r="K195" i="7"/>
  <c r="U197" i="4"/>
  <c r="S197" i="4"/>
  <c r="C195" i="7"/>
  <c r="S195" i="7"/>
  <c r="D195" i="7"/>
  <c r="N197" i="4"/>
  <c r="S20" i="4"/>
  <c r="AR18" i="7"/>
  <c r="X20" i="4"/>
  <c r="U18" i="7"/>
  <c r="D18" i="7"/>
  <c r="U20" i="4"/>
  <c r="T18" i="7"/>
  <c r="K18" i="7"/>
  <c r="N20" i="4"/>
  <c r="L18" i="7"/>
  <c r="AP18" i="7"/>
  <c r="AE18" i="7"/>
  <c r="AC20" i="4"/>
  <c r="S16" i="7"/>
  <c r="P105" i="4"/>
  <c r="T103" i="7"/>
  <c r="M103" i="7"/>
  <c r="N105" i="4"/>
  <c r="Z105" i="4"/>
  <c r="T65" i="7"/>
  <c r="AR73" i="7"/>
  <c r="C73" i="7"/>
  <c r="B73" i="7"/>
  <c r="U75" i="4"/>
  <c r="Z75" i="4"/>
  <c r="AP113" i="7"/>
  <c r="L189" i="7"/>
  <c r="M57" i="7"/>
  <c r="U111" i="7"/>
  <c r="Z113" i="4"/>
  <c r="U57" i="7"/>
  <c r="T57" i="7"/>
  <c r="S57" i="7"/>
  <c r="B57" i="7"/>
  <c r="Z43" i="4"/>
  <c r="AQ113" i="7"/>
  <c r="AE95" i="4"/>
  <c r="T25" i="7"/>
  <c r="AQ93" i="7"/>
  <c r="AC27" i="4"/>
  <c r="AQ25" i="7"/>
  <c r="AR41" i="7"/>
  <c r="AA41" i="7"/>
  <c r="T41" i="7"/>
  <c r="AQ41" i="7"/>
  <c r="K93" i="7"/>
  <c r="S95" i="4"/>
  <c r="Z95" i="4"/>
  <c r="N95" i="4"/>
  <c r="C113" i="7"/>
  <c r="AE115" i="4"/>
  <c r="D39" i="7"/>
  <c r="C55" i="7"/>
  <c r="B71" i="7"/>
  <c r="AE81" i="4"/>
  <c r="X121" i="4"/>
  <c r="AP155" i="7"/>
  <c r="AC157" i="4"/>
  <c r="B18" i="7"/>
  <c r="AP87" i="7"/>
  <c r="AE195" i="7"/>
  <c r="C95" i="7"/>
  <c r="AC173" i="4"/>
  <c r="AE89" i="4"/>
  <c r="AE97" i="4"/>
  <c r="U41" i="4"/>
  <c r="M39" i="7"/>
  <c r="AR55" i="7"/>
  <c r="P57" i="4"/>
  <c r="S71" i="7"/>
  <c r="B79" i="7"/>
  <c r="AR155" i="7"/>
  <c r="K10" i="7"/>
  <c r="S18" i="7"/>
  <c r="AP195" i="7"/>
  <c r="M195" i="7"/>
  <c r="T195" i="7"/>
  <c r="L163" i="7"/>
  <c r="T87" i="7"/>
  <c r="AY53" i="7"/>
  <c r="AR39" i="7"/>
  <c r="K23" i="7"/>
  <c r="S121" i="4"/>
  <c r="S25" i="4"/>
  <c r="B23" i="7"/>
  <c r="L55" i="7"/>
  <c r="AQ119" i="7"/>
  <c r="AE136" i="7"/>
  <c r="AE20" i="4"/>
  <c r="AQ163" i="7"/>
  <c r="AC89" i="4"/>
  <c r="AR171" i="7"/>
  <c r="AR161" i="7"/>
  <c r="AR32" i="7"/>
  <c r="D58" i="7"/>
  <c r="Z60" i="4"/>
  <c r="M58" i="7"/>
  <c r="AP58" i="7"/>
  <c r="B58" i="7"/>
  <c r="P60" i="4"/>
  <c r="X60" i="4"/>
  <c r="K58" i="7"/>
  <c r="AE58" i="7"/>
  <c r="T58" i="7"/>
  <c r="AC120" i="4"/>
  <c r="P120" i="4"/>
  <c r="C118" i="7"/>
  <c r="AA118" i="7"/>
  <c r="Z120" i="4"/>
  <c r="T118" i="7"/>
  <c r="L118" i="7"/>
  <c r="X120" i="4"/>
  <c r="B118" i="7"/>
  <c r="K118" i="7"/>
  <c r="D118" i="7"/>
  <c r="S120" i="4"/>
  <c r="AR118" i="7"/>
  <c r="S118" i="7"/>
  <c r="AE118" i="7"/>
  <c r="P39" i="4"/>
  <c r="AR37" i="7"/>
  <c r="S39" i="4"/>
  <c r="D37" i="7"/>
  <c r="U37" i="7"/>
  <c r="Z39" i="4"/>
  <c r="X39" i="4"/>
  <c r="AP37" i="7"/>
  <c r="U39" i="4"/>
  <c r="AA37" i="7"/>
  <c r="N39" i="4"/>
  <c r="AE39" i="4"/>
  <c r="AQ37" i="7"/>
  <c r="AE37" i="7"/>
  <c r="AP53" i="7"/>
  <c r="AA53" i="7"/>
  <c r="C53" i="7"/>
  <c r="D53" i="7"/>
  <c r="L53" i="7"/>
  <c r="U53" i="7"/>
  <c r="M53" i="7"/>
  <c r="X55" i="4"/>
  <c r="S53" i="7"/>
  <c r="AC55" i="4"/>
  <c r="AE53" i="7"/>
  <c r="S71" i="4"/>
  <c r="L69" i="7"/>
  <c r="AQ69" i="7"/>
  <c r="C69" i="7"/>
  <c r="X71" i="4"/>
  <c r="D69" i="7"/>
  <c r="P71" i="4"/>
  <c r="K69" i="7"/>
  <c r="AE71" i="4"/>
  <c r="AA89" i="7"/>
  <c r="U91" i="4"/>
  <c r="C89" i="7"/>
  <c r="T89" i="7"/>
  <c r="AQ89" i="7"/>
  <c r="AP89" i="7"/>
  <c r="S89" i="7"/>
  <c r="M89" i="7"/>
  <c r="L89" i="7"/>
  <c r="N91" i="4"/>
  <c r="AC91" i="4"/>
  <c r="P91" i="4"/>
  <c r="S91" i="4"/>
  <c r="K89" i="7"/>
  <c r="U89" i="7"/>
  <c r="AR89" i="7"/>
  <c r="AE91" i="4"/>
  <c r="S109" i="7"/>
  <c r="N111" i="4"/>
  <c r="AQ109" i="7"/>
  <c r="K109" i="7"/>
  <c r="Z111" i="4"/>
  <c r="AA109" i="7"/>
  <c r="B109" i="7"/>
  <c r="AE111" i="4"/>
  <c r="AR109" i="7"/>
  <c r="U109" i="7"/>
  <c r="AE109" i="7"/>
  <c r="AC111" i="4"/>
  <c r="M109" i="7"/>
  <c r="AP109" i="7"/>
  <c r="X111" i="4"/>
  <c r="S111" i="4"/>
  <c r="X175" i="4"/>
  <c r="AC175" i="4"/>
  <c r="L173" i="7"/>
  <c r="T173" i="7"/>
  <c r="N175" i="4"/>
  <c r="T35" i="7"/>
  <c r="K35" i="7"/>
  <c r="S37" i="4"/>
  <c r="AA35" i="7"/>
  <c r="AQ51" i="7"/>
  <c r="AE53" i="4"/>
  <c r="N53" i="4"/>
  <c r="Z53" i="4"/>
  <c r="D51" i="7"/>
  <c r="U51" i="7"/>
  <c r="X53" i="4"/>
  <c r="M51" i="7"/>
  <c r="B51" i="7"/>
  <c r="AP51" i="7"/>
  <c r="S51" i="7"/>
  <c r="L51" i="7"/>
  <c r="S53" i="4"/>
  <c r="K51" i="7"/>
  <c r="T51" i="7"/>
  <c r="T67" i="7"/>
  <c r="U67" i="7"/>
  <c r="D67" i="7"/>
  <c r="S69" i="4"/>
  <c r="U69" i="4"/>
  <c r="X69" i="4"/>
  <c r="AQ67" i="7"/>
  <c r="AR67" i="7"/>
  <c r="AA67" i="7"/>
  <c r="AE69" i="4"/>
  <c r="AE67" i="7"/>
  <c r="N69" i="4"/>
  <c r="C67" i="7"/>
  <c r="AC69" i="4"/>
  <c r="N85" i="4"/>
  <c r="T83" i="7"/>
  <c r="S83" i="7"/>
  <c r="L83" i="7"/>
  <c r="S85" i="4"/>
  <c r="C83" i="7"/>
  <c r="AP83" i="7"/>
  <c r="U83" i="7"/>
  <c r="M83" i="7"/>
  <c r="P85" i="4"/>
  <c r="B83" i="7"/>
  <c r="AQ83" i="7"/>
  <c r="X85" i="4"/>
  <c r="K83" i="7"/>
  <c r="AC85" i="4"/>
  <c r="P101" i="4"/>
  <c r="AE99" i="7"/>
  <c r="U99" i="7"/>
  <c r="AE101" i="4"/>
  <c r="AC101" i="4"/>
  <c r="Z101" i="4"/>
  <c r="K99" i="7"/>
  <c r="S99" i="7"/>
  <c r="AP99" i="7"/>
  <c r="S101" i="4"/>
  <c r="AR99" i="7"/>
  <c r="L99" i="7"/>
  <c r="C99" i="7"/>
  <c r="U101" i="4"/>
  <c r="X101" i="4"/>
  <c r="D99" i="7"/>
  <c r="AC117" i="4"/>
  <c r="AQ115" i="7"/>
  <c r="U117" i="4"/>
  <c r="Z117" i="4"/>
  <c r="AE115" i="7"/>
  <c r="N117" i="4"/>
  <c r="C115" i="7"/>
  <c r="AA115" i="7"/>
  <c r="T115" i="7"/>
  <c r="L115" i="7"/>
  <c r="AR115" i="7"/>
  <c r="P117" i="4"/>
  <c r="AP115" i="7"/>
  <c r="X117" i="4"/>
  <c r="B115" i="7"/>
  <c r="M115" i="7"/>
  <c r="S134" i="4"/>
  <c r="B132" i="7"/>
  <c r="U134" i="4"/>
  <c r="P134" i="4"/>
  <c r="S132" i="7"/>
  <c r="D132" i="7"/>
  <c r="N134" i="4"/>
  <c r="Z134" i="4"/>
  <c r="AC134" i="4"/>
  <c r="AR132" i="7"/>
  <c r="AE134" i="4"/>
  <c r="AE132" i="7"/>
  <c r="U153" i="4"/>
  <c r="AR151" i="7"/>
  <c r="Z153" i="4"/>
  <c r="AA151" i="7"/>
  <c r="S169" i="4"/>
  <c r="C167" i="7"/>
  <c r="U167" i="7"/>
  <c r="X169" i="4"/>
  <c r="AQ167" i="7"/>
  <c r="AE169" i="4"/>
  <c r="AR167" i="7"/>
  <c r="N169" i="4"/>
  <c r="T167" i="7"/>
  <c r="M167" i="7"/>
  <c r="B167" i="7"/>
  <c r="P169" i="4"/>
  <c r="AY49" i="7"/>
  <c r="AE167" i="7"/>
  <c r="K167" i="7"/>
  <c r="AC169" i="4"/>
  <c r="D167" i="7"/>
  <c r="C191" i="7"/>
  <c r="U191" i="7"/>
  <c r="AE191" i="7"/>
  <c r="AA191" i="7"/>
  <c r="AP191" i="7"/>
  <c r="C14" i="7"/>
  <c r="S14" i="7"/>
  <c r="AQ14" i="7"/>
  <c r="D14" i="7"/>
  <c r="AC16" i="4"/>
  <c r="U14" i="7"/>
  <c r="Z16" i="4"/>
  <c r="AE16" i="4"/>
  <c r="T14" i="7"/>
  <c r="X16" i="4"/>
  <c r="P16" i="4"/>
  <c r="AE14" i="7"/>
  <c r="U16" i="4"/>
  <c r="L14" i="7"/>
  <c r="AA14" i="7"/>
  <c r="M14" i="7"/>
  <c r="T141" i="7"/>
  <c r="X143" i="4"/>
  <c r="AE202" i="4"/>
  <c r="AE200" i="7"/>
  <c r="U163" i="4"/>
  <c r="Z163" i="4"/>
  <c r="N67" i="4"/>
  <c r="X167" i="4"/>
  <c r="AR111" i="7"/>
  <c r="P113" i="4"/>
  <c r="AE113" i="4"/>
  <c r="S111" i="7"/>
  <c r="D111" i="7"/>
  <c r="AE33" i="7"/>
  <c r="AE67" i="4"/>
  <c r="S87" i="4"/>
  <c r="AR101" i="7"/>
  <c r="T33" i="7"/>
  <c r="AA49" i="7"/>
  <c r="AA79" i="7"/>
  <c r="AE79" i="7"/>
  <c r="T79" i="7"/>
  <c r="AE149" i="4"/>
  <c r="AA147" i="7"/>
  <c r="AA179" i="7"/>
  <c r="S10" i="7"/>
  <c r="B10" i="7"/>
  <c r="AC49" i="4"/>
  <c r="AA47" i="7"/>
  <c r="AP165" i="7"/>
  <c r="B163" i="7"/>
  <c r="D95" i="7"/>
  <c r="AP95" i="7"/>
  <c r="T95" i="7"/>
  <c r="AA63" i="7"/>
  <c r="D63" i="7"/>
  <c r="U65" i="4"/>
  <c r="AQ95" i="7"/>
  <c r="U47" i="7"/>
  <c r="X49" i="4"/>
  <c r="P33" i="4"/>
  <c r="T31" i="7"/>
  <c r="U31" i="7"/>
  <c r="K79" i="7"/>
  <c r="N81" i="4"/>
  <c r="U79" i="7"/>
  <c r="M179" i="7"/>
  <c r="Z181" i="4"/>
  <c r="X181" i="4"/>
  <c r="AR179" i="7"/>
  <c r="AE12" i="4"/>
  <c r="U12" i="4"/>
  <c r="T10" i="7"/>
  <c r="AQ63" i="7"/>
  <c r="B63" i="7"/>
  <c r="S63" i="7"/>
  <c r="T163" i="7"/>
  <c r="K95" i="7"/>
  <c r="AY45" i="7"/>
  <c r="AE165" i="4"/>
  <c r="P129" i="4"/>
  <c r="AQ127" i="7"/>
  <c r="AR31" i="7"/>
  <c r="B49" i="7"/>
  <c r="AR127" i="7"/>
  <c r="U129" i="4"/>
  <c r="B147" i="7"/>
  <c r="AP147" i="7"/>
  <c r="AC181" i="4"/>
  <c r="D10" i="7"/>
  <c r="AY43" i="7"/>
  <c r="D161" i="7"/>
  <c r="K161" i="7"/>
  <c r="S163" i="7"/>
  <c r="S165" i="4"/>
  <c r="AA127" i="7"/>
  <c r="Z65" i="4"/>
  <c r="AA119" i="7"/>
  <c r="U187" i="4"/>
  <c r="B111" i="7"/>
  <c r="AE111" i="7"/>
  <c r="S113" i="4"/>
  <c r="M111" i="7"/>
  <c r="N51" i="4"/>
  <c r="C101" i="7"/>
  <c r="K49" i="7"/>
  <c r="AA101" i="7"/>
  <c r="AC128" i="4"/>
  <c r="U33" i="4"/>
  <c r="C31" i="7"/>
  <c r="AC81" i="4"/>
  <c r="Z81" i="4"/>
  <c r="AR79" i="7"/>
  <c r="S149" i="4"/>
  <c r="AE179" i="7"/>
  <c r="Z12" i="4"/>
  <c r="L10" i="7"/>
  <c r="D47" i="7"/>
  <c r="B47" i="7"/>
  <c r="AR163" i="7"/>
  <c r="AQ46" i="7"/>
  <c r="Z97" i="4"/>
  <c r="N97" i="4"/>
  <c r="P97" i="4"/>
  <c r="AE95" i="7"/>
  <c r="AE63" i="7"/>
  <c r="U63" i="7"/>
  <c r="K63" i="7"/>
  <c r="S97" i="4"/>
  <c r="U49" i="4"/>
  <c r="AE47" i="7"/>
  <c r="D31" i="7"/>
  <c r="AP31" i="7"/>
  <c r="S79" i="7"/>
  <c r="S81" i="4"/>
  <c r="AQ79" i="7"/>
  <c r="B179" i="7"/>
  <c r="AP179" i="7"/>
  <c r="AE181" i="4"/>
  <c r="S12" i="4"/>
  <c r="AC12" i="4"/>
  <c r="N12" i="4"/>
  <c r="T46" i="7"/>
  <c r="X65" i="4"/>
  <c r="X165" i="4"/>
  <c r="M163" i="7"/>
  <c r="Z165" i="4"/>
  <c r="D127" i="7"/>
  <c r="P51" i="4"/>
  <c r="C127" i="7"/>
  <c r="AQ33" i="7"/>
  <c r="AE129" i="4"/>
  <c r="S129" i="4"/>
  <c r="N129" i="4"/>
  <c r="AY29" i="7"/>
  <c r="AQ147" i="7"/>
  <c r="U181" i="4"/>
  <c r="U149" i="4"/>
  <c r="M47" i="7"/>
  <c r="AC165" i="4"/>
  <c r="AP47" i="7"/>
  <c r="AA111" i="7"/>
  <c r="AP111" i="7"/>
  <c r="U113" i="4"/>
  <c r="AC113" i="4"/>
  <c r="K111" i="7"/>
  <c r="C111" i="7"/>
  <c r="C85" i="7"/>
  <c r="AE87" i="4"/>
  <c r="X87" i="4"/>
  <c r="X51" i="4"/>
  <c r="AE101" i="7"/>
  <c r="Z33" i="4"/>
  <c r="AQ31" i="7"/>
  <c r="C79" i="7"/>
  <c r="M79" i="7"/>
  <c r="X81" i="4"/>
  <c r="AC149" i="4"/>
  <c r="C179" i="7"/>
  <c r="S179" i="7"/>
  <c r="AP10" i="7"/>
  <c r="M10" i="7"/>
  <c r="AR47" i="7"/>
  <c r="U163" i="7"/>
  <c r="AC97" i="4"/>
  <c r="L95" i="7"/>
  <c r="U97" i="4"/>
  <c r="AA95" i="7"/>
  <c r="L63" i="7"/>
  <c r="AR63" i="7"/>
  <c r="P65" i="4"/>
  <c r="P49" i="4"/>
  <c r="X33" i="4"/>
  <c r="N33" i="4"/>
  <c r="D79" i="7"/>
  <c r="L79" i="7"/>
  <c r="T179" i="7"/>
  <c r="AQ179" i="7"/>
  <c r="D179" i="7"/>
  <c r="AE10" i="7"/>
  <c r="X12" i="4"/>
  <c r="X48" i="4"/>
  <c r="M46" i="7"/>
  <c r="Z48" i="4"/>
  <c r="AP63" i="7"/>
  <c r="AE48" i="4"/>
  <c r="U95" i="7"/>
  <c r="S95" i="7"/>
  <c r="D163" i="7"/>
  <c r="U165" i="4"/>
  <c r="K163" i="7"/>
  <c r="P149" i="4"/>
  <c r="B31" i="7"/>
  <c r="AR85" i="7"/>
  <c r="AP127" i="7"/>
  <c r="AE127" i="7"/>
  <c r="X129" i="4"/>
  <c r="AR147" i="7"/>
  <c r="AE147" i="7"/>
  <c r="B127" i="7"/>
  <c r="T47" i="7"/>
  <c r="Z49" i="4"/>
  <c r="S49" i="4"/>
  <c r="L165" i="7"/>
  <c r="C65" i="7"/>
  <c r="Z67" i="4"/>
  <c r="L65" i="7"/>
  <c r="AE22" i="4"/>
  <c r="B46" i="7"/>
  <c r="S101" i="7"/>
  <c r="M85" i="7"/>
  <c r="AP85" i="7"/>
  <c r="S33" i="7"/>
  <c r="U51" i="4"/>
  <c r="P87" i="4"/>
  <c r="K85" i="7"/>
  <c r="U33" i="7"/>
  <c r="C49" i="7"/>
  <c r="D49" i="7"/>
  <c r="S103" i="4"/>
  <c r="AA65" i="7"/>
  <c r="B85" i="7"/>
  <c r="Z35" i="4"/>
  <c r="M33" i="7"/>
  <c r="AE49" i="7"/>
  <c r="AR49" i="7"/>
  <c r="AP101" i="7"/>
  <c r="U101" i="7"/>
  <c r="AE103" i="4"/>
  <c r="B101" i="7"/>
  <c r="P167" i="4"/>
  <c r="AQ165" i="7"/>
  <c r="N48" i="4"/>
  <c r="U46" i="7"/>
  <c r="S48" i="4"/>
  <c r="D46" i="7"/>
  <c r="B165" i="7"/>
  <c r="AE167" i="4"/>
  <c r="AY47" i="7"/>
  <c r="B33" i="7"/>
  <c r="T49" i="7"/>
  <c r="M65" i="7"/>
  <c r="S85" i="7"/>
  <c r="K46" i="7"/>
  <c r="S67" i="4"/>
  <c r="AE65" i="7"/>
  <c r="AQ65" i="7"/>
  <c r="D65" i="7"/>
  <c r="D165" i="7"/>
  <c r="K65" i="7"/>
  <c r="AC67" i="4"/>
  <c r="P67" i="4"/>
  <c r="S65" i="7"/>
  <c r="C165" i="7"/>
  <c r="S187" i="4"/>
  <c r="Z6" i="4"/>
  <c r="T20" i="7"/>
  <c r="L85" i="7"/>
  <c r="S198" i="7"/>
  <c r="N35" i="4"/>
  <c r="AQ49" i="7"/>
  <c r="D85" i="7"/>
  <c r="K33" i="7"/>
  <c r="D33" i="7"/>
  <c r="S51" i="4"/>
  <c r="AQ85" i="7"/>
  <c r="AA33" i="7"/>
  <c r="Z51" i="4"/>
  <c r="X103" i="4"/>
  <c r="M101" i="7"/>
  <c r="P103" i="4"/>
  <c r="L101" i="7"/>
  <c r="X184" i="4"/>
  <c r="P35" i="4"/>
  <c r="AR165" i="7"/>
  <c r="P48" i="4"/>
  <c r="C46" i="7"/>
  <c r="AR74" i="7"/>
  <c r="AP46" i="7"/>
  <c r="Z167" i="4"/>
  <c r="K165" i="7"/>
  <c r="Z87" i="4"/>
  <c r="AE35" i="4"/>
  <c r="AP49" i="7"/>
  <c r="B65" i="7"/>
  <c r="T85" i="7"/>
  <c r="U167" i="4"/>
  <c r="AP65" i="7"/>
  <c r="M165" i="7"/>
  <c r="Z187" i="4"/>
  <c r="AQ20" i="7"/>
  <c r="AA46" i="7"/>
  <c r="AQ101" i="7"/>
  <c r="N87" i="4"/>
  <c r="AP33" i="7"/>
  <c r="AC51" i="4"/>
  <c r="K101" i="7"/>
  <c r="AC87" i="4"/>
  <c r="L33" i="7"/>
  <c r="L49" i="7"/>
  <c r="S49" i="7"/>
  <c r="U85" i="7"/>
  <c r="AA85" i="7"/>
  <c r="C33" i="7"/>
  <c r="U49" i="7"/>
  <c r="AE51" i="4"/>
  <c r="AE85" i="7"/>
  <c r="D101" i="7"/>
  <c r="Z103" i="4"/>
  <c r="AC103" i="4"/>
  <c r="U103" i="4"/>
  <c r="U165" i="7"/>
  <c r="N167" i="4"/>
  <c r="AR46" i="7"/>
  <c r="AE46" i="7"/>
  <c r="S46" i="7"/>
  <c r="L46" i="7"/>
  <c r="AE165" i="7"/>
  <c r="AA165" i="7"/>
  <c r="S165" i="7"/>
  <c r="X35" i="4"/>
  <c r="AE201" i="7"/>
  <c r="AC187" i="4"/>
  <c r="L4" i="7"/>
  <c r="U20" i="7"/>
  <c r="U4" i="7"/>
  <c r="AQ86" i="7"/>
  <c r="AR146" i="7"/>
  <c r="T78" i="7"/>
  <c r="AE80" i="4"/>
  <c r="U6" i="4"/>
  <c r="T185" i="7"/>
  <c r="K4" i="7"/>
  <c r="K20" i="7"/>
  <c r="M78" i="7"/>
  <c r="AQ200" i="7"/>
  <c r="AE78" i="7"/>
  <c r="AQ78" i="7"/>
  <c r="AR78" i="7"/>
  <c r="P128" i="4"/>
  <c r="U18" i="4"/>
  <c r="X183" i="4"/>
  <c r="C186" i="7"/>
  <c r="N202" i="4"/>
  <c r="AR181" i="7"/>
  <c r="P204" i="4"/>
  <c r="X204" i="4"/>
  <c r="AY84" i="7"/>
  <c r="K186" i="7"/>
  <c r="AR194" i="7"/>
  <c r="U17" i="7"/>
  <c r="AR106" i="7"/>
  <c r="L78" i="7"/>
  <c r="S80" i="4"/>
  <c r="U202" i="4"/>
  <c r="Z137" i="4"/>
  <c r="D78" i="7"/>
  <c r="D135" i="7"/>
  <c r="L94" i="7"/>
  <c r="U16" i="7"/>
  <c r="N183" i="4"/>
  <c r="D186" i="7"/>
  <c r="AR82" i="7"/>
  <c r="S197" i="7"/>
  <c r="AA8" i="7"/>
  <c r="S9" i="7"/>
  <c r="AE19" i="4"/>
  <c r="Z28" i="4"/>
  <c r="N80" i="4"/>
  <c r="AP78" i="7"/>
  <c r="L148" i="7"/>
  <c r="U200" i="7"/>
  <c r="B78" i="7"/>
  <c r="AC80" i="4"/>
  <c r="C78" i="7"/>
  <c r="X80" i="4"/>
  <c r="AR21" i="7"/>
  <c r="P148" i="4"/>
  <c r="U64" i="7"/>
  <c r="M8" i="7"/>
  <c r="AE189" i="7"/>
  <c r="AR8" i="7"/>
  <c r="K8" i="7"/>
  <c r="AA190" i="7"/>
  <c r="AQ5" i="7"/>
  <c r="AP21" i="7"/>
  <c r="AC60" i="4"/>
  <c r="AR58" i="7"/>
  <c r="S60" i="4"/>
  <c r="AQ58" i="7"/>
  <c r="P80" i="4"/>
  <c r="S78" i="7"/>
  <c r="AA189" i="7"/>
  <c r="N10" i="4"/>
  <c r="L190" i="7"/>
  <c r="U40" i="4"/>
  <c r="AQ189" i="7"/>
  <c r="U8" i="7"/>
  <c r="S10" i="4"/>
  <c r="AE192" i="4"/>
  <c r="L5" i="7"/>
  <c r="S58" i="7"/>
  <c r="L58" i="7"/>
  <c r="AE60" i="4"/>
  <c r="U60" i="4"/>
  <c r="S58" i="4"/>
  <c r="S186" i="4"/>
  <c r="K82" i="7"/>
  <c r="AQ12" i="7"/>
  <c r="AQ42" i="7"/>
  <c r="D176" i="7"/>
  <c r="AY75" i="7"/>
  <c r="AE12" i="7"/>
  <c r="C154" i="7"/>
  <c r="N28" i="4"/>
  <c r="AE84" i="4"/>
  <c r="Z132" i="4"/>
  <c r="B158" i="7"/>
  <c r="L186" i="7"/>
  <c r="AQ186" i="7"/>
  <c r="X202" i="4"/>
  <c r="P84" i="4"/>
  <c r="M141" i="7"/>
  <c r="N143" i="4"/>
  <c r="S6" i="4"/>
  <c r="D185" i="7"/>
  <c r="AR185" i="7"/>
  <c r="AY67" i="7"/>
  <c r="S4" i="7"/>
  <c r="X6" i="4"/>
  <c r="AA4" i="7"/>
  <c r="D12" i="7"/>
  <c r="M20" i="7"/>
  <c r="D20" i="7"/>
  <c r="T194" i="7"/>
  <c r="X11" i="4"/>
  <c r="Z19" i="4"/>
  <c r="D17" i="7"/>
  <c r="AE135" i="7"/>
  <c r="AQ82" i="7"/>
  <c r="X126" i="4"/>
  <c r="B200" i="7"/>
  <c r="M200" i="7"/>
  <c r="U150" i="4"/>
  <c r="AP135" i="7"/>
  <c r="Z186" i="4"/>
  <c r="T26" i="7"/>
  <c r="S82" i="7"/>
  <c r="AQ135" i="7"/>
  <c r="S195" i="4"/>
  <c r="C172" i="7"/>
  <c r="S102" i="4"/>
  <c r="C158" i="7"/>
  <c r="M186" i="7"/>
  <c r="AA186" i="7"/>
  <c r="U188" i="4"/>
  <c r="AC11" i="4"/>
  <c r="AE17" i="7"/>
  <c r="AR141" i="7"/>
  <c r="AC195" i="4"/>
  <c r="S44" i="7"/>
  <c r="L185" i="7"/>
  <c r="B185" i="7"/>
  <c r="P187" i="4"/>
  <c r="C4" i="7"/>
  <c r="M4" i="7"/>
  <c r="B20" i="7"/>
  <c r="S20" i="7"/>
  <c r="AC22" i="4"/>
  <c r="AR188" i="7"/>
  <c r="AE204" i="4"/>
  <c r="Z204" i="4"/>
  <c r="S196" i="4"/>
  <c r="T17" i="7"/>
  <c r="S19" i="4"/>
  <c r="AC28" i="4"/>
  <c r="C184" i="7"/>
  <c r="S148" i="7"/>
  <c r="Z202" i="4"/>
  <c r="AP200" i="7"/>
  <c r="N137" i="4"/>
  <c r="AE26" i="7"/>
  <c r="C110" i="7"/>
  <c r="X137" i="4"/>
  <c r="U195" i="4"/>
  <c r="AC174" i="4"/>
  <c r="U42" i="7"/>
  <c r="D158" i="7"/>
  <c r="T186" i="7"/>
  <c r="AC188" i="4"/>
  <c r="Z188" i="4"/>
  <c r="P188" i="4"/>
  <c r="N188" i="4"/>
  <c r="AR200" i="7"/>
  <c r="U19" i="4"/>
  <c r="C82" i="7"/>
  <c r="L20" i="7"/>
  <c r="D64" i="7"/>
  <c r="K185" i="7"/>
  <c r="X187" i="4"/>
  <c r="C185" i="7"/>
  <c r="AQ185" i="7"/>
  <c r="U185" i="7"/>
  <c r="D193" i="7"/>
  <c r="B4" i="7"/>
  <c r="AC6" i="4"/>
  <c r="AQ4" i="7"/>
  <c r="AE4" i="7"/>
  <c r="S14" i="4"/>
  <c r="AP20" i="7"/>
  <c r="U22" i="4"/>
  <c r="AA20" i="7"/>
  <c r="S22" i="4"/>
  <c r="X22" i="4"/>
  <c r="M188" i="7"/>
  <c r="U204" i="4"/>
  <c r="S11" i="4"/>
  <c r="AC19" i="4"/>
  <c r="AE202" i="7"/>
  <c r="AQ202" i="7"/>
  <c r="AR202" i="7"/>
  <c r="AC196" i="4"/>
  <c r="U11" i="4"/>
  <c r="AQ17" i="7"/>
  <c r="AA17" i="7"/>
  <c r="P19" i="4"/>
  <c r="B174" i="7"/>
  <c r="AC137" i="4"/>
  <c r="T154" i="7"/>
  <c r="AP82" i="7"/>
  <c r="C26" i="7"/>
  <c r="AP202" i="7"/>
  <c r="AQ184" i="7"/>
  <c r="U148" i="7"/>
  <c r="S150" i="4"/>
  <c r="D200" i="7"/>
  <c r="AA200" i="7"/>
  <c r="AY82" i="7"/>
  <c r="S200" i="7"/>
  <c r="AQ148" i="7"/>
  <c r="AY17" i="7"/>
  <c r="K202" i="7"/>
  <c r="B202" i="7"/>
  <c r="K135" i="7"/>
  <c r="P28" i="4"/>
  <c r="T82" i="7"/>
  <c r="L135" i="7"/>
  <c r="M193" i="7"/>
  <c r="D42" i="7"/>
  <c r="S26" i="4"/>
  <c r="AQ19" i="7"/>
  <c r="P160" i="4"/>
  <c r="K158" i="7"/>
  <c r="AE186" i="7"/>
  <c r="X188" i="4"/>
  <c r="AY68" i="7"/>
  <c r="S188" i="4"/>
  <c r="U174" i="7"/>
  <c r="X84" i="4"/>
  <c r="C20" i="7"/>
  <c r="U58" i="4"/>
  <c r="S185" i="7"/>
  <c r="AA185" i="7"/>
  <c r="M185" i="7"/>
  <c r="N187" i="4"/>
  <c r="AE185" i="7"/>
  <c r="AE187" i="4"/>
  <c r="N6" i="4"/>
  <c r="D4" i="7"/>
  <c r="AE6" i="4"/>
  <c r="AP4" i="7"/>
  <c r="P6" i="4"/>
  <c r="C12" i="7"/>
  <c r="AR20" i="7"/>
  <c r="P22" i="4"/>
  <c r="Z22" i="4"/>
  <c r="N22" i="4"/>
  <c r="K188" i="7"/>
  <c r="S204" i="4"/>
  <c r="L202" i="7"/>
  <c r="D202" i="7"/>
  <c r="U186" i="7"/>
  <c r="K194" i="7"/>
  <c r="AE11" i="4"/>
  <c r="AE9" i="7"/>
  <c r="N19" i="4"/>
  <c r="AR17" i="7"/>
  <c r="AP17" i="7"/>
  <c r="C135" i="7"/>
  <c r="D82" i="7"/>
  <c r="AR26" i="7"/>
  <c r="S158" i="4"/>
  <c r="L184" i="7"/>
  <c r="C128" i="7"/>
  <c r="AC150" i="4"/>
  <c r="T200" i="7"/>
  <c r="S202" i="4"/>
  <c r="C200" i="7"/>
  <c r="P137" i="4"/>
  <c r="AR135" i="7"/>
  <c r="P202" i="4"/>
  <c r="AC204" i="4"/>
  <c r="AP186" i="7"/>
  <c r="U28" i="4"/>
  <c r="S26" i="7"/>
  <c r="N84" i="4"/>
  <c r="Z112" i="4"/>
  <c r="B135" i="7"/>
  <c r="P156" i="4"/>
  <c r="AE64" i="7"/>
  <c r="S166" i="4"/>
  <c r="X176" i="4"/>
  <c r="T180" i="7"/>
  <c r="AQ198" i="7"/>
  <c r="P203" i="4"/>
  <c r="K56" i="7"/>
  <c r="AE66" i="4"/>
  <c r="T16" i="7"/>
  <c r="S200" i="4"/>
  <c r="N184" i="4"/>
  <c r="AE174" i="7"/>
  <c r="M181" i="7"/>
  <c r="U56" i="7"/>
  <c r="M180" i="7"/>
  <c r="AA13" i="7"/>
  <c r="K174" i="7"/>
  <c r="B137" i="7"/>
  <c r="AQ74" i="7"/>
  <c r="AC18" i="4"/>
  <c r="AR16" i="7"/>
  <c r="AE16" i="7"/>
  <c r="K181" i="7"/>
  <c r="P151" i="4"/>
  <c r="AP174" i="7"/>
  <c r="AR15" i="7"/>
  <c r="D197" i="7"/>
  <c r="X199" i="4"/>
  <c r="AQ56" i="7"/>
  <c r="C72" i="7"/>
  <c r="AP16" i="7"/>
  <c r="AE18" i="4"/>
  <c r="AP181" i="7"/>
  <c r="AQ181" i="7"/>
  <c r="P183" i="4"/>
  <c r="K149" i="7"/>
  <c r="AE176" i="4"/>
  <c r="U15" i="4"/>
  <c r="AP197" i="7"/>
  <c r="T56" i="7"/>
  <c r="B64" i="7"/>
  <c r="AP164" i="7"/>
  <c r="L197" i="7"/>
  <c r="X15" i="4"/>
  <c r="S174" i="7"/>
  <c r="L164" i="7"/>
  <c r="U194" i="4"/>
  <c r="B192" i="7"/>
  <c r="U70" i="4"/>
  <c r="AC202" i="4"/>
  <c r="AP26" i="7"/>
  <c r="AQ26" i="7"/>
  <c r="L82" i="7"/>
  <c r="U84" i="4"/>
  <c r="AE110" i="7"/>
  <c r="AQ126" i="7"/>
  <c r="U137" i="4"/>
  <c r="U199" i="4"/>
  <c r="X172" i="4"/>
  <c r="S21" i="4"/>
  <c r="S189" i="7"/>
  <c r="M38" i="7"/>
  <c r="P46" i="4"/>
  <c r="AC191" i="4"/>
  <c r="AE191" i="4"/>
  <c r="K189" i="7"/>
  <c r="U191" i="4"/>
  <c r="Z191" i="4"/>
  <c r="D8" i="7"/>
  <c r="B8" i="7"/>
  <c r="AP8" i="7"/>
  <c r="AC10" i="4"/>
  <c r="C8" i="7"/>
  <c r="S23" i="4"/>
  <c r="AR190" i="7"/>
  <c r="S192" i="4"/>
  <c r="P7" i="4"/>
  <c r="T5" i="7"/>
  <c r="AE5" i="7"/>
  <c r="AE23" i="4"/>
  <c r="U23" i="4"/>
  <c r="AR50" i="7"/>
  <c r="P135" i="4"/>
  <c r="U22" i="7"/>
  <c r="N88" i="4"/>
  <c r="S146" i="7"/>
  <c r="N40" i="4"/>
  <c r="M121" i="7"/>
  <c r="AP19" i="7"/>
  <c r="U189" i="7"/>
  <c r="L48" i="7"/>
  <c r="P191" i="4"/>
  <c r="AY71" i="7"/>
  <c r="AE10" i="4"/>
  <c r="S190" i="7"/>
  <c r="P192" i="4"/>
  <c r="Z192" i="4"/>
  <c r="S5" i="7"/>
  <c r="K5" i="7"/>
  <c r="M5" i="7"/>
  <c r="B21" i="7"/>
  <c r="T21" i="7"/>
  <c r="L21" i="7"/>
  <c r="AP86" i="7"/>
  <c r="U146" i="7"/>
  <c r="Z70" i="4"/>
  <c r="U86" i="7"/>
  <c r="S40" i="4"/>
  <c r="AC148" i="4"/>
  <c r="AC172" i="4"/>
  <c r="X30" i="4"/>
  <c r="D38" i="7"/>
  <c r="D189" i="7"/>
  <c r="T189" i="7"/>
  <c r="S191" i="4"/>
  <c r="U10" i="4"/>
  <c r="L8" i="7"/>
  <c r="T8" i="7"/>
  <c r="Z10" i="4"/>
  <c r="AC135" i="4"/>
  <c r="M170" i="7"/>
  <c r="L143" i="7"/>
  <c r="K170" i="7"/>
  <c r="U74" i="4"/>
  <c r="X127" i="4"/>
  <c r="AE21" i="4"/>
  <c r="P21" i="4"/>
  <c r="C189" i="7"/>
  <c r="AP189" i="7"/>
  <c r="M189" i="7"/>
  <c r="N191" i="4"/>
  <c r="AE8" i="7"/>
  <c r="P10" i="4"/>
  <c r="X10" i="4"/>
  <c r="AQ8" i="7"/>
  <c r="AE172" i="7"/>
  <c r="AP22" i="7"/>
  <c r="U192" i="4"/>
  <c r="D190" i="7"/>
  <c r="K190" i="7"/>
  <c r="S7" i="4"/>
  <c r="B5" i="7"/>
  <c r="AC7" i="4"/>
  <c r="AA21" i="7"/>
  <c r="P23" i="4"/>
  <c r="AE143" i="7"/>
  <c r="AR176" i="7"/>
  <c r="M86" i="7"/>
  <c r="AE148" i="4"/>
  <c r="S86" i="7"/>
  <c r="U26" i="7"/>
  <c r="S28" i="4"/>
  <c r="AE28" i="4"/>
  <c r="N44" i="4"/>
  <c r="M82" i="7"/>
  <c r="S84" i="4"/>
  <c r="Z84" i="4"/>
  <c r="M135" i="7"/>
  <c r="U135" i="7"/>
  <c r="L154" i="7"/>
  <c r="AE195" i="4"/>
  <c r="U193" i="7"/>
  <c r="T193" i="7"/>
  <c r="AC44" i="4"/>
  <c r="AE44" i="4"/>
  <c r="B15" i="7"/>
  <c r="K15" i="7"/>
  <c r="L36" i="7"/>
  <c r="U201" i="7"/>
  <c r="AP201" i="7"/>
  <c r="AA201" i="7"/>
  <c r="K36" i="7"/>
  <c r="AP52" i="7"/>
  <c r="AR193" i="7"/>
  <c r="Z195" i="4"/>
  <c r="N195" i="4"/>
  <c r="N14" i="4"/>
  <c r="AE14" i="4"/>
  <c r="AP12" i="7"/>
  <c r="U12" i="7"/>
  <c r="P14" i="4"/>
  <c r="B164" i="7"/>
  <c r="S194" i="7"/>
  <c r="U194" i="7"/>
  <c r="Z196" i="4"/>
  <c r="AP194" i="7"/>
  <c r="D194" i="7"/>
  <c r="AP9" i="7"/>
  <c r="U9" i="7"/>
  <c r="AR9" i="7"/>
  <c r="K9" i="7"/>
  <c r="M34" i="7"/>
  <c r="B154" i="7"/>
  <c r="AR154" i="7"/>
  <c r="S156" i="4"/>
  <c r="AC126" i="4"/>
  <c r="AR164" i="7"/>
  <c r="N186" i="4"/>
  <c r="K184" i="7"/>
  <c r="S184" i="7"/>
  <c r="D184" i="7"/>
  <c r="S128" i="7"/>
  <c r="T128" i="7"/>
  <c r="AE130" i="4"/>
  <c r="AP42" i="7"/>
  <c r="X44" i="4"/>
  <c r="X186" i="4"/>
  <c r="Z44" i="4"/>
  <c r="S42" i="7"/>
  <c r="L110" i="7"/>
  <c r="AR110" i="7"/>
  <c r="AA110" i="7"/>
  <c r="X156" i="4"/>
  <c r="L193" i="7"/>
  <c r="B42" i="7"/>
  <c r="K124" i="7"/>
  <c r="AQ164" i="7"/>
  <c r="T9" i="7"/>
  <c r="C194" i="7"/>
  <c r="AQ194" i="7"/>
  <c r="X196" i="4"/>
  <c r="U196" i="4"/>
  <c r="AA194" i="7"/>
  <c r="L194" i="7"/>
  <c r="AQ9" i="7"/>
  <c r="Z11" i="4"/>
  <c r="C9" i="7"/>
  <c r="B9" i="7"/>
  <c r="AP90" i="7"/>
  <c r="M154" i="7"/>
  <c r="AC156" i="4"/>
  <c r="AY6" i="7"/>
  <c r="AE184" i="7"/>
  <c r="AE186" i="4"/>
  <c r="AA184" i="7"/>
  <c r="AC186" i="4"/>
  <c r="AR128" i="7"/>
  <c r="U128" i="7"/>
  <c r="T42" i="7"/>
  <c r="P44" i="4"/>
  <c r="AP184" i="7"/>
  <c r="U110" i="7"/>
  <c r="AQ110" i="7"/>
  <c r="AC112" i="4"/>
  <c r="U156" i="4"/>
  <c r="AQ154" i="7"/>
  <c r="AE193" i="7"/>
  <c r="K193" i="7"/>
  <c r="X164" i="4"/>
  <c r="AE42" i="7"/>
  <c r="M42" i="7"/>
  <c r="D9" i="7"/>
  <c r="Z17" i="4"/>
  <c r="D15" i="7"/>
  <c r="U203" i="4"/>
  <c r="AE203" i="4"/>
  <c r="U42" i="4"/>
  <c r="P195" i="4"/>
  <c r="C193" i="7"/>
  <c r="B12" i="7"/>
  <c r="S12" i="7"/>
  <c r="X14" i="4"/>
  <c r="U14" i="4"/>
  <c r="AC14" i="4"/>
  <c r="U62" i="4"/>
  <c r="AE36" i="4"/>
  <c r="AQ193" i="7"/>
  <c r="AP193" i="7"/>
  <c r="AA193" i="7"/>
  <c r="X74" i="4"/>
  <c r="K42" i="7"/>
  <c r="C42" i="7"/>
  <c r="U44" i="4"/>
  <c r="AP130" i="7"/>
  <c r="AQ15" i="7"/>
  <c r="U15" i="7"/>
  <c r="C201" i="7"/>
  <c r="S40" i="7"/>
  <c r="U52" i="7"/>
  <c r="B193" i="7"/>
  <c r="S193" i="7"/>
  <c r="Z14" i="4"/>
  <c r="AA12" i="7"/>
  <c r="T12" i="7"/>
  <c r="AR12" i="7"/>
  <c r="Z62" i="4"/>
  <c r="AR184" i="7"/>
  <c r="T124" i="7"/>
  <c r="P11" i="4"/>
  <c r="AY76" i="7"/>
  <c r="M194" i="7"/>
  <c r="P196" i="4"/>
  <c r="AE196" i="4"/>
  <c r="B194" i="7"/>
  <c r="AE194" i="7"/>
  <c r="M9" i="7"/>
  <c r="N11" i="4"/>
  <c r="L9" i="7"/>
  <c r="Z156" i="4"/>
  <c r="S154" i="7"/>
  <c r="AE156" i="4"/>
  <c r="AE126" i="4"/>
  <c r="S164" i="7"/>
  <c r="AY66" i="7"/>
  <c r="U184" i="7"/>
  <c r="P186" i="4"/>
  <c r="B184" i="7"/>
  <c r="AC130" i="4"/>
  <c r="AE128" i="7"/>
  <c r="M184" i="7"/>
  <c r="AR100" i="7"/>
  <c r="L42" i="7"/>
  <c r="U186" i="4"/>
  <c r="AR42" i="7"/>
  <c r="C38" i="7"/>
  <c r="L74" i="7"/>
  <c r="AE112" i="4"/>
  <c r="S110" i="7"/>
  <c r="X112" i="4"/>
  <c r="D110" i="7"/>
  <c r="AY28" i="7"/>
  <c r="K154" i="7"/>
  <c r="AE154" i="7"/>
  <c r="K144" i="7"/>
  <c r="M24" i="7"/>
  <c r="L180" i="7"/>
  <c r="C166" i="7"/>
  <c r="Z15" i="4"/>
  <c r="D198" i="7"/>
  <c r="T197" i="7"/>
  <c r="AR197" i="7"/>
  <c r="S199" i="4"/>
  <c r="N18" i="4"/>
  <c r="Z199" i="4"/>
  <c r="P199" i="4"/>
  <c r="N34" i="4"/>
  <c r="S182" i="4"/>
  <c r="AC199" i="4"/>
  <c r="X200" i="4"/>
  <c r="AE197" i="7"/>
  <c r="U150" i="7"/>
  <c r="K197" i="7"/>
  <c r="L182" i="7"/>
  <c r="T198" i="7"/>
  <c r="D13" i="7"/>
  <c r="AE13" i="7"/>
  <c r="S178" i="4"/>
  <c r="AE142" i="7"/>
  <c r="L137" i="7"/>
  <c r="D137" i="7"/>
  <c r="N194" i="4"/>
  <c r="AC194" i="4"/>
  <c r="L126" i="7"/>
  <c r="S74" i="7"/>
  <c r="B74" i="7"/>
  <c r="M74" i="7"/>
  <c r="X128" i="4"/>
  <c r="U128" i="4"/>
  <c r="AQ16" i="7"/>
  <c r="S183" i="4"/>
  <c r="L138" i="7"/>
  <c r="C180" i="7"/>
  <c r="B13" i="7"/>
  <c r="U200" i="4"/>
  <c r="M197" i="7"/>
  <c r="AR142" i="7"/>
  <c r="P200" i="4"/>
  <c r="S184" i="4"/>
  <c r="AP182" i="7"/>
  <c r="AE184" i="4"/>
  <c r="S13" i="7"/>
  <c r="C126" i="7"/>
  <c r="AQ144" i="7"/>
  <c r="C137" i="7"/>
  <c r="U192" i="7"/>
  <c r="L192" i="7"/>
  <c r="AC178" i="4"/>
  <c r="AP74" i="7"/>
  <c r="S76" i="4"/>
  <c r="AE128" i="4"/>
  <c r="S18" i="4"/>
  <c r="AA16" i="7"/>
  <c r="M16" i="7"/>
  <c r="AC183" i="4"/>
  <c r="L181" i="7"/>
  <c r="B24" i="7"/>
  <c r="AE24" i="7"/>
  <c r="AQ182" i="7"/>
  <c r="AY79" i="7"/>
  <c r="N199" i="4"/>
  <c r="AQ32" i="7"/>
  <c r="L16" i="7"/>
  <c r="S7" i="7"/>
  <c r="C192" i="7"/>
  <c r="U120" i="7"/>
  <c r="D16" i="7"/>
  <c r="X18" i="4"/>
  <c r="C16" i="7"/>
  <c r="Z18" i="4"/>
  <c r="K16" i="7"/>
  <c r="AY63" i="7"/>
  <c r="U183" i="4"/>
  <c r="D181" i="7"/>
  <c r="AE183" i="4"/>
  <c r="Z152" i="4"/>
  <c r="C125" i="7"/>
  <c r="AY27" i="7"/>
  <c r="AC26" i="4"/>
  <c r="N26" i="4"/>
  <c r="K182" i="7"/>
  <c r="AE15" i="4"/>
  <c r="C197" i="7"/>
  <c r="AE199" i="4"/>
  <c r="Z183" i="4"/>
  <c r="B197" i="7"/>
  <c r="AE182" i="4"/>
  <c r="B198" i="7"/>
  <c r="P184" i="4"/>
  <c r="AR182" i="7"/>
  <c r="L198" i="7"/>
  <c r="U13" i="7"/>
  <c r="C13" i="7"/>
  <c r="Z90" i="4"/>
  <c r="AE158" i="4"/>
  <c r="C7" i="7"/>
  <c r="AC139" i="4"/>
  <c r="AR137" i="7"/>
  <c r="X194" i="4"/>
  <c r="AP198" i="7"/>
  <c r="T68" i="7"/>
  <c r="P194" i="4"/>
  <c r="D26" i="7"/>
  <c r="AA26" i="7"/>
  <c r="S44" i="4"/>
  <c r="AE76" i="4"/>
  <c r="AA74" i="7"/>
  <c r="AC84" i="4"/>
  <c r="AE82" i="7"/>
  <c r="B82" i="7"/>
  <c r="AA82" i="7"/>
  <c r="T110" i="7"/>
  <c r="AP110" i="7"/>
  <c r="S112" i="4"/>
  <c r="P112" i="4"/>
  <c r="N128" i="4"/>
  <c r="AR126" i="7"/>
  <c r="S135" i="7"/>
  <c r="AA135" i="7"/>
  <c r="AE137" i="4"/>
  <c r="N156" i="4"/>
  <c r="AA154" i="7"/>
  <c r="AP154" i="7"/>
  <c r="S17" i="7"/>
  <c r="AC94" i="4"/>
  <c r="P122" i="4"/>
  <c r="D28" i="7"/>
  <c r="AP44" i="7"/>
  <c r="AP48" i="7"/>
  <c r="AY42" i="7"/>
  <c r="B34" i="7"/>
  <c r="L124" i="7"/>
  <c r="M124" i="7"/>
  <c r="AP124" i="7"/>
  <c r="Z166" i="4"/>
  <c r="AE164" i="7"/>
  <c r="L86" i="7"/>
  <c r="C86" i="7"/>
  <c r="K86" i="7"/>
  <c r="AE146" i="7"/>
  <c r="S148" i="4"/>
  <c r="AP146" i="7"/>
  <c r="AQ38" i="7"/>
  <c r="X154" i="4"/>
  <c r="C124" i="7"/>
  <c r="P154" i="4"/>
  <c r="S88" i="4"/>
  <c r="T86" i="7"/>
  <c r="Z40" i="4"/>
  <c r="AE38" i="7"/>
  <c r="N148" i="4"/>
  <c r="AR192" i="7"/>
  <c r="Z164" i="4"/>
  <c r="B150" i="7"/>
  <c r="AP149" i="7"/>
  <c r="X132" i="4"/>
  <c r="AC132" i="4"/>
  <c r="Z151" i="4"/>
  <c r="AE149" i="7"/>
  <c r="C174" i="7"/>
  <c r="AA174" i="7"/>
  <c r="AY62" i="7"/>
  <c r="AC182" i="4"/>
  <c r="AP13" i="7"/>
  <c r="AQ13" i="7"/>
  <c r="M13" i="7"/>
  <c r="AE198" i="7"/>
  <c r="AP15" i="7"/>
  <c r="U17" i="4"/>
  <c r="C15" i="7"/>
  <c r="L15" i="7"/>
  <c r="M28" i="7"/>
  <c r="T201" i="7"/>
  <c r="K201" i="7"/>
  <c r="L38" i="7"/>
  <c r="K38" i="7"/>
  <c r="Z203" i="4"/>
  <c r="B201" i="7"/>
  <c r="L40" i="7"/>
  <c r="B44" i="7"/>
  <c r="S46" i="4"/>
  <c r="AE48" i="7"/>
  <c r="D52" i="7"/>
  <c r="AQ60" i="7"/>
  <c r="AP180" i="7"/>
  <c r="B124" i="7"/>
  <c r="AE124" i="7"/>
  <c r="AE166" i="4"/>
  <c r="Z200" i="4"/>
  <c r="AE21" i="7"/>
  <c r="P145" i="4"/>
  <c r="N200" i="4"/>
  <c r="AY80" i="7"/>
  <c r="C182" i="7"/>
  <c r="AE182" i="7"/>
  <c r="AY64" i="7"/>
  <c r="U184" i="4"/>
  <c r="X192" i="4"/>
  <c r="AC192" i="4"/>
  <c r="AE190" i="7"/>
  <c r="AY72" i="7"/>
  <c r="M190" i="7"/>
  <c r="AC200" i="4"/>
  <c r="U5" i="7"/>
  <c r="N7" i="4"/>
  <c r="C5" i="7"/>
  <c r="Z7" i="4"/>
  <c r="AA5" i="7"/>
  <c r="X7" i="4"/>
  <c r="K13" i="7"/>
  <c r="S15" i="4"/>
  <c r="N15" i="4"/>
  <c r="C21" i="7"/>
  <c r="S21" i="7"/>
  <c r="M21" i="7"/>
  <c r="AQ21" i="7"/>
  <c r="AQ34" i="7"/>
  <c r="AQ174" i="7"/>
  <c r="S176" i="4"/>
  <c r="AA126" i="7"/>
  <c r="C88" i="7"/>
  <c r="U124" i="7"/>
  <c r="U126" i="4"/>
  <c r="N126" i="4"/>
  <c r="AC166" i="4"/>
  <c r="D164" i="7"/>
  <c r="AA164" i="7"/>
  <c r="N178" i="4"/>
  <c r="D7" i="7"/>
  <c r="AE86" i="7"/>
  <c r="D86" i="7"/>
  <c r="Z88" i="4"/>
  <c r="P88" i="4"/>
  <c r="D146" i="7"/>
  <c r="T146" i="7"/>
  <c r="C146" i="7"/>
  <c r="M192" i="7"/>
  <c r="AP137" i="7"/>
  <c r="AQ137" i="7"/>
  <c r="S192" i="7"/>
  <c r="P139" i="4"/>
  <c r="T38" i="7"/>
  <c r="D192" i="7"/>
  <c r="Z194" i="4"/>
  <c r="AE192" i="7"/>
  <c r="N17" i="4"/>
  <c r="P70" i="4"/>
  <c r="AQ146" i="7"/>
  <c r="AY74" i="7"/>
  <c r="U88" i="4"/>
  <c r="AE88" i="4"/>
  <c r="AR198" i="7"/>
  <c r="AE40" i="4"/>
  <c r="AC40" i="4"/>
  <c r="P76" i="4"/>
  <c r="Z76" i="4"/>
  <c r="U74" i="7"/>
  <c r="X76" i="4"/>
  <c r="N76" i="4"/>
  <c r="N112" i="4"/>
  <c r="B110" i="7"/>
  <c r="M110" i="7"/>
  <c r="K110" i="7"/>
  <c r="M126" i="7"/>
  <c r="AP126" i="7"/>
  <c r="D126" i="7"/>
  <c r="AE126" i="7"/>
  <c r="AY8" i="7"/>
  <c r="B146" i="7"/>
  <c r="Z148" i="4"/>
  <c r="AY36" i="7"/>
  <c r="D154" i="7"/>
  <c r="D34" i="7"/>
  <c r="U164" i="7"/>
  <c r="AP192" i="7"/>
  <c r="B120" i="7"/>
  <c r="AY32" i="7"/>
  <c r="N132" i="4"/>
  <c r="P140" i="4"/>
  <c r="T149" i="7"/>
  <c r="AR174" i="7"/>
  <c r="D174" i="7"/>
  <c r="P182" i="4"/>
  <c r="D182" i="7"/>
  <c r="L13" i="7"/>
  <c r="AR13" i="7"/>
  <c r="AE200" i="4"/>
  <c r="AC17" i="4"/>
  <c r="X17" i="4"/>
  <c r="S15" i="7"/>
  <c r="P17" i="4"/>
  <c r="D201" i="7"/>
  <c r="AA38" i="7"/>
  <c r="AP38" i="7"/>
  <c r="S201" i="7"/>
  <c r="Z38" i="4"/>
  <c r="X42" i="4"/>
  <c r="D44" i="7"/>
  <c r="B48" i="7"/>
  <c r="AA48" i="7"/>
  <c r="AC54" i="4"/>
  <c r="K60" i="7"/>
  <c r="D160" i="7"/>
  <c r="AA180" i="7"/>
  <c r="D124" i="7"/>
  <c r="C164" i="7"/>
  <c r="C198" i="7"/>
  <c r="M198" i="7"/>
  <c r="AQ143" i="7"/>
  <c r="AC23" i="4"/>
  <c r="K198" i="7"/>
  <c r="B182" i="7"/>
  <c r="M182" i="7"/>
  <c r="Z184" i="4"/>
  <c r="AC184" i="4"/>
  <c r="B190" i="7"/>
  <c r="N192" i="4"/>
  <c r="C190" i="7"/>
  <c r="AP190" i="7"/>
  <c r="T190" i="7"/>
  <c r="AQ190" i="7"/>
  <c r="U198" i="7"/>
  <c r="AE7" i="4"/>
  <c r="U7" i="4"/>
  <c r="AP5" i="7"/>
  <c r="AR5" i="7"/>
  <c r="P15" i="4"/>
  <c r="AC15" i="4"/>
  <c r="Z23" i="4"/>
  <c r="U21" i="7"/>
  <c r="N23" i="4"/>
  <c r="X23" i="4"/>
  <c r="K21" i="7"/>
  <c r="P176" i="4"/>
  <c r="T88" i="7"/>
  <c r="P126" i="4"/>
  <c r="S126" i="4"/>
  <c r="AQ124" i="7"/>
  <c r="K164" i="7"/>
  <c r="X166" i="4"/>
  <c r="M176" i="7"/>
  <c r="T7" i="7"/>
  <c r="AC88" i="4"/>
  <c r="X88" i="4"/>
  <c r="B86" i="7"/>
  <c r="U148" i="4"/>
  <c r="AA146" i="7"/>
  <c r="M146" i="7"/>
  <c r="S139" i="4"/>
  <c r="U38" i="7"/>
  <c r="T137" i="7"/>
  <c r="AY19" i="7"/>
  <c r="AE139" i="4"/>
  <c r="X40" i="4"/>
  <c r="N154" i="4"/>
  <c r="K192" i="7"/>
  <c r="AQ192" i="7"/>
  <c r="AE194" i="4"/>
  <c r="S38" i="7"/>
  <c r="K146" i="7"/>
  <c r="AR86" i="7"/>
  <c r="D74" i="7"/>
  <c r="B38" i="7"/>
  <c r="P40" i="4"/>
  <c r="AE74" i="7"/>
  <c r="AC76" i="4"/>
  <c r="T74" i="7"/>
  <c r="C74" i="7"/>
  <c r="K74" i="7"/>
  <c r="S128" i="4"/>
  <c r="K126" i="7"/>
  <c r="Z128" i="4"/>
  <c r="S174" i="4"/>
  <c r="Z174" i="4"/>
  <c r="U112" i="7"/>
  <c r="AA100" i="7"/>
  <c r="X123" i="4"/>
  <c r="N123" i="4"/>
  <c r="AQ138" i="7"/>
  <c r="Z140" i="4"/>
  <c r="AY39" i="7"/>
  <c r="AR157" i="7"/>
  <c r="X160" i="4"/>
  <c r="AR158" i="7"/>
  <c r="AP158" i="7"/>
  <c r="AC160" i="4"/>
  <c r="U158" i="7"/>
  <c r="L168" i="7"/>
  <c r="AA141" i="7"/>
  <c r="X38" i="4"/>
  <c r="AY23" i="7"/>
  <c r="M52" i="7"/>
  <c r="D141" i="7"/>
  <c r="Z143" i="4"/>
  <c r="S42" i="4"/>
  <c r="K52" i="7"/>
  <c r="C36" i="7"/>
  <c r="AR36" i="7"/>
  <c r="U38" i="4"/>
  <c r="Z42" i="4"/>
  <c r="K40" i="7"/>
  <c r="AC42" i="4"/>
  <c r="AQ40" i="7"/>
  <c r="AQ52" i="7"/>
  <c r="B52" i="7"/>
  <c r="AE54" i="4"/>
  <c r="P62" i="4"/>
  <c r="U60" i="7"/>
  <c r="L60" i="7"/>
  <c r="C60" i="7"/>
  <c r="D172" i="7"/>
  <c r="N190" i="4"/>
  <c r="AC190" i="4"/>
  <c r="L188" i="7"/>
  <c r="U188" i="7"/>
  <c r="S143" i="7"/>
  <c r="M143" i="7"/>
  <c r="X145" i="4"/>
  <c r="N145" i="4"/>
  <c r="N158" i="4"/>
  <c r="X158" i="4"/>
  <c r="AE11" i="7"/>
  <c r="U154" i="4"/>
  <c r="B152" i="7"/>
  <c r="AY34" i="7"/>
  <c r="K100" i="7"/>
  <c r="N102" i="4"/>
  <c r="B143" i="7"/>
  <c r="AP148" i="7"/>
  <c r="X150" i="4"/>
  <c r="AR148" i="7"/>
  <c r="M148" i="7"/>
  <c r="D148" i="7"/>
  <c r="Z150" i="4"/>
  <c r="K148" i="7"/>
  <c r="B148" i="7"/>
  <c r="AY30" i="7"/>
  <c r="AE150" i="4"/>
  <c r="AE148" i="7"/>
  <c r="T148" i="7"/>
  <c r="AA148" i="7"/>
  <c r="P150" i="4"/>
  <c r="L200" i="7"/>
  <c r="K200" i="7"/>
  <c r="AE154" i="4"/>
  <c r="S154" i="4"/>
  <c r="AP152" i="7"/>
  <c r="AA152" i="7"/>
  <c r="AE152" i="7"/>
  <c r="AE174" i="4"/>
  <c r="P114" i="4"/>
  <c r="S158" i="7"/>
  <c r="B141" i="7"/>
  <c r="AC38" i="4"/>
  <c r="B36" i="7"/>
  <c r="AA40" i="7"/>
  <c r="AP40" i="7"/>
  <c r="T40" i="7"/>
  <c r="C52" i="7"/>
  <c r="AR52" i="7"/>
  <c r="S54" i="4"/>
  <c r="S62" i="4"/>
  <c r="AE62" i="4"/>
  <c r="X62" i="4"/>
  <c r="AR60" i="7"/>
  <c r="N174" i="4"/>
  <c r="AP188" i="7"/>
  <c r="S190" i="4"/>
  <c r="D188" i="7"/>
  <c r="T188" i="7"/>
  <c r="AE188" i="7"/>
  <c r="AA143" i="7"/>
  <c r="AR143" i="7"/>
  <c r="S145" i="4"/>
  <c r="T143" i="7"/>
  <c r="X13" i="4"/>
  <c r="AE145" i="4"/>
  <c r="AE143" i="4"/>
  <c r="K143" i="7"/>
  <c r="S156" i="7"/>
  <c r="AC158" i="4"/>
  <c r="U190" i="4"/>
  <c r="Z154" i="4"/>
  <c r="AR152" i="7"/>
  <c r="AC154" i="4"/>
  <c r="AE100" i="7"/>
  <c r="D100" i="7"/>
  <c r="U143" i="7"/>
  <c r="AA128" i="7"/>
  <c r="AQ128" i="7"/>
  <c r="AP128" i="7"/>
  <c r="Z130" i="4"/>
  <c r="X130" i="4"/>
  <c r="U130" i="4"/>
  <c r="K128" i="7"/>
  <c r="P130" i="4"/>
  <c r="N130" i="4"/>
  <c r="B128" i="7"/>
  <c r="L128" i="7"/>
  <c r="D128" i="7"/>
  <c r="AY10" i="7"/>
  <c r="M128" i="7"/>
  <c r="U174" i="4"/>
  <c r="AP80" i="7"/>
  <c r="K121" i="7"/>
  <c r="AE138" i="7"/>
  <c r="U159" i="4"/>
  <c r="T158" i="7"/>
  <c r="S160" i="4"/>
  <c r="AE158" i="7"/>
  <c r="AY40" i="7"/>
  <c r="U168" i="4"/>
  <c r="S36" i="7"/>
  <c r="S143" i="4"/>
  <c r="AC143" i="4"/>
  <c r="AA36" i="7"/>
  <c r="P174" i="4"/>
  <c r="AQ172" i="7"/>
  <c r="AC114" i="4"/>
  <c r="S121" i="7"/>
  <c r="B121" i="7"/>
  <c r="AP138" i="7"/>
  <c r="T153" i="7"/>
  <c r="L158" i="7"/>
  <c r="M158" i="7"/>
  <c r="AQ158" i="7"/>
  <c r="Z160" i="4"/>
  <c r="AE159" i="4"/>
  <c r="K141" i="7"/>
  <c r="P143" i="4"/>
  <c r="AP141" i="7"/>
  <c r="U36" i="7"/>
  <c r="U141" i="7"/>
  <c r="T36" i="7"/>
  <c r="AE36" i="7"/>
  <c r="P38" i="4"/>
  <c r="P42" i="4"/>
  <c r="AE40" i="7"/>
  <c r="C40" i="7"/>
  <c r="N54" i="4"/>
  <c r="U54" i="4"/>
  <c r="AP60" i="7"/>
  <c r="M60" i="7"/>
  <c r="B60" i="7"/>
  <c r="AE60" i="7"/>
  <c r="AQ156" i="7"/>
  <c r="AE190" i="4"/>
  <c r="Z190" i="4"/>
  <c r="AA188" i="7"/>
  <c r="AP143" i="7"/>
  <c r="U145" i="4"/>
  <c r="AY25" i="7"/>
  <c r="C143" i="7"/>
  <c r="AC13" i="4"/>
  <c r="L141" i="7"/>
  <c r="AC145" i="4"/>
  <c r="D11" i="7"/>
  <c r="D152" i="7"/>
  <c r="AQ152" i="7"/>
  <c r="C152" i="7"/>
  <c r="AC102" i="4"/>
  <c r="Z102" i="4"/>
  <c r="S137" i="7"/>
  <c r="Z139" i="4"/>
  <c r="M137" i="7"/>
  <c r="X139" i="4"/>
  <c r="N139" i="4"/>
  <c r="U137" i="7"/>
  <c r="AE137" i="7"/>
  <c r="K137" i="7"/>
  <c r="K64" i="7"/>
  <c r="AQ64" i="7"/>
  <c r="D72" i="7"/>
  <c r="B72" i="7"/>
  <c r="S152" i="4"/>
  <c r="U152" i="4"/>
  <c r="AA144" i="7"/>
  <c r="AE130" i="7"/>
  <c r="U130" i="7"/>
  <c r="S132" i="4"/>
  <c r="AE132" i="4"/>
  <c r="D130" i="7"/>
  <c r="AR149" i="7"/>
  <c r="L149" i="7"/>
  <c r="U149" i="7"/>
  <c r="S151" i="4"/>
  <c r="B149" i="7"/>
  <c r="B56" i="7"/>
  <c r="Z58" i="4"/>
  <c r="AC58" i="4"/>
  <c r="AE58" i="4"/>
  <c r="L56" i="7"/>
  <c r="N66" i="4"/>
  <c r="T64" i="7"/>
  <c r="AA64" i="7"/>
  <c r="X66" i="4"/>
  <c r="AQ160" i="7"/>
  <c r="L160" i="7"/>
  <c r="X162" i="4"/>
  <c r="P9" i="4"/>
  <c r="D88" i="7"/>
  <c r="AP88" i="7"/>
  <c r="C144" i="7"/>
  <c r="B176" i="7"/>
  <c r="X178" i="4"/>
  <c r="AQ176" i="7"/>
  <c r="AC9" i="4"/>
  <c r="AA7" i="7"/>
  <c r="U9" i="4"/>
  <c r="AC144" i="4"/>
  <c r="AR88" i="7"/>
  <c r="A12" i="8"/>
  <c r="T174" i="7"/>
  <c r="N176" i="4"/>
  <c r="AC176" i="4"/>
  <c r="L174" i="7"/>
  <c r="U176" i="4"/>
  <c r="AY56" i="7"/>
  <c r="Z176" i="4"/>
  <c r="U66" i="4"/>
  <c r="K150" i="7"/>
  <c r="B130" i="7"/>
  <c r="X151" i="4"/>
  <c r="A14" i="8"/>
  <c r="AA149" i="7"/>
  <c r="L176" i="7"/>
  <c r="AP56" i="7"/>
  <c r="D56" i="7"/>
  <c r="AE56" i="7"/>
  <c r="S56" i="7"/>
  <c r="N58" i="4"/>
  <c r="X58" i="4"/>
  <c r="P66" i="4"/>
  <c r="S66" i="4"/>
  <c r="L64" i="7"/>
  <c r="AE160" i="7"/>
  <c r="U162" i="4"/>
  <c r="X9" i="4"/>
  <c r="AQ88" i="7"/>
  <c r="U144" i="4"/>
  <c r="A9" i="8"/>
  <c r="M150" i="7"/>
  <c r="B88" i="7"/>
  <c r="X90" i="4"/>
  <c r="S146" i="4"/>
  <c r="L144" i="7"/>
  <c r="AP176" i="7"/>
  <c r="AY58" i="7"/>
  <c r="C176" i="7"/>
  <c r="AE9" i="4"/>
  <c r="AE7" i="7"/>
  <c r="Z9" i="4"/>
  <c r="Z144" i="4"/>
  <c r="C142" i="7"/>
  <c r="AP142" i="7"/>
  <c r="S88" i="7"/>
  <c r="AQ70" i="7"/>
  <c r="AR70" i="7"/>
  <c r="C70" i="7"/>
  <c r="AE72" i="4"/>
  <c r="N72" i="4"/>
  <c r="S72" i="4"/>
  <c r="M70" i="7"/>
  <c r="U70" i="7"/>
  <c r="AA70" i="7"/>
  <c r="X72" i="4"/>
  <c r="S70" i="7"/>
  <c r="K70" i="7"/>
  <c r="AC72" i="4"/>
  <c r="Z72" i="4"/>
  <c r="B70" i="7"/>
  <c r="U72" i="4"/>
  <c r="L70" i="7"/>
  <c r="AE70" i="7"/>
  <c r="D70" i="7"/>
  <c r="P72" i="4"/>
  <c r="AP70" i="7"/>
  <c r="T70" i="7"/>
  <c r="AC66" i="4"/>
  <c r="S74" i="4"/>
  <c r="AC74" i="4"/>
  <c r="AE74" i="4"/>
  <c r="P152" i="4"/>
  <c r="C150" i="7"/>
  <c r="AP144" i="7"/>
  <c r="AQ130" i="7"/>
  <c r="AY12" i="7"/>
  <c r="L130" i="7"/>
  <c r="AA130" i="7"/>
  <c r="S149" i="7"/>
  <c r="AC151" i="4"/>
  <c r="N151" i="4"/>
  <c r="M64" i="7"/>
  <c r="S64" i="7"/>
  <c r="Z74" i="4"/>
  <c r="L150" i="7"/>
  <c r="AQ150" i="7"/>
  <c r="P146" i="4"/>
  <c r="C130" i="7"/>
  <c r="M130" i="7"/>
  <c r="T130" i="7"/>
  <c r="S130" i="7"/>
  <c r="AR130" i="7"/>
  <c r="U132" i="4"/>
  <c r="X147" i="4"/>
  <c r="AY31" i="7"/>
  <c r="AQ149" i="7"/>
  <c r="C149" i="7"/>
  <c r="A10" i="8"/>
  <c r="K130" i="7"/>
  <c r="AR56" i="7"/>
  <c r="M56" i="7"/>
  <c r="P58" i="4"/>
  <c r="AA56" i="7"/>
  <c r="AP64" i="7"/>
  <c r="Z66" i="4"/>
  <c r="C64" i="7"/>
  <c r="P162" i="4"/>
  <c r="S162" i="4"/>
  <c r="AE88" i="7"/>
  <c r="AE144" i="4"/>
  <c r="AC90" i="4"/>
  <c r="AE144" i="7"/>
  <c r="P178" i="4"/>
  <c r="K176" i="7"/>
  <c r="N9" i="4"/>
  <c r="S144" i="4"/>
  <c r="AC70" i="4"/>
  <c r="AR68" i="7"/>
  <c r="L100" i="7"/>
  <c r="M100" i="7"/>
  <c r="AQ106" i="7"/>
  <c r="N108" i="4"/>
  <c r="AE108" i="4"/>
  <c r="K106" i="7"/>
  <c r="AC108" i="4"/>
  <c r="B106" i="7"/>
  <c r="AA106" i="7"/>
  <c r="D106" i="7"/>
  <c r="L106" i="7"/>
  <c r="C106" i="7"/>
  <c r="X108" i="4"/>
  <c r="Z108" i="4"/>
  <c r="AP106" i="7"/>
  <c r="P108" i="4"/>
  <c r="M106" i="7"/>
  <c r="AE106" i="7"/>
  <c r="S139" i="7"/>
  <c r="S141" i="4"/>
  <c r="T139" i="7"/>
  <c r="P141" i="4"/>
  <c r="AP139" i="7"/>
  <c r="C139" i="7"/>
  <c r="AY21" i="7"/>
  <c r="Z141" i="4"/>
  <c r="AE141" i="4"/>
  <c r="D139" i="7"/>
  <c r="U141" i="4"/>
  <c r="AQ139" i="7"/>
  <c r="AA139" i="7"/>
  <c r="AR139" i="7"/>
  <c r="X141" i="4"/>
  <c r="U139" i="7"/>
  <c r="AC141" i="4"/>
  <c r="N141" i="4"/>
  <c r="AE139" i="7"/>
  <c r="K139" i="7"/>
  <c r="B133" i="7"/>
  <c r="L133" i="7"/>
  <c r="AP133" i="7"/>
  <c r="AR133" i="7"/>
  <c r="D133" i="7"/>
  <c r="K133" i="7"/>
  <c r="N24" i="4"/>
  <c r="U24" i="4"/>
  <c r="AE24" i="4"/>
  <c r="C22" i="7"/>
  <c r="AQ170" i="7"/>
  <c r="B170" i="7"/>
  <c r="D134" i="7"/>
  <c r="AE26" i="4"/>
  <c r="K24" i="7"/>
  <c r="C19" i="7"/>
  <c r="S19" i="7"/>
  <c r="C9" i="8"/>
  <c r="S32" i="7"/>
  <c r="C8" i="8"/>
  <c r="D50" i="7"/>
  <c r="Z135" i="4"/>
  <c r="C133" i="7"/>
  <c r="S135" i="4"/>
  <c r="Z172" i="4"/>
  <c r="P24" i="4"/>
  <c r="S22" i="7"/>
  <c r="AE22" i="7"/>
  <c r="AC24" i="4"/>
  <c r="L68" i="7"/>
  <c r="C68" i="7"/>
  <c r="N70" i="4"/>
  <c r="D68" i="7"/>
  <c r="AE70" i="4"/>
  <c r="U19" i="7"/>
  <c r="S66" i="7"/>
  <c r="U68" i="4"/>
  <c r="AE68" i="4"/>
  <c r="P68" i="4"/>
  <c r="AE66" i="7"/>
  <c r="D66" i="7"/>
  <c r="AA66" i="7"/>
  <c r="N68" i="4"/>
  <c r="AP66" i="7"/>
  <c r="B66" i="7"/>
  <c r="C66" i="7"/>
  <c r="Z68" i="4"/>
  <c r="S68" i="4"/>
  <c r="AC68" i="4"/>
  <c r="AR66" i="7"/>
  <c r="U66" i="7"/>
  <c r="X68" i="4"/>
  <c r="AQ66" i="7"/>
  <c r="T66" i="7"/>
  <c r="U116" i="4"/>
  <c r="AP114" i="7"/>
  <c r="U114" i="7"/>
  <c r="L114" i="7"/>
  <c r="K114" i="7"/>
  <c r="AE114" i="7"/>
  <c r="N116" i="4"/>
  <c r="P116" i="4"/>
  <c r="B114" i="7"/>
  <c r="T114" i="7"/>
  <c r="S116" i="4"/>
  <c r="AC116" i="4"/>
  <c r="C114" i="7"/>
  <c r="AE116" i="4"/>
  <c r="D114" i="7"/>
  <c r="AA114" i="7"/>
  <c r="M114" i="7"/>
  <c r="AR114" i="7"/>
  <c r="S114" i="7"/>
  <c r="Z116" i="4"/>
  <c r="X116" i="4"/>
  <c r="AQ114" i="7"/>
  <c r="U160" i="4"/>
  <c r="N160" i="4"/>
  <c r="B156" i="7"/>
  <c r="C156" i="7"/>
  <c r="AE156" i="7"/>
  <c r="M156" i="7"/>
  <c r="L156" i="7"/>
  <c r="U158" i="4"/>
  <c r="K156" i="7"/>
  <c r="P190" i="4"/>
  <c r="B188" i="7"/>
  <c r="S188" i="7"/>
  <c r="C11" i="7"/>
  <c r="AP11" i="7"/>
  <c r="U11" i="7"/>
  <c r="AE13" i="4"/>
  <c r="AR11" i="7"/>
  <c r="S11" i="7"/>
  <c r="N13" i="4"/>
  <c r="K11" i="7"/>
  <c r="B11" i="7"/>
  <c r="U13" i="4"/>
  <c r="AA11" i="7"/>
  <c r="L11" i="7"/>
  <c r="M11" i="7"/>
  <c r="AY52" i="7"/>
  <c r="AE172" i="4"/>
  <c r="AQ162" i="7"/>
  <c r="P164" i="4"/>
  <c r="AR162" i="7"/>
  <c r="S24" i="7"/>
  <c r="C24" i="7"/>
  <c r="P26" i="4"/>
  <c r="T19" i="7"/>
  <c r="AC21" i="4"/>
  <c r="Z21" i="4"/>
  <c r="A13" i="8"/>
  <c r="AE32" i="7"/>
  <c r="T32" i="7"/>
  <c r="B32" i="7"/>
  <c r="X34" i="4"/>
  <c r="S34" i="4"/>
  <c r="U135" i="4"/>
  <c r="AQ133" i="7"/>
  <c r="A11" i="8"/>
  <c r="AE170" i="7"/>
  <c r="P172" i="4"/>
  <c r="U172" i="4"/>
  <c r="C170" i="7"/>
  <c r="M120" i="7"/>
  <c r="T162" i="7"/>
  <c r="U164" i="4"/>
  <c r="U121" i="7"/>
  <c r="AE123" i="4"/>
  <c r="AP121" i="7"/>
  <c r="P127" i="4"/>
  <c r="D138" i="7"/>
  <c r="U138" i="7"/>
  <c r="S145" i="7"/>
  <c r="T157" i="7"/>
  <c r="N159" i="4"/>
  <c r="AR24" i="7"/>
  <c r="AQ24" i="7"/>
  <c r="AA24" i="7"/>
  <c r="AP24" i="7"/>
  <c r="X26" i="4"/>
  <c r="X21" i="4"/>
  <c r="K19" i="7"/>
  <c r="D19" i="7"/>
  <c r="AR19" i="7"/>
  <c r="L19" i="7"/>
  <c r="AA121" i="7"/>
  <c r="A7" i="8"/>
  <c r="P34" i="4"/>
  <c r="AA32" i="7"/>
  <c r="AP32" i="7"/>
  <c r="Z34" i="4"/>
  <c r="M133" i="7"/>
  <c r="X135" i="4"/>
  <c r="S160" i="7"/>
  <c r="AE162" i="4"/>
  <c r="K160" i="7"/>
  <c r="AA170" i="7"/>
  <c r="B139" i="7"/>
  <c r="AA133" i="7"/>
  <c r="AY15" i="7"/>
  <c r="U133" i="7"/>
  <c r="AY38" i="7"/>
  <c r="Z158" i="4"/>
  <c r="AR156" i="7"/>
  <c r="C188" i="7"/>
  <c r="Z24" i="4"/>
  <c r="S24" i="4"/>
  <c r="AQ22" i="7"/>
  <c r="P13" i="4"/>
  <c r="Z13" i="4"/>
  <c r="AQ11" i="7"/>
  <c r="S70" i="4"/>
  <c r="AQ68" i="7"/>
  <c r="AE68" i="7"/>
  <c r="S68" i="7"/>
  <c r="B68" i="7"/>
  <c r="AA68" i="7"/>
  <c r="U100" i="7"/>
  <c r="U102" i="4"/>
  <c r="P102" i="4"/>
  <c r="AE102" i="4"/>
  <c r="AP100" i="7"/>
  <c r="S36" i="4"/>
  <c r="Z36" i="4"/>
  <c r="C34" i="7"/>
  <c r="AR34" i="7"/>
  <c r="X36" i="4"/>
  <c r="L34" i="7"/>
  <c r="AP34" i="7"/>
  <c r="P36" i="4"/>
  <c r="S34" i="7"/>
  <c r="U36" i="4"/>
  <c r="T34" i="7"/>
  <c r="N36" i="4"/>
  <c r="AC36" i="4"/>
  <c r="AE34" i="7"/>
  <c r="K34" i="7"/>
  <c r="U34" i="7"/>
  <c r="AE90" i="7"/>
  <c r="AA90" i="7"/>
  <c r="AC92" i="4"/>
  <c r="B90" i="7"/>
  <c r="X92" i="4"/>
  <c r="C90" i="7"/>
  <c r="N92" i="4"/>
  <c r="D90" i="7"/>
  <c r="U90" i="7"/>
  <c r="M90" i="7"/>
  <c r="K90" i="7"/>
  <c r="Z92" i="4"/>
  <c r="S92" i="4"/>
  <c r="AQ90" i="7"/>
  <c r="T90" i="7"/>
  <c r="S90" i="7"/>
  <c r="AR90" i="7"/>
  <c r="L90" i="7"/>
  <c r="AE92" i="4"/>
  <c r="P92" i="4"/>
  <c r="D131" i="7"/>
  <c r="B131" i="7"/>
  <c r="AA131" i="7"/>
  <c r="AE131" i="7"/>
  <c r="AR131" i="7"/>
  <c r="U133" i="4"/>
  <c r="AQ131" i="7"/>
  <c r="S133" i="4"/>
  <c r="C131" i="7"/>
  <c r="S131" i="7"/>
  <c r="AP131" i="7"/>
  <c r="T131" i="7"/>
  <c r="AY13" i="7"/>
  <c r="X133" i="4"/>
  <c r="AC133" i="4"/>
  <c r="AE133" i="4"/>
  <c r="P133" i="4"/>
  <c r="Z133" i="4"/>
  <c r="U131" i="7"/>
  <c r="N133" i="4"/>
  <c r="S203" i="4"/>
  <c r="N203" i="4"/>
  <c r="M201" i="7"/>
  <c r="AQ201" i="7"/>
  <c r="AC203" i="4"/>
  <c r="L201" i="7"/>
  <c r="X203" i="4"/>
  <c r="AY83" i="7"/>
  <c r="Z126" i="4"/>
  <c r="S124" i="7"/>
  <c r="AR124" i="7"/>
  <c r="AY46" i="7"/>
  <c r="M164" i="7"/>
  <c r="P166" i="4"/>
  <c r="N166" i="4"/>
  <c r="T164" i="7"/>
  <c r="M196" i="7"/>
  <c r="S198" i="4"/>
  <c r="AP196" i="7"/>
  <c r="AY78" i="7"/>
  <c r="K196" i="7"/>
  <c r="D196" i="7"/>
  <c r="Z198" i="4"/>
  <c r="L196" i="7"/>
  <c r="C196" i="7"/>
  <c r="AE198" i="4"/>
  <c r="T196" i="7"/>
  <c r="S196" i="7"/>
  <c r="U196" i="7"/>
  <c r="U198" i="4"/>
  <c r="AQ196" i="7"/>
  <c r="X198" i="4"/>
  <c r="AC198" i="4"/>
  <c r="AA196" i="7"/>
  <c r="AR196" i="7"/>
  <c r="N198" i="4"/>
  <c r="B196" i="7"/>
  <c r="P198" i="4"/>
  <c r="AE196" i="7"/>
  <c r="AE15" i="7"/>
  <c r="S17" i="4"/>
  <c r="T15" i="7"/>
  <c r="AE17" i="4"/>
  <c r="AQ50" i="7"/>
  <c r="L50" i="7"/>
  <c r="T50" i="7"/>
  <c r="C50" i="7"/>
  <c r="Z52" i="4"/>
  <c r="U52" i="4"/>
  <c r="AE52" i="4"/>
  <c r="B50" i="7"/>
  <c r="M50" i="7"/>
  <c r="K50" i="7"/>
  <c r="AP50" i="7"/>
  <c r="U50" i="7"/>
  <c r="AA50" i="7"/>
  <c r="AC52" i="4"/>
  <c r="N52" i="4"/>
  <c r="P52" i="4"/>
  <c r="S52" i="4"/>
  <c r="AE50" i="7"/>
  <c r="C98" i="7"/>
  <c r="Z100" i="4"/>
  <c r="S98" i="7"/>
  <c r="N100" i="4"/>
  <c r="L98" i="7"/>
  <c r="AE100" i="4"/>
  <c r="S100" i="4"/>
  <c r="T98" i="7"/>
  <c r="AQ98" i="7"/>
  <c r="AC100" i="4"/>
  <c r="K98" i="7"/>
  <c r="X100" i="4"/>
  <c r="AA98" i="7"/>
  <c r="D98" i="7"/>
  <c r="B98" i="7"/>
  <c r="U100" i="4"/>
  <c r="AE98" i="7"/>
  <c r="AP98" i="7"/>
  <c r="M98" i="7"/>
  <c r="P100" i="4"/>
  <c r="U98" i="7"/>
  <c r="AR98" i="7"/>
  <c r="S170" i="7"/>
  <c r="U170" i="7"/>
  <c r="T170" i="7"/>
  <c r="D170" i="7"/>
  <c r="AR170" i="7"/>
  <c r="S172" i="4"/>
  <c r="AP170" i="7"/>
  <c r="B162" i="7"/>
  <c r="AE164" i="4"/>
  <c r="AA125" i="7"/>
  <c r="AQ145" i="7"/>
  <c r="L24" i="7"/>
  <c r="D24" i="7"/>
  <c r="U26" i="4"/>
  <c r="Z26" i="4"/>
  <c r="U24" i="7"/>
  <c r="B19" i="7"/>
  <c r="M19" i="7"/>
  <c r="AA19" i="7"/>
  <c r="AE19" i="7"/>
  <c r="U21" i="4"/>
  <c r="A8" i="8"/>
  <c r="AP120" i="7"/>
  <c r="D32" i="7"/>
  <c r="C32" i="7"/>
  <c r="U34" i="4"/>
  <c r="AE34" i="4"/>
  <c r="AC34" i="4"/>
  <c r="T133" i="7"/>
  <c r="N172" i="4"/>
  <c r="B22" i="7"/>
  <c r="A6" i="8"/>
  <c r="S50" i="7"/>
  <c r="M139" i="7"/>
  <c r="AE135" i="4"/>
  <c r="AE133" i="7"/>
  <c r="S133" i="7"/>
  <c r="P158" i="4"/>
  <c r="D156" i="7"/>
  <c r="T156" i="7"/>
  <c r="U156" i="7"/>
  <c r="AQ188" i="7"/>
  <c r="AR22" i="7"/>
  <c r="D22" i="7"/>
  <c r="T22" i="7"/>
  <c r="T11" i="7"/>
  <c r="AA22" i="7"/>
  <c r="U68" i="7"/>
  <c r="M68" i="7"/>
  <c r="X70" i="4"/>
  <c r="AP68" i="7"/>
  <c r="C100" i="7"/>
  <c r="S100" i="7"/>
  <c r="X102" i="4"/>
  <c r="B100" i="7"/>
  <c r="AR62" i="7"/>
  <c r="U62" i="7"/>
  <c r="N64" i="4"/>
  <c r="X64" i="4"/>
  <c r="AQ62" i="7"/>
  <c r="AE64" i="4"/>
  <c r="B62" i="7"/>
  <c r="U64" i="4"/>
  <c r="P64" i="4"/>
  <c r="T62" i="7"/>
  <c r="AP62" i="7"/>
  <c r="AE62" i="7"/>
  <c r="D62" i="7"/>
  <c r="S62" i="7"/>
  <c r="AA62" i="7"/>
  <c r="C62" i="7"/>
  <c r="Z64" i="4"/>
  <c r="S64" i="4"/>
  <c r="AC64" i="4"/>
  <c r="X104" i="4"/>
  <c r="AA102" i="7"/>
  <c r="D102" i="7"/>
  <c r="Z104" i="4"/>
  <c r="AR102" i="7"/>
  <c r="AQ102" i="7"/>
  <c r="AC104" i="4"/>
  <c r="AP102" i="7"/>
  <c r="AE102" i="7"/>
  <c r="AE104" i="4"/>
  <c r="B102" i="7"/>
  <c r="P104" i="4"/>
  <c r="S104" i="4"/>
  <c r="N104" i="4"/>
  <c r="C102" i="7"/>
  <c r="U104" i="4"/>
  <c r="X152" i="4"/>
  <c r="D150" i="7"/>
  <c r="N152" i="4"/>
  <c r="AE152" i="4"/>
  <c r="AP150" i="7"/>
  <c r="S150" i="7"/>
  <c r="T150" i="7"/>
  <c r="AE150" i="7"/>
  <c r="AA150" i="7"/>
  <c r="AR150" i="7"/>
  <c r="AE90" i="4"/>
  <c r="U88" i="7"/>
  <c r="M88" i="7"/>
  <c r="S90" i="4"/>
  <c r="P90" i="4"/>
  <c r="K88" i="7"/>
  <c r="N90" i="4"/>
  <c r="L88" i="7"/>
  <c r="AA88" i="7"/>
  <c r="B144" i="7"/>
  <c r="U144" i="7"/>
  <c r="AY26" i="7"/>
  <c r="AE146" i="4"/>
  <c r="N146" i="4"/>
  <c r="AC146" i="4"/>
  <c r="Z146" i="4"/>
  <c r="S144" i="7"/>
  <c r="M144" i="7"/>
  <c r="D144" i="7"/>
  <c r="X146" i="4"/>
  <c r="AR144" i="7"/>
  <c r="T144" i="7"/>
  <c r="AE178" i="4"/>
  <c r="U178" i="4"/>
  <c r="AE176" i="7"/>
  <c r="Z178" i="4"/>
  <c r="AA176" i="7"/>
  <c r="AQ7" i="7"/>
  <c r="AR7" i="7"/>
  <c r="AP7" i="7"/>
  <c r="U7" i="7"/>
  <c r="B7" i="7"/>
  <c r="AQ142" i="7"/>
  <c r="D142" i="7"/>
  <c r="B142" i="7"/>
  <c r="X144" i="4"/>
  <c r="AY24" i="7"/>
  <c r="S142" i="7"/>
  <c r="N144" i="4"/>
  <c r="AA142" i="7"/>
  <c r="T28" i="7"/>
  <c r="AE30" i="4"/>
  <c r="S112" i="7"/>
  <c r="Z114" i="4"/>
  <c r="AE112" i="7"/>
  <c r="M134" i="7"/>
  <c r="AP168" i="7"/>
  <c r="T166" i="7"/>
  <c r="S168" i="4"/>
  <c r="AC82" i="4"/>
  <c r="T112" i="7"/>
  <c r="B112" i="7"/>
  <c r="B157" i="7"/>
  <c r="T121" i="7"/>
  <c r="S123" i="4"/>
  <c r="AY3" i="7"/>
  <c r="AR121" i="7"/>
  <c r="U136" i="4"/>
  <c r="S138" i="7"/>
  <c r="M138" i="7"/>
  <c r="N140" i="4"/>
  <c r="AR138" i="7"/>
  <c r="Z155" i="4"/>
  <c r="AQ157" i="7"/>
  <c r="U157" i="7"/>
  <c r="C157" i="7"/>
  <c r="S157" i="7"/>
  <c r="M166" i="7"/>
  <c r="S166" i="7"/>
  <c r="K28" i="7"/>
  <c r="C6" i="8"/>
  <c r="U28" i="7"/>
  <c r="AQ28" i="7"/>
  <c r="AC30" i="4"/>
  <c r="U30" i="4"/>
  <c r="T44" i="7"/>
  <c r="K44" i="7"/>
  <c r="C44" i="7"/>
  <c r="AE46" i="4"/>
  <c r="N46" i="4"/>
  <c r="S48" i="7"/>
  <c r="M48" i="7"/>
  <c r="K48" i="7"/>
  <c r="X50" i="4"/>
  <c r="AQ48" i="7"/>
  <c r="P30" i="4"/>
  <c r="AR28" i="7"/>
  <c r="S180" i="7"/>
  <c r="Z182" i="4"/>
  <c r="X182" i="4"/>
  <c r="U172" i="7"/>
  <c r="T172" i="7"/>
  <c r="S172" i="7"/>
  <c r="AA52" i="7"/>
  <c r="X174" i="4"/>
  <c r="AR172" i="7"/>
  <c r="AP72" i="7"/>
  <c r="AA72" i="7"/>
  <c r="AE114" i="4"/>
  <c r="N164" i="4"/>
  <c r="D162" i="7"/>
  <c r="AE162" i="7"/>
  <c r="D121" i="7"/>
  <c r="P123" i="4"/>
  <c r="AQ121" i="7"/>
  <c r="L121" i="7"/>
  <c r="Z127" i="4"/>
  <c r="S136" i="4"/>
  <c r="AA138" i="7"/>
  <c r="C138" i="7"/>
  <c r="X140" i="4"/>
  <c r="K138" i="7"/>
  <c r="K145" i="7"/>
  <c r="AC155" i="4"/>
  <c r="S159" i="4"/>
  <c r="P159" i="4"/>
  <c r="Z159" i="4"/>
  <c r="C7" i="8"/>
  <c r="D180" i="7"/>
  <c r="U180" i="7"/>
  <c r="B180" i="7"/>
  <c r="AE166" i="7"/>
  <c r="X168" i="4"/>
  <c r="AE42" i="4"/>
  <c r="U143" i="4"/>
  <c r="AP28" i="7"/>
  <c r="AQ36" i="7"/>
  <c r="C28" i="7"/>
  <c r="AQ141" i="7"/>
  <c r="S141" i="7"/>
  <c r="AE141" i="7"/>
  <c r="C141" i="7"/>
  <c r="B40" i="7"/>
  <c r="B28" i="7"/>
  <c r="AE28" i="7"/>
  <c r="AP36" i="7"/>
  <c r="D36" i="7"/>
  <c r="S38" i="4"/>
  <c r="N38" i="4"/>
  <c r="M40" i="7"/>
  <c r="AR40" i="7"/>
  <c r="U40" i="7"/>
  <c r="D40" i="7"/>
  <c r="Z46" i="4"/>
  <c r="AE44" i="7"/>
  <c r="M44" i="7"/>
  <c r="AR44" i="7"/>
  <c r="U46" i="4"/>
  <c r="AE50" i="4"/>
  <c r="N50" i="4"/>
  <c r="C48" i="7"/>
  <c r="P50" i="4"/>
  <c r="U50" i="4"/>
  <c r="Z54" i="4"/>
  <c r="AE52" i="7"/>
  <c r="S52" i="7"/>
  <c r="T52" i="7"/>
  <c r="X54" i="4"/>
  <c r="S60" i="7"/>
  <c r="AA60" i="7"/>
  <c r="D60" i="7"/>
  <c r="T60" i="7"/>
  <c r="AC62" i="4"/>
  <c r="U160" i="7"/>
  <c r="AA160" i="7"/>
  <c r="N162" i="4"/>
  <c r="AY54" i="7"/>
  <c r="AR180" i="7"/>
  <c r="AE180" i="7"/>
  <c r="U182" i="4"/>
  <c r="Z30" i="4"/>
  <c r="N30" i="4"/>
  <c r="AA28" i="7"/>
  <c r="S28" i="7"/>
  <c r="L44" i="7"/>
  <c r="AQ44" i="7"/>
  <c r="AA44" i="7"/>
  <c r="U44" i="7"/>
  <c r="AC46" i="4"/>
  <c r="AC50" i="4"/>
  <c r="Z50" i="4"/>
  <c r="T48" i="7"/>
  <c r="D48" i="7"/>
  <c r="U48" i="7"/>
  <c r="S50" i="4"/>
  <c r="B172" i="7"/>
  <c r="K180" i="7"/>
  <c r="N182" i="4"/>
  <c r="M160" i="7"/>
  <c r="AR160" i="7"/>
  <c r="AP160" i="7"/>
  <c r="B160" i="7"/>
  <c r="Z162" i="4"/>
  <c r="T160" i="7"/>
  <c r="C160" i="7"/>
  <c r="AQ76" i="7"/>
  <c r="AC78" i="4"/>
  <c r="X78" i="4"/>
  <c r="L76" i="7"/>
  <c r="AE76" i="7"/>
  <c r="N78" i="4"/>
  <c r="Z78" i="4"/>
  <c r="M76" i="7"/>
  <c r="B76" i="7"/>
  <c r="K76" i="7"/>
  <c r="S76" i="7"/>
  <c r="AA76" i="7"/>
  <c r="C76" i="7"/>
  <c r="U76" i="7"/>
  <c r="S78" i="4"/>
  <c r="P78" i="4"/>
  <c r="D76" i="7"/>
  <c r="AE78" i="4"/>
  <c r="AP76" i="7"/>
  <c r="T76" i="7"/>
  <c r="AR76" i="7"/>
  <c r="U78" i="4"/>
  <c r="U94" i="4"/>
  <c r="D92" i="7"/>
  <c r="N94" i="4"/>
  <c r="AE94" i="4"/>
  <c r="X94" i="4"/>
  <c r="AP92" i="7"/>
  <c r="AQ92" i="7"/>
  <c r="L92" i="7"/>
  <c r="S92" i="7"/>
  <c r="K92" i="7"/>
  <c r="M92" i="7"/>
  <c r="T92" i="7"/>
  <c r="U92" i="7"/>
  <c r="T108" i="7"/>
  <c r="X110" i="4"/>
  <c r="B108" i="7"/>
  <c r="AR108" i="7"/>
  <c r="S110" i="4"/>
  <c r="N110" i="4"/>
  <c r="P110" i="4"/>
  <c r="U110" i="4"/>
  <c r="Z110" i="4"/>
  <c r="AP108" i="7"/>
  <c r="C108" i="7"/>
  <c r="AE110" i="4"/>
  <c r="M108" i="7"/>
  <c r="AC110" i="4"/>
  <c r="U108" i="7"/>
  <c r="L108" i="7"/>
  <c r="AA108" i="7"/>
  <c r="S108" i="7"/>
  <c r="AQ108" i="7"/>
  <c r="C11" i="8"/>
  <c r="K108" i="7"/>
  <c r="AR92" i="7"/>
  <c r="B92" i="7"/>
  <c r="D108" i="7"/>
  <c r="AQ120" i="7"/>
  <c r="C120" i="7"/>
  <c r="Z122" i="4"/>
  <c r="S122" i="4"/>
  <c r="Z123" i="4"/>
  <c r="U123" i="4"/>
  <c r="AC123" i="4"/>
  <c r="AE121" i="7"/>
  <c r="AY7" i="7"/>
  <c r="K125" i="7"/>
  <c r="S127" i="4"/>
  <c r="S125" i="7"/>
  <c r="AR125" i="7"/>
  <c r="T125" i="7"/>
  <c r="AA134" i="7"/>
  <c r="S140" i="4"/>
  <c r="T138" i="7"/>
  <c r="AE140" i="4"/>
  <c r="AY20" i="7"/>
  <c r="B138" i="7"/>
  <c r="U145" i="7"/>
  <c r="AC147" i="4"/>
  <c r="AE145" i="7"/>
  <c r="U147" i="4"/>
  <c r="P147" i="4"/>
  <c r="AA153" i="7"/>
  <c r="D157" i="7"/>
  <c r="X159" i="4"/>
  <c r="U122" i="4"/>
  <c r="AR168" i="7"/>
  <c r="AE168" i="7"/>
  <c r="B168" i="7"/>
  <c r="U170" i="4"/>
  <c r="C168" i="7"/>
  <c r="P170" i="4"/>
  <c r="M168" i="7"/>
  <c r="S168" i="7"/>
  <c r="AC170" i="4"/>
  <c r="U168" i="7"/>
  <c r="AE170" i="4"/>
  <c r="N170" i="4"/>
  <c r="AA168" i="7"/>
  <c r="K168" i="7"/>
  <c r="Z170" i="4"/>
  <c r="AY50" i="7"/>
  <c r="D168" i="7"/>
  <c r="X170" i="4"/>
  <c r="S170" i="4"/>
  <c r="AQ168" i="7"/>
  <c r="AE82" i="4"/>
  <c r="AR80" i="7"/>
  <c r="U80" i="7"/>
  <c r="U82" i="4"/>
  <c r="S82" i="4"/>
  <c r="AA80" i="7"/>
  <c r="AQ80" i="7"/>
  <c r="N82" i="4"/>
  <c r="K80" i="7"/>
  <c r="AE80" i="7"/>
  <c r="T80" i="7"/>
  <c r="B80" i="7"/>
  <c r="D80" i="7"/>
  <c r="P82" i="4"/>
  <c r="X82" i="4"/>
  <c r="M80" i="7"/>
  <c r="L80" i="7"/>
  <c r="Z82" i="4"/>
  <c r="S80" i="7"/>
  <c r="AP96" i="7"/>
  <c r="B96" i="7"/>
  <c r="Z98" i="4"/>
  <c r="AA96" i="7"/>
  <c r="L96" i="7"/>
  <c r="AR96" i="7"/>
  <c r="S98" i="4"/>
  <c r="AQ96" i="7"/>
  <c r="U98" i="4"/>
  <c r="C96" i="7"/>
  <c r="K96" i="7"/>
  <c r="AC98" i="4"/>
  <c r="D96" i="7"/>
  <c r="P98" i="4"/>
  <c r="N98" i="4"/>
  <c r="X98" i="4"/>
  <c r="AE98" i="4"/>
  <c r="AE96" i="7"/>
  <c r="M96" i="7"/>
  <c r="AR112" i="7"/>
  <c r="X114" i="4"/>
  <c r="C112" i="7"/>
  <c r="AP112" i="7"/>
  <c r="N114" i="4"/>
  <c r="AQ112" i="7"/>
  <c r="U114" i="4"/>
  <c r="D112" i="7"/>
  <c r="AA112" i="7"/>
  <c r="AR166" i="7"/>
  <c r="AY48" i="7"/>
  <c r="K166" i="7"/>
  <c r="B166" i="7"/>
  <c r="D166" i="7"/>
  <c r="N168" i="4"/>
  <c r="AC168" i="4"/>
  <c r="AE168" i="4"/>
  <c r="P168" i="4"/>
  <c r="U166" i="7"/>
  <c r="AQ166" i="7"/>
  <c r="L166" i="7"/>
  <c r="Z168" i="4"/>
  <c r="S94" i="4"/>
  <c r="AA92" i="7"/>
  <c r="S120" i="7"/>
  <c r="T120" i="7"/>
  <c r="K120" i="7"/>
  <c r="N122" i="4"/>
  <c r="AE127" i="4"/>
  <c r="U127" i="4"/>
  <c r="AP125" i="7"/>
  <c r="AC127" i="4"/>
  <c r="N127" i="4"/>
  <c r="B125" i="7"/>
  <c r="B145" i="7"/>
  <c r="N147" i="4"/>
  <c r="M145" i="7"/>
  <c r="AE147" i="4"/>
  <c r="L145" i="7"/>
  <c r="AC164" i="4"/>
  <c r="S162" i="7"/>
  <c r="AY44" i="7"/>
  <c r="AP162" i="7"/>
  <c r="U162" i="7"/>
  <c r="C162" i="7"/>
  <c r="C81" i="7"/>
  <c r="K81" i="7"/>
  <c r="AC83" i="4"/>
  <c r="M81" i="7"/>
  <c r="AR81" i="7"/>
  <c r="B81" i="7"/>
  <c r="S83" i="4"/>
  <c r="L81" i="7"/>
  <c r="AE81" i="7"/>
  <c r="AA81" i="7"/>
  <c r="U83" i="4"/>
  <c r="X83" i="4"/>
  <c r="AP81" i="7"/>
  <c r="D81" i="7"/>
  <c r="AQ81" i="7"/>
  <c r="U81" i="7"/>
  <c r="N83" i="4"/>
  <c r="AE83" i="4"/>
  <c r="P83" i="4"/>
  <c r="S81" i="7"/>
  <c r="Z83" i="4"/>
  <c r="T81" i="7"/>
  <c r="U106" i="4"/>
  <c r="C104" i="7"/>
  <c r="B104" i="7"/>
  <c r="AR104" i="7"/>
  <c r="T104" i="7"/>
  <c r="U104" i="7"/>
  <c r="L104" i="7"/>
  <c r="K104" i="7"/>
  <c r="Z106" i="4"/>
  <c r="AP104" i="7"/>
  <c r="AQ104" i="7"/>
  <c r="S106" i="4"/>
  <c r="AA104" i="7"/>
  <c r="N106" i="4"/>
  <c r="P106" i="4"/>
  <c r="M104" i="7"/>
  <c r="D104" i="7"/>
  <c r="AE104" i="7"/>
  <c r="S104" i="7"/>
  <c r="X106" i="4"/>
  <c r="AE106" i="4"/>
  <c r="AC106" i="4"/>
  <c r="D116" i="7"/>
  <c r="T116" i="7"/>
  <c r="AC118" i="4"/>
  <c r="K116" i="7"/>
  <c r="Z118" i="4"/>
  <c r="U118" i="4"/>
  <c r="L116" i="7"/>
  <c r="AA116" i="7"/>
  <c r="X118" i="4"/>
  <c r="S116" i="7"/>
  <c r="B116" i="7"/>
  <c r="N118" i="4"/>
  <c r="AQ116" i="7"/>
  <c r="S118" i="4"/>
  <c r="C116" i="7"/>
  <c r="AR116" i="7"/>
  <c r="AE118" i="4"/>
  <c r="M116" i="7"/>
  <c r="AE116" i="7"/>
  <c r="AP116" i="7"/>
  <c r="P118" i="4"/>
  <c r="U116" i="7"/>
  <c r="AE169" i="7"/>
  <c r="AP169" i="7"/>
  <c r="K169" i="7"/>
  <c r="X171" i="4"/>
  <c r="L169" i="7"/>
  <c r="B169" i="7"/>
  <c r="S169" i="7"/>
  <c r="M169" i="7"/>
  <c r="AR169" i="7"/>
  <c r="Z171" i="4"/>
  <c r="C169" i="7"/>
  <c r="P171" i="4"/>
  <c r="AC171" i="4"/>
  <c r="D169" i="7"/>
  <c r="N171" i="4"/>
  <c r="AE171" i="4"/>
  <c r="AQ169" i="7"/>
  <c r="AY51" i="7"/>
  <c r="T169" i="7"/>
  <c r="AA169" i="7"/>
  <c r="U169" i="7"/>
  <c r="U171" i="4"/>
  <c r="S171" i="4"/>
  <c r="D120" i="7"/>
  <c r="X122" i="4"/>
  <c r="L120" i="7"/>
  <c r="AE120" i="7"/>
  <c r="Z94" i="4"/>
  <c r="C92" i="7"/>
  <c r="P94" i="4"/>
  <c r="AC122" i="4"/>
  <c r="AA120" i="7"/>
  <c r="AR120" i="7"/>
  <c r="C145" i="7"/>
  <c r="M125" i="7"/>
  <c r="D125" i="7"/>
  <c r="U125" i="7"/>
  <c r="AE125" i="7"/>
  <c r="AQ125" i="7"/>
  <c r="AA145" i="7"/>
  <c r="Z147" i="4"/>
  <c r="S147" i="4"/>
  <c r="T145" i="7"/>
  <c r="AR145" i="7"/>
  <c r="AP145" i="7"/>
  <c r="AE72" i="7"/>
  <c r="AR72" i="7"/>
  <c r="P74" i="4"/>
  <c r="AQ72" i="7"/>
  <c r="AA84" i="7"/>
  <c r="X86" i="4"/>
  <c r="AE84" i="7"/>
  <c r="C84" i="7"/>
  <c r="AC86" i="4"/>
  <c r="AQ84" i="7"/>
  <c r="U86" i="4"/>
  <c r="S86" i="4"/>
  <c r="L84" i="7"/>
  <c r="B84" i="7"/>
  <c r="M84" i="7"/>
  <c r="Z86" i="4"/>
  <c r="N86" i="4"/>
  <c r="P86" i="4"/>
  <c r="AE86" i="4"/>
  <c r="K84" i="7"/>
  <c r="AR84" i="7"/>
  <c r="D84" i="7"/>
  <c r="AP84" i="7"/>
  <c r="S84" i="7"/>
  <c r="U84" i="7"/>
  <c r="T84" i="7"/>
  <c r="S105" i="7"/>
  <c r="X107" i="4"/>
  <c r="B105" i="7"/>
  <c r="N107" i="4"/>
  <c r="AE107" i="4"/>
  <c r="AE105" i="7"/>
  <c r="K105" i="7"/>
  <c r="AP105" i="7"/>
  <c r="P107" i="4"/>
  <c r="U105" i="7"/>
  <c r="S107" i="4"/>
  <c r="D105" i="7"/>
  <c r="Z107" i="4"/>
  <c r="AQ105" i="7"/>
  <c r="U107" i="4"/>
  <c r="AA105" i="7"/>
  <c r="T105" i="7"/>
  <c r="AR105" i="7"/>
  <c r="M105" i="7"/>
  <c r="L105" i="7"/>
  <c r="AC107" i="4"/>
  <c r="C105" i="7"/>
  <c r="U119" i="4"/>
  <c r="C117" i="7"/>
  <c r="D117" i="7"/>
  <c r="S119" i="4"/>
  <c r="Z119" i="4"/>
  <c r="N119" i="4"/>
  <c r="K117" i="7"/>
  <c r="B117" i="7"/>
  <c r="AE117" i="7"/>
  <c r="AE119" i="4"/>
  <c r="AQ117" i="7"/>
  <c r="AP117" i="7"/>
  <c r="AC119" i="4"/>
  <c r="AR117" i="7"/>
  <c r="P119" i="4"/>
  <c r="S117" i="7"/>
  <c r="U117" i="7"/>
  <c r="X119" i="4"/>
  <c r="AA117" i="7"/>
  <c r="T117" i="7"/>
  <c r="C10" i="8"/>
  <c r="S6" i="7"/>
  <c r="C6" i="7"/>
  <c r="AR6" i="7"/>
  <c r="U6" i="7"/>
  <c r="S8" i="4"/>
  <c r="AQ6" i="7"/>
  <c r="U8" i="4"/>
  <c r="L6" i="7"/>
  <c r="AE8" i="4"/>
  <c r="Z8" i="4"/>
  <c r="K6" i="7"/>
  <c r="N8" i="4"/>
  <c r="AE6" i="7"/>
  <c r="T6" i="7"/>
  <c r="X8" i="4"/>
  <c r="M6" i="7"/>
  <c r="D6" i="7"/>
  <c r="P8" i="4"/>
  <c r="B6" i="7"/>
  <c r="AA6" i="7"/>
  <c r="AP6" i="7"/>
  <c r="AC8" i="4"/>
  <c r="AP153" i="7"/>
  <c r="L153" i="7"/>
  <c r="AE153" i="7"/>
  <c r="S153" i="7"/>
  <c r="U155" i="4"/>
  <c r="C153" i="7"/>
  <c r="L134" i="7"/>
  <c r="Z136" i="4"/>
  <c r="B134" i="7"/>
  <c r="AC136" i="4"/>
  <c r="U153" i="7"/>
  <c r="C14" i="8"/>
  <c r="AE155" i="4"/>
  <c r="P155" i="4"/>
  <c r="S155" i="4"/>
  <c r="S131" i="4"/>
  <c r="P131" i="4"/>
  <c r="X131" i="4"/>
  <c r="L129" i="7"/>
  <c r="AC131" i="4"/>
  <c r="D129" i="7"/>
  <c r="AE131" i="4"/>
  <c r="U129" i="7"/>
  <c r="M129" i="7"/>
  <c r="K129" i="7"/>
  <c r="N131" i="4"/>
  <c r="AE129" i="7"/>
  <c r="AA129" i="7"/>
  <c r="AY11" i="7"/>
  <c r="U131" i="4"/>
  <c r="T129" i="7"/>
  <c r="AR129" i="7"/>
  <c r="S129" i="7"/>
  <c r="B129" i="7"/>
  <c r="AP129" i="7"/>
  <c r="AQ129" i="7"/>
  <c r="Z131" i="4"/>
  <c r="C129" i="7"/>
  <c r="U183" i="7"/>
  <c r="T183" i="7"/>
  <c r="AE183" i="7"/>
  <c r="Z185" i="4"/>
  <c r="M183" i="7"/>
  <c r="B183" i="7"/>
  <c r="L183" i="7"/>
  <c r="AQ183" i="7"/>
  <c r="K183" i="7"/>
  <c r="AY65" i="7"/>
  <c r="D183" i="7"/>
  <c r="AP183" i="7"/>
  <c r="P185" i="4"/>
  <c r="S183" i="7"/>
  <c r="U185" i="4"/>
  <c r="S185" i="4"/>
  <c r="AA183" i="7"/>
  <c r="X185" i="4"/>
  <c r="N185" i="4"/>
  <c r="C183" i="7"/>
  <c r="AE185" i="4"/>
  <c r="AC185" i="4"/>
  <c r="AR183" i="7"/>
  <c r="G12" i="5"/>
  <c r="U140" i="4"/>
  <c r="C13" i="8"/>
  <c r="AE157" i="7"/>
  <c r="AC159" i="4"/>
  <c r="C12" i="8"/>
  <c r="C134" i="7"/>
  <c r="AQ134" i="7"/>
  <c r="AP134" i="7"/>
  <c r="AY16" i="7"/>
  <c r="P136" i="4"/>
  <c r="N136" i="4"/>
  <c r="AE134" i="7"/>
  <c r="AQ153" i="7"/>
  <c r="D153" i="7"/>
  <c r="B153" i="7"/>
  <c r="M153" i="7"/>
  <c r="T30" i="7"/>
  <c r="AQ30" i="7"/>
  <c r="Z32" i="4"/>
  <c r="K30" i="7"/>
  <c r="S30" i="7"/>
  <c r="AP30" i="7"/>
  <c r="AE30" i="7"/>
  <c r="U30" i="7"/>
  <c r="U32" i="4"/>
  <c r="D30" i="7"/>
  <c r="C30" i="7"/>
  <c r="P32" i="4"/>
  <c r="AC32" i="4"/>
  <c r="N32" i="4"/>
  <c r="AE32" i="4"/>
  <c r="M30" i="7"/>
  <c r="X32" i="4"/>
  <c r="AA30" i="7"/>
  <c r="S32" i="4"/>
  <c r="AR30" i="7"/>
  <c r="B30" i="7"/>
  <c r="L30" i="7"/>
  <c r="AY69" i="7"/>
  <c r="X189" i="4"/>
  <c r="S189" i="4"/>
  <c r="C187" i="7"/>
  <c r="S187" i="7"/>
  <c r="U187" i="7"/>
  <c r="AE189" i="4"/>
  <c r="P189" i="4"/>
  <c r="L187" i="7"/>
  <c r="D187" i="7"/>
  <c r="T187" i="7"/>
  <c r="AC189" i="4"/>
  <c r="K187" i="7"/>
  <c r="AE187" i="7"/>
  <c r="AP187" i="7"/>
  <c r="AR187" i="7"/>
  <c r="B187" i="7"/>
  <c r="N189" i="4"/>
  <c r="M187" i="7"/>
  <c r="AQ187" i="7"/>
  <c r="Z189" i="4"/>
  <c r="U189" i="4"/>
  <c r="X179" i="4"/>
  <c r="N179" i="4"/>
  <c r="AR177" i="7"/>
  <c r="AQ177" i="7"/>
  <c r="AE177" i="7"/>
  <c r="AE179" i="4"/>
  <c r="M177" i="7"/>
  <c r="C177" i="7"/>
  <c r="AY59" i="7"/>
  <c r="S179" i="4"/>
  <c r="AP177" i="7"/>
  <c r="K177" i="7"/>
  <c r="Z179" i="4"/>
  <c r="B177" i="7"/>
  <c r="U179" i="4"/>
  <c r="D177" i="7"/>
  <c r="P179" i="4"/>
  <c r="L177" i="7"/>
  <c r="AA177" i="7"/>
  <c r="AC179" i="4"/>
  <c r="X136" i="4"/>
  <c r="U134" i="7"/>
  <c r="AE136" i="4"/>
  <c r="K134" i="7"/>
  <c r="S134" i="7"/>
  <c r="AR134" i="7"/>
  <c r="N155" i="4"/>
  <c r="AY35" i="7"/>
  <c r="AR153" i="7"/>
  <c r="X155" i="4"/>
  <c r="AQ54" i="7"/>
  <c r="AE54" i="7"/>
  <c r="Z56" i="4"/>
  <c r="B54" i="7"/>
  <c r="C54" i="7"/>
  <c r="U54" i="7"/>
  <c r="M54" i="7"/>
  <c r="T54" i="7"/>
  <c r="AA54" i="7"/>
  <c r="AP54" i="7"/>
  <c r="U56" i="4"/>
  <c r="L54" i="7"/>
  <c r="X56" i="4"/>
  <c r="AE56" i="4"/>
  <c r="S56" i="4"/>
  <c r="AC56" i="4"/>
  <c r="D54" i="7"/>
  <c r="AR54" i="7"/>
  <c r="K54" i="7"/>
  <c r="S54" i="7"/>
  <c r="N56" i="4"/>
  <c r="P56" i="4"/>
  <c r="S199" i="7"/>
  <c r="AQ199" i="7"/>
  <c r="C199" i="7"/>
  <c r="U201" i="4"/>
  <c r="P201" i="4"/>
  <c r="AE201" i="4"/>
  <c r="T199" i="7"/>
  <c r="K199" i="7"/>
  <c r="N201" i="4"/>
  <c r="D199" i="7"/>
  <c r="Z201" i="4"/>
  <c r="X201" i="4"/>
  <c r="AA199" i="7"/>
  <c r="AY81" i="7"/>
  <c r="AR199" i="7"/>
  <c r="B199" i="7"/>
  <c r="U199" i="7"/>
  <c r="S201" i="4"/>
  <c r="AE199" i="7"/>
  <c r="AC201" i="4"/>
  <c r="L199" i="7"/>
  <c r="AP199" i="7"/>
  <c r="M199" i="7"/>
  <c r="M149" i="7"/>
  <c r="U151" i="4"/>
  <c r="D149" i="7"/>
  <c r="K77" i="7" l="1"/>
  <c r="S106" i="7"/>
  <c r="T106" i="7"/>
  <c r="M77" i="7"/>
  <c r="N151" i="7"/>
  <c r="M151" i="7"/>
  <c r="L151" i="7"/>
  <c r="L162" i="7"/>
  <c r="L77" i="7"/>
  <c r="M117" i="7"/>
  <c r="U181" i="7"/>
  <c r="L147" i="7"/>
  <c r="M22" i="7"/>
  <c r="M127" i="7"/>
  <c r="K127" i="7"/>
  <c r="S102" i="7"/>
  <c r="M131" i="7"/>
  <c r="L17" i="7"/>
  <c r="K147" i="7"/>
  <c r="L61" i="7"/>
  <c r="AA187" i="7"/>
  <c r="L52" i="7"/>
  <c r="U142" i="7"/>
  <c r="T102" i="7"/>
  <c r="U102" i="7"/>
  <c r="K131" i="7"/>
  <c r="M147" i="7"/>
  <c r="S122" i="7"/>
  <c r="U122" i="7"/>
  <c r="N146" i="7"/>
  <c r="M97" i="7"/>
  <c r="M182" i="1"/>
  <c r="U182" i="7" s="1"/>
  <c r="T142" i="7"/>
  <c r="AA192" i="7"/>
  <c r="AA197" i="7"/>
  <c r="AA202" i="7"/>
  <c r="T122" i="7"/>
  <c r="M107" i="7"/>
  <c r="M162" i="7"/>
  <c r="K157" i="7"/>
  <c r="L157" i="1"/>
  <c r="AB156" i="7"/>
  <c r="K162" i="7"/>
  <c r="AA156" i="7"/>
  <c r="S176" i="7"/>
  <c r="S181" i="7"/>
  <c r="T181" i="7"/>
  <c r="K17" i="7"/>
  <c r="U71" i="7"/>
  <c r="L152" i="7"/>
  <c r="K142" i="7"/>
  <c r="T176" i="7"/>
  <c r="K66" i="7"/>
  <c r="T182" i="7"/>
  <c r="T147" i="7"/>
  <c r="D14" i="8"/>
  <c r="F14" i="8" s="1"/>
  <c r="D9" i="8"/>
  <c r="F9" i="8" s="1"/>
  <c r="U96" i="7"/>
  <c r="L7" i="7"/>
  <c r="AA137" i="7"/>
  <c r="M152" i="7"/>
  <c r="K152" i="7"/>
  <c r="L171" i="7"/>
  <c r="L107" i="7"/>
  <c r="AA122" i="7"/>
  <c r="K107" i="7"/>
  <c r="L162" i="1"/>
  <c r="AB161" i="7"/>
  <c r="M107" i="1"/>
  <c r="V106" i="7"/>
  <c r="V126" i="7"/>
  <c r="M127" i="1"/>
  <c r="N32" i="1"/>
  <c r="N31" i="7"/>
  <c r="U126" i="7"/>
  <c r="T126" i="7"/>
  <c r="K31" i="7"/>
  <c r="N71" i="7"/>
  <c r="N72" i="1"/>
  <c r="L117" i="7"/>
  <c r="M157" i="7"/>
  <c r="AA172" i="7"/>
  <c r="K7" i="7"/>
  <c r="M7" i="7"/>
  <c r="T152" i="7"/>
  <c r="L157" i="7"/>
  <c r="U152" i="7"/>
  <c r="S152" i="7"/>
  <c r="M12" i="7"/>
  <c r="K12" i="7"/>
  <c r="L31" i="7"/>
  <c r="AA132" i="7"/>
  <c r="L37" i="7"/>
  <c r="M71" i="7"/>
  <c r="K37" i="7"/>
  <c r="L71" i="7"/>
  <c r="L12" i="7"/>
  <c r="N27" i="1"/>
  <c r="N26" i="7"/>
  <c r="L182" i="1"/>
  <c r="AB181" i="7"/>
  <c r="L142" i="7"/>
  <c r="L22" i="7"/>
  <c r="L66" i="7"/>
  <c r="AA181" i="7"/>
  <c r="K26" i="7"/>
  <c r="U147" i="7"/>
  <c r="L97" i="7"/>
  <c r="K97" i="7"/>
  <c r="N172" i="1"/>
  <c r="N171" i="7"/>
  <c r="M171" i="7"/>
  <c r="N132" i="1"/>
  <c r="N131" i="7"/>
  <c r="V96" i="7"/>
  <c r="M97" i="1"/>
  <c r="AB166" i="7"/>
  <c r="L167" i="1"/>
  <c r="N66" i="7"/>
  <c r="N67" i="1"/>
  <c r="S96" i="7"/>
  <c r="M142" i="7"/>
  <c r="M26" i="7"/>
  <c r="K22" i="7"/>
  <c r="S147" i="7"/>
  <c r="N61" i="7"/>
  <c r="N62" i="1"/>
  <c r="M37" i="7"/>
  <c r="N101" i="7"/>
  <c r="N102" i="1"/>
  <c r="N111" i="7"/>
  <c r="N112" i="1"/>
  <c r="V201" i="7"/>
  <c r="M202" i="1"/>
  <c r="M177" i="1"/>
  <c r="V176" i="7"/>
  <c r="V71" i="7"/>
  <c r="M72" i="1"/>
  <c r="K61" i="7"/>
  <c r="D13" i="8"/>
  <c r="F13" i="8" s="1"/>
  <c r="D11" i="8"/>
  <c r="F11" i="8" s="1"/>
  <c r="D12" i="8"/>
  <c r="F12" i="8" s="1"/>
  <c r="D6" i="8"/>
  <c r="F6" i="8" s="1"/>
  <c r="D8" i="8"/>
  <c r="F8" i="8" s="1"/>
  <c r="D10" i="8"/>
  <c r="F10" i="8" s="1"/>
  <c r="D7" i="8"/>
  <c r="F7" i="8" s="1"/>
  <c r="AC206" i="4"/>
  <c r="AF2" i="4" s="1"/>
  <c r="Z206" i="4"/>
  <c r="AA3" i="4" s="1"/>
  <c r="C204" i="7"/>
  <c r="AE204" i="7"/>
  <c r="AI19" i="7" s="1"/>
  <c r="U206" i="4"/>
  <c r="V3" i="4" s="1"/>
  <c r="P206" i="4"/>
  <c r="Q3" i="4" s="1"/>
  <c r="N206" i="4"/>
  <c r="Q2" i="4" s="1"/>
  <c r="D204" i="7"/>
  <c r="AQ204" i="7"/>
  <c r="S206" i="4"/>
  <c r="V2" i="4" s="1"/>
  <c r="AR204" i="7"/>
  <c r="AE206" i="4"/>
  <c r="AF3" i="4" s="1"/>
  <c r="AP204" i="7"/>
  <c r="X206" i="4"/>
  <c r="AA2" i="4" s="1"/>
  <c r="AY86" i="7"/>
  <c r="B204" i="7"/>
  <c r="D15" i="5" l="1"/>
  <c r="D16" i="5"/>
  <c r="D23" i="5"/>
  <c r="D20" i="5"/>
  <c r="F72" i="5"/>
  <c r="D19" i="5"/>
  <c r="D12" i="5"/>
  <c r="D24" i="5"/>
  <c r="D11" i="5"/>
  <c r="BC5" i="7" s="1"/>
  <c r="V182" i="7"/>
  <c r="S182" i="7"/>
  <c r="AB157" i="7"/>
  <c r="AA157" i="7"/>
  <c r="N32" i="7"/>
  <c r="L32" i="7"/>
  <c r="M32" i="7"/>
  <c r="K32" i="7"/>
  <c r="V107" i="7"/>
  <c r="T107" i="7"/>
  <c r="S107" i="7"/>
  <c r="U107" i="7"/>
  <c r="V127" i="7"/>
  <c r="U127" i="7"/>
  <c r="S127" i="7"/>
  <c r="T127" i="7"/>
  <c r="N72" i="7"/>
  <c r="K72" i="7"/>
  <c r="M72" i="7"/>
  <c r="L72" i="7"/>
  <c r="AB162" i="7"/>
  <c r="AA162" i="7"/>
  <c r="V72" i="7"/>
  <c r="T72" i="7"/>
  <c r="S72" i="7"/>
  <c r="U72" i="7"/>
  <c r="V202" i="7"/>
  <c r="S202" i="7"/>
  <c r="T202" i="7"/>
  <c r="U202" i="7"/>
  <c r="N102" i="7"/>
  <c r="M102" i="7"/>
  <c r="K102" i="7"/>
  <c r="L102" i="7"/>
  <c r="N62" i="7"/>
  <c r="M62" i="7"/>
  <c r="L62" i="7"/>
  <c r="K62" i="7"/>
  <c r="AB167" i="7"/>
  <c r="AA167" i="7"/>
  <c r="N172" i="7"/>
  <c r="K172" i="7"/>
  <c r="L172" i="7"/>
  <c r="M172" i="7"/>
  <c r="N27" i="7"/>
  <c r="L27" i="7"/>
  <c r="K27" i="7"/>
  <c r="M27" i="7"/>
  <c r="N112" i="7"/>
  <c r="L112" i="7"/>
  <c r="K112" i="7"/>
  <c r="M112" i="7"/>
  <c r="N132" i="7"/>
  <c r="L132" i="7"/>
  <c r="K132" i="7"/>
  <c r="M132" i="7"/>
  <c r="V177" i="7"/>
  <c r="U177" i="7"/>
  <c r="S177" i="7"/>
  <c r="T177" i="7"/>
  <c r="N67" i="7"/>
  <c r="M67" i="7"/>
  <c r="K67" i="7"/>
  <c r="L67" i="7"/>
  <c r="V97" i="7"/>
  <c r="U97" i="7"/>
  <c r="T97" i="7"/>
  <c r="S97" i="7"/>
  <c r="AB182" i="7"/>
  <c r="AA182" i="7"/>
  <c r="F16" i="8"/>
  <c r="F18" i="8" s="1"/>
  <c r="G6" i="7"/>
  <c r="AU6" i="7"/>
  <c r="G5" i="7"/>
  <c r="AU5" i="7"/>
  <c r="A248" i="5" l="1"/>
  <c r="A245" i="5"/>
  <c r="B246" i="5"/>
  <c r="C247" i="5"/>
  <c r="A244" i="5"/>
  <c r="C248" i="5"/>
  <c r="B244" i="5"/>
  <c r="C245" i="5"/>
  <c r="A247" i="5"/>
  <c r="B243" i="5"/>
  <c r="C246" i="5"/>
  <c r="B248" i="5"/>
  <c r="C244" i="5"/>
  <c r="A246" i="5"/>
  <c r="B247" i="5"/>
  <c r="A243" i="5"/>
  <c r="B245" i="5"/>
  <c r="C243" i="5"/>
  <c r="B218" i="5"/>
  <c r="C242" i="5"/>
  <c r="B242" i="5"/>
  <c r="A242" i="5"/>
  <c r="B217" i="5"/>
  <c r="B216" i="5"/>
  <c r="B215" i="5"/>
  <c r="F83" i="5"/>
  <c r="B61" i="5"/>
  <c r="E23" i="6"/>
  <c r="B56" i="5"/>
  <c r="D97" i="5"/>
  <c r="F56" i="5"/>
  <c r="N204" i="7"/>
  <c r="AB204" i="7"/>
  <c r="V204" i="7"/>
  <c r="L204" i="7"/>
  <c r="M204" i="7"/>
  <c r="U204" i="7"/>
  <c r="S204" i="7"/>
  <c r="AA204" i="7"/>
  <c r="T204" i="7"/>
  <c r="K204" i="7"/>
  <c r="E15" i="6"/>
  <c r="D23" i="6"/>
  <c r="F55" i="5"/>
  <c r="D15" i="6"/>
  <c r="B55" i="5"/>
  <c r="AI15" i="7" l="1"/>
  <c r="AI5" i="7"/>
  <c r="P5" i="7"/>
  <c r="X5" i="7"/>
  <c r="AI10" i="7"/>
  <c r="X6" i="7"/>
  <c r="P6" i="7"/>
  <c r="B90" i="5" l="1"/>
  <c r="F90" i="5"/>
  <c r="B68" i="5"/>
  <c r="C79" i="5" s="1"/>
  <c r="F68" i="5"/>
  <c r="F79" i="5" s="1"/>
  <c r="B72" i="5"/>
  <c r="C83" i="5" s="1"/>
  <c r="D7" i="6"/>
  <c r="D11" i="6"/>
  <c r="B91" i="5"/>
  <c r="E7" i="6"/>
  <c r="E11" i="6"/>
  <c r="F91" i="5"/>
</calcChain>
</file>

<file path=xl/connections.xml><?xml version="1.0" encoding="utf-8"?>
<connections xmlns="http://schemas.openxmlformats.org/spreadsheetml/2006/main">
  <connection id="1" name="CLR 380" type="6" refreshedVersion="0" background="1">
    <textPr prompt="0" sourceFile="CLR 380">
      <textFields>
        <textField/>
      </textFields>
    </textPr>
  </connection>
  <connection id="2" name="illa" type="6" refreshedVersion="2" background="1" saveData="1">
    <textPr sourceFile="C:\Documents and Settings\dcroteau.REVISION\Desktop\illa.txt" tab="0" space="1" comma="1" consecutive="1">
      <textFields count="2">
        <textField/>
        <textField/>
      </textFields>
    </textPr>
  </connection>
  <connection id="3" name="New Text Document" type="6" refreshedVersion="5" background="1" saveData="1">
    <textPr codePage="437" sourceFile="C:\Users\ljohnson\Desktop\New Text Document.txt" tab="0" space="1" consecutive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<sst xmlns="http://schemas.openxmlformats.org/spreadsheetml/2006/main" count="303" uniqueCount="190">
  <si>
    <t>1931 CIE Color Matching Functions</t>
  </si>
  <si>
    <t>x</t>
  </si>
  <si>
    <t>y = V</t>
  </si>
  <si>
    <t>z</t>
  </si>
  <si>
    <t>Wavelength</t>
  </si>
  <si>
    <t>[nm]</t>
  </si>
  <si>
    <t>Scotopic Spectral Sensitivity Function</t>
  </si>
  <si>
    <t>Relative Emittance D65 Light Source</t>
  </si>
  <si>
    <t>Relative Emittance P43 Light Source</t>
  </si>
  <si>
    <t>Relative Emittance Illum. C Light Source</t>
  </si>
  <si>
    <t>Relative Emittance Illum. A Light Source</t>
  </si>
  <si>
    <t>T1 [%]</t>
  </si>
  <si>
    <t>T2 [%]</t>
  </si>
  <si>
    <t>T3 [%]</t>
  </si>
  <si>
    <t>Spectral Transmission [%]</t>
  </si>
  <si>
    <t>Raw Data</t>
  </si>
  <si>
    <t>Clean Data</t>
  </si>
  <si>
    <t>Sample Designation:</t>
  </si>
  <si>
    <t>Wavelength [nm]</t>
  </si>
  <si>
    <t>D65 Light Source (Canada DND, EN172)</t>
  </si>
  <si>
    <t>Num. Pho.</t>
  </si>
  <si>
    <t>Denum. Pho.</t>
  </si>
  <si>
    <t>Photopic Luminous Transmittance [%] :</t>
  </si>
  <si>
    <t>Scotopic Luminous Transmittance [%] :</t>
  </si>
  <si>
    <t>Num. Sco.</t>
  </si>
  <si>
    <t>Denum. Sco.</t>
  </si>
  <si>
    <t>P43 Light Source (Canada DND, MIL-PRF-31013)</t>
  </si>
  <si>
    <t>Illum. A Light Source (ANSI Z87.1, EN166)</t>
  </si>
  <si>
    <t>Illum. C Light Source (MIL-PRF-31013)</t>
  </si>
  <si>
    <t>y</t>
  </si>
  <si>
    <t>Yellow Region</t>
  </si>
  <si>
    <t>Green Signal Coordinates</t>
  </si>
  <si>
    <t>Yellow Signal Coordinates</t>
  </si>
  <si>
    <t>Green Region</t>
  </si>
  <si>
    <t>D65 Daylight Coordinates</t>
  </si>
  <si>
    <t>D65 Region</t>
  </si>
  <si>
    <t>ANSI Z80.3-2001 - 4.6.3 Transmittance properties related to traffic signal recognition</t>
  </si>
  <si>
    <t>D65 White Point</t>
  </si>
  <si>
    <t>Chromaticity - D65 Light Source</t>
  </si>
  <si>
    <t>λ [nm]</t>
  </si>
  <si>
    <t>X_D65 (λ)</t>
  </si>
  <si>
    <t>Y_D65 (λ)</t>
  </si>
  <si>
    <t>Z_D65 (λ)</t>
  </si>
  <si>
    <t>x =</t>
  </si>
  <si>
    <t>y =</t>
  </si>
  <si>
    <t>D65 Chromaticity Coordinates</t>
  </si>
  <si>
    <t>Chromaticity - GREEN Traffic Signal Light Source</t>
  </si>
  <si>
    <t>Xgreen (λ)</t>
  </si>
  <si>
    <t>Ygreen (λ)</t>
  </si>
  <si>
    <t>Zgreen (λ)</t>
  </si>
  <si>
    <t>Traffic Signal Filter Transmittance</t>
  </si>
  <si>
    <t>Red Signal</t>
  </si>
  <si>
    <t>Yellow Signal</t>
  </si>
  <si>
    <t>Green Signal</t>
  </si>
  <si>
    <t>---</t>
  </si>
  <si>
    <t>GREEN Chromaticity Coordinates</t>
  </si>
  <si>
    <t>Chromaticity - YELLOW Traffic Signal Light Source</t>
  </si>
  <si>
    <t>Xyellow (λ)</t>
  </si>
  <si>
    <t>Yyellow (λ)</t>
  </si>
  <si>
    <t>Zyellow (λ)</t>
  </si>
  <si>
    <t>x(GREEN) =</t>
  </si>
  <si>
    <t>y(GREEN) =</t>
  </si>
  <si>
    <t>YELLOW Chromaticity Coordinates</t>
  </si>
  <si>
    <t>x(YELLOW) =</t>
  </si>
  <si>
    <t>y(YELLOW) =</t>
  </si>
  <si>
    <t>Chromaticity - RED Traffic Signal Light Source</t>
  </si>
  <si>
    <t>Yred (λ)</t>
  </si>
  <si>
    <t>Traffic Signal Transmittance</t>
  </si>
  <si>
    <t>RED Signal - Minimum Traffic Signal Transmittance</t>
  </si>
  <si>
    <t>GREEN Signal - Minimum Traffic Signal Transmittance</t>
  </si>
  <si>
    <t>YELLOW Signal - Minimum Traffic Signal Transmittance</t>
  </si>
  <si>
    <t>Tyellow =</t>
  </si>
  <si>
    <t>Tgreen =</t>
  </si>
  <si>
    <t>Tred =</t>
  </si>
  <si>
    <t>%</t>
  </si>
  <si>
    <t>Denum Tred</t>
  </si>
  <si>
    <t>Denum Tyellow</t>
  </si>
  <si>
    <t>Denum Tgreen</t>
  </si>
  <si>
    <t>Chromaticity - Illuminant C Light Source</t>
  </si>
  <si>
    <t>X_IllC (λ)</t>
  </si>
  <si>
    <t>Y_IllC (λ)</t>
  </si>
  <si>
    <t>Z_IllC (λ)</t>
  </si>
  <si>
    <t>IllC Chromaticity Coordinates</t>
  </si>
  <si>
    <t>Chromaticity - Red Signal Factor</t>
  </si>
  <si>
    <t>Numerator</t>
  </si>
  <si>
    <t>Denuminator</t>
  </si>
  <si>
    <t>Red Signal Visibility Factor</t>
  </si>
  <si>
    <t>Jr =</t>
  </si>
  <si>
    <t>LUMINOUS TRANSMITTANCE</t>
  </si>
  <si>
    <t>Date of Measurements:</t>
  </si>
  <si>
    <t>Performed by:</t>
  </si>
  <si>
    <t>Approved by:</t>
  </si>
  <si>
    <t>CHROMATICITY</t>
  </si>
  <si>
    <t>Minimum Traffic Signal Transmittance</t>
  </si>
  <si>
    <t>RED Signal Transmittance</t>
  </si>
  <si>
    <t>YELLOW Signal Transmittance</t>
  </si>
  <si>
    <t>GREEN Signal Transmittance</t>
  </si>
  <si>
    <t>Traffic Signal Chromaticity Coordinates</t>
  </si>
  <si>
    <t>Chromaticity Diagram</t>
  </si>
  <si>
    <t>NEUTRALITY MEASUREMENTS</t>
  </si>
  <si>
    <t>CALCULATIONS FOR SAMPLE #1</t>
  </si>
  <si>
    <t>Tc</t>
  </si>
  <si>
    <t>n</t>
  </si>
  <si>
    <t>Tn</t>
  </si>
  <si>
    <t>% Deviation</t>
  </si>
  <si>
    <t>Weight</t>
  </si>
  <si>
    <t>Product</t>
  </si>
  <si>
    <t xml:space="preserve">TOTAL = </t>
  </si>
  <si>
    <t xml:space="preserve">AVERAGE DEVIATION = </t>
  </si>
  <si>
    <t>Average Percentage Deviation =</t>
  </si>
  <si>
    <t>Neutrality (as per MIL-PRF-31013)</t>
  </si>
  <si>
    <t>(as per MIL-PRF-31013)</t>
  </si>
  <si>
    <t>BLUE Signal - Minimum Traffic Signal Transmittance</t>
  </si>
  <si>
    <t>Chromaticity - BLUE Traffic Signal Light Source</t>
  </si>
  <si>
    <t>Tblue =</t>
  </si>
  <si>
    <t>Denum(λ)</t>
  </si>
  <si>
    <t>Num(λ)</t>
  </si>
  <si>
    <t>BLUE Signal Transmittance</t>
  </si>
  <si>
    <t>Relative Visual Attenuation Coefficients (Quotients) (based on EN 1836:2005)</t>
  </si>
  <si>
    <t>RED Coefficient</t>
  </si>
  <si>
    <t>Qred =</t>
  </si>
  <si>
    <t>YELLOW Coefficient</t>
  </si>
  <si>
    <t>Qyellow =</t>
  </si>
  <si>
    <t>GREEN Coefficient</t>
  </si>
  <si>
    <t>Qgreen =</t>
  </si>
  <si>
    <t>BLUE Coefficient</t>
  </si>
  <si>
    <t>Qblue =</t>
  </si>
  <si>
    <t>EN 1836:2005</t>
  </si>
  <si>
    <t>Minimal T% from 500-650nm</t>
  </si>
  <si>
    <t>Tmin [%] :</t>
  </si>
  <si>
    <t>IIlC Daylight Coordinates</t>
  </si>
  <si>
    <t>IllC Region of Acceptance</t>
  </si>
  <si>
    <t>Spec 12 %</t>
  </si>
  <si>
    <t>For US product</t>
  </si>
  <si>
    <t>Color Limit Regions of Acceptance</t>
  </si>
  <si>
    <t>Spec for US Product Only</t>
  </si>
  <si>
    <t xml:space="preserve">See if inside Ill C region On </t>
  </si>
  <si>
    <t>Graph below</t>
  </si>
  <si>
    <t>US Clr and Smk Spec</t>
  </si>
  <si>
    <t>Test:</t>
  </si>
  <si>
    <t>Luminous Transmittance</t>
  </si>
  <si>
    <t>Test Standard:</t>
  </si>
  <si>
    <t>Requirement Paragraph:</t>
  </si>
  <si>
    <t>Test Paragraph:</t>
  </si>
  <si>
    <t>Product Name:</t>
  </si>
  <si>
    <t>Date of Inspection:</t>
  </si>
  <si>
    <t>Technician:</t>
  </si>
  <si>
    <t>Sample</t>
  </si>
  <si>
    <t>Neutrality [%]</t>
  </si>
  <si>
    <t>Photopic Luminous Transmittance [%]</t>
  </si>
  <si>
    <t>Scotopic Luminous Transmittance [%]</t>
  </si>
  <si>
    <t>P43 Light Source</t>
  </si>
  <si>
    <t>Illum. A Light Source</t>
  </si>
  <si>
    <t>Illum. C Light Source</t>
  </si>
  <si>
    <t>D65 Light Source</t>
  </si>
  <si>
    <t>Ultraviolet Transmittance</t>
  </si>
  <si>
    <t>MIL-PRF 332432A</t>
  </si>
  <si>
    <t>Illum. C Light Source (MIL-PRF 32432A)</t>
  </si>
  <si>
    <t>P43 Light Source (Canada DND, MIL-PRF 32432A)</t>
  </si>
  <si>
    <t>Maximum Spectral Transmittance</t>
  </si>
  <si>
    <t>313-365nm</t>
  </si>
  <si>
    <t>365-405nm</t>
  </si>
  <si>
    <t>Maximum</t>
  </si>
  <si>
    <t>Minimum</t>
  </si>
  <si>
    <t>General Requirements</t>
  </si>
  <si>
    <t>280-315nm</t>
  </si>
  <si>
    <t>315-350nm</t>
  </si>
  <si>
    <t>315-380</t>
  </si>
  <si>
    <t>Spectral Transmittance</t>
  </si>
  <si>
    <t>Mean</t>
  </si>
  <si>
    <t>EN 172:1994 (D65)</t>
  </si>
  <si>
    <t>EFUV</t>
  </si>
  <si>
    <t>EN 170:2002 (Illum. A)</t>
  </si>
  <si>
    <t>CSA Z94.3-15 (Illum. A)</t>
  </si>
  <si>
    <t>NUV</t>
  </si>
  <si>
    <t>Results</t>
  </si>
  <si>
    <t>Calculated Requirements</t>
  </si>
  <si>
    <t>DND BEW 2009</t>
  </si>
  <si>
    <t>210-313nm*</t>
  </si>
  <si>
    <t>*Narrow band filter is required for accurate measurements in this range.</t>
  </si>
  <si>
    <t>Mean Absorption (290-380nm):</t>
  </si>
  <si>
    <t>Mean Absorption (280-400nm):</t>
  </si>
  <si>
    <t>Max Transmission (280-380nm):</t>
  </si>
  <si>
    <t>Ultraviolet Absorption [290-380nm] [%]</t>
  </si>
  <si>
    <t>Ultraviolet Absorption [280-400nm] [%]</t>
  </si>
  <si>
    <t>Illum. C Chromaticity Coordinate- y</t>
  </si>
  <si>
    <t>Illum. C Chromaticity Coordinate- x</t>
  </si>
  <si>
    <t>Max Transmittance [280-380nm] [%]</t>
  </si>
  <si>
    <t>Transmittance</t>
  </si>
  <si>
    <t>MIL, EN, CSA, DND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</si>
</sst>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0.000000"/>
    <numFmt numFmtId="165" formatCode="0.0000"/>
    <numFmt numFmtId="166" formatCode="0.00000"/>
    <numFmt numFmtId="167" formatCode=";;;"/>
    <numFmt numFmtId="168" formatCode="0.0"/>
    <numFmt numFmtId="169" formatCode="0.000"/>
    <numFmt numFmtId="170" formatCode="0.00000000"/>
    <numFmt numFmtId="171" formatCode="0.0%"/>
    <numFmt numFmtId="172" formatCode="0.0000%"/>
    <numFmt numFmtId="173" formatCode="0.000%"/>
    <numFmt numFmtId="174" formatCode="0.0000000"/>
    <numFmt numFmtId="175" formatCode="0.00000%"/>
    <numFmt numFmtId="176" formatCode="0.000000%"/>
  </numFmts>
  <fonts count="27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8"/>
      <name val="MS Sans Serif"/>
      <family val="2"/>
    </font>
    <font>
      <b/>
      <sz val="10"/>
      <name val="Arial"/>
      <family val="2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MS Sans Serif"/>
      <family val="2"/>
    </font>
    <font>
      <b/>
      <sz val="11"/>
      <name val="Arial"/>
      <family val="2"/>
    </font>
    <font>
      <b/>
      <sz val="12"/>
      <name val="Arial"/>
      <family val="2"/>
    </font>
    <font>
      <b/>
      <u/>
      <sz val="12"/>
      <name val="Arial"/>
      <family val="2"/>
    </font>
    <font>
      <sz val="10"/>
      <name val="Arial"/>
      <family val="2"/>
    </font>
    <font>
      <u/>
      <sz val="11"/>
      <name val="Arial"/>
      <family val="2"/>
    </font>
    <font>
      <sz val="11"/>
      <name val="Arial"/>
      <family val="2"/>
    </font>
    <font>
      <sz val="11"/>
      <name val="Arial"/>
      <family val="2"/>
    </font>
    <font>
      <b/>
      <sz val="9"/>
      <name val="Arial"/>
      <family val="2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000000"/>
      <name val="Arial"/>
      <family val="2"/>
    </font>
    <font>
      <sz val="10"/>
      <color rgb="FF0033CC"/>
      <name val="Arial"/>
      <family val="2"/>
    </font>
    <font>
      <b/>
      <sz val="12"/>
      <color rgb="FFFF0000"/>
      <name val="Arial"/>
      <family val="2"/>
    </font>
    <font>
      <b/>
      <sz val="11"/>
      <color rgb="FF008000"/>
      <name val="Arial"/>
      <family val="2"/>
    </font>
    <font>
      <b/>
      <sz val="12"/>
      <color rgb="FF0000FF"/>
      <name val="Arial"/>
      <family val="2"/>
    </font>
    <font>
      <sz val="10"/>
      <color rgb="FF006100"/>
      <name val="Arial"/>
      <family val="2"/>
    </font>
    <font>
      <sz val="10"/>
      <color theme="0" tint="-0.1499984740745262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FCE"/>
      </patternFill>
    </fill>
  </fills>
  <borders count="4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6" fillId="0" borderId="0"/>
    <xf numFmtId="0" fontId="16" fillId="0" borderId="0"/>
    <xf numFmtId="0" fontId="25" fillId="6" borderId="0" applyNumberFormat="0" applyBorder="0" applyAlignment="0" applyProtection="0"/>
  </cellStyleXfs>
  <cellXfs count="350">
    <xf numFmtId="0" fontId="0" fillId="0" borderId="0" xfId="0"/>
    <xf numFmtId="0" fontId="4" fillId="0" borderId="1" xfId="0" applyFont="1" applyBorder="1"/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64" fontId="3" fillId="0" borderId="1" xfId="0" applyNumberFormat="1" applyFont="1" applyBorder="1" applyAlignment="1">
      <alignment horizontal="center" vertical="top" wrapText="1"/>
    </xf>
    <xf numFmtId="164" fontId="3" fillId="0" borderId="5" xfId="0" applyNumberFormat="1" applyFont="1" applyBorder="1" applyAlignment="1">
      <alignment horizontal="center" vertical="top" wrapText="1"/>
    </xf>
    <xf numFmtId="164" fontId="5" fillId="0" borderId="5" xfId="0" applyNumberFormat="1" applyFont="1" applyBorder="1" applyAlignment="1">
      <alignment horizontal="center" vertical="top" wrapText="1"/>
    </xf>
    <xf numFmtId="164" fontId="3" fillId="0" borderId="2" xfId="0" applyNumberFormat="1" applyFont="1" applyBorder="1" applyAlignment="1">
      <alignment horizontal="center" vertical="top" wrapText="1"/>
    </xf>
    <xf numFmtId="165" fontId="3" fillId="0" borderId="1" xfId="0" applyNumberFormat="1" applyFont="1" applyBorder="1" applyAlignment="1">
      <alignment horizontal="center" vertical="top" wrapText="1"/>
    </xf>
    <xf numFmtId="165" fontId="3" fillId="0" borderId="5" xfId="0" applyNumberFormat="1" applyFont="1" applyBorder="1" applyAlignment="1">
      <alignment horizontal="center" vertical="top" wrapText="1"/>
    </xf>
    <xf numFmtId="165" fontId="3" fillId="0" borderId="2" xfId="0" applyNumberFormat="1" applyFont="1" applyBorder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0" fontId="3" fillId="0" borderId="5" xfId="0" applyFont="1" applyBorder="1" applyAlignment="1">
      <alignment horizontal="center" vertical="top" wrapText="1"/>
    </xf>
    <xf numFmtId="0" fontId="3" fillId="0" borderId="2" xfId="0" applyFont="1" applyBorder="1" applyAlignment="1">
      <alignment horizontal="center" vertical="top" wrapText="1"/>
    </xf>
    <xf numFmtId="164" fontId="3" fillId="0" borderId="6" xfId="0" applyNumberFormat="1" applyFont="1" applyBorder="1" applyAlignment="1">
      <alignment horizontal="center" vertical="top" wrapText="1"/>
    </xf>
    <xf numFmtId="164" fontId="3" fillId="0" borderId="7" xfId="0" applyNumberFormat="1" applyFont="1" applyBorder="1" applyAlignment="1">
      <alignment horizontal="center" vertical="top" wrapText="1"/>
    </xf>
    <xf numFmtId="164" fontId="3" fillId="0" borderId="8" xfId="0" applyNumberFormat="1" applyFont="1" applyBorder="1" applyAlignment="1">
      <alignment horizontal="center" vertical="top" wrapText="1"/>
    </xf>
    <xf numFmtId="164" fontId="3" fillId="0" borderId="9" xfId="0" applyNumberFormat="1" applyFont="1" applyBorder="1" applyAlignment="1">
      <alignment horizontal="center" vertical="top" wrapText="1"/>
    </xf>
    <xf numFmtId="164" fontId="3" fillId="0" borderId="0" xfId="0" applyNumberFormat="1" applyFont="1" applyBorder="1" applyAlignment="1">
      <alignment horizontal="center" vertical="top" wrapText="1"/>
    </xf>
    <xf numFmtId="164" fontId="3" fillId="0" borderId="10" xfId="0" applyNumberFormat="1" applyFont="1" applyBorder="1" applyAlignment="1">
      <alignment horizontal="center" vertical="top" wrapText="1"/>
    </xf>
    <xf numFmtId="164" fontId="5" fillId="0" borderId="10" xfId="0" applyNumberFormat="1" applyFont="1" applyBorder="1" applyAlignment="1">
      <alignment horizontal="center" vertical="top" wrapText="1"/>
    </xf>
    <xf numFmtId="164" fontId="3" fillId="0" borderId="3" xfId="0" applyNumberFormat="1" applyFont="1" applyBorder="1" applyAlignment="1">
      <alignment horizontal="center" vertical="top" wrapText="1"/>
    </xf>
    <xf numFmtId="164" fontId="3" fillId="0" borderId="4" xfId="0" applyNumberFormat="1" applyFont="1" applyBorder="1" applyAlignment="1">
      <alignment horizontal="center" vertical="top" wrapText="1"/>
    </xf>
    <xf numFmtId="164" fontId="3" fillId="0" borderId="11" xfId="0" applyNumberFormat="1" applyFont="1" applyBorder="1" applyAlignment="1">
      <alignment horizontal="center" vertical="top" wrapText="1"/>
    </xf>
    <xf numFmtId="2" fontId="3" fillId="0" borderId="1" xfId="0" applyNumberFormat="1" applyFont="1" applyBorder="1" applyAlignment="1">
      <alignment horizontal="center"/>
    </xf>
    <xf numFmtId="2" fontId="3" fillId="0" borderId="5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 vertical="top" wrapText="1"/>
    </xf>
    <xf numFmtId="2" fontId="7" fillId="0" borderId="2" xfId="0" applyNumberFormat="1" applyFont="1" applyBorder="1" applyAlignment="1">
      <alignment horizontal="center" vertical="top" wrapText="1"/>
    </xf>
    <xf numFmtId="0" fontId="0" fillId="2" borderId="1" xfId="0" applyFill="1" applyBorder="1"/>
    <xf numFmtId="0" fontId="0" fillId="2" borderId="2" xfId="0" applyFill="1" applyBorder="1"/>
    <xf numFmtId="0" fontId="0" fillId="2" borderId="5" xfId="0" applyFill="1" applyBorder="1"/>
    <xf numFmtId="0" fontId="4" fillId="2" borderId="1" xfId="0" applyFont="1" applyFill="1" applyBorder="1" applyAlignment="1">
      <alignment horizontal="center" wrapText="1"/>
    </xf>
    <xf numFmtId="0" fontId="4" fillId="2" borderId="2" xfId="0" applyFont="1" applyFill="1" applyBorder="1" applyAlignment="1">
      <alignment horizontal="center" wrapText="1"/>
    </xf>
    <xf numFmtId="164" fontId="3" fillId="2" borderId="5" xfId="0" applyNumberFormat="1" applyFont="1" applyFill="1" applyBorder="1" applyAlignment="1">
      <alignment horizontal="center" vertical="top" wrapText="1"/>
    </xf>
    <xf numFmtId="164" fontId="5" fillId="2" borderId="5" xfId="0" applyNumberFormat="1" applyFont="1" applyFill="1" applyBorder="1" applyAlignment="1">
      <alignment horizontal="center" vertical="top" wrapText="1"/>
    </xf>
    <xf numFmtId="164" fontId="3" fillId="2" borderId="2" xfId="0" applyNumberFormat="1" applyFont="1" applyFill="1" applyBorder="1" applyAlignment="1">
      <alignment horizontal="center" vertical="top" wrapText="1"/>
    </xf>
    <xf numFmtId="165" fontId="3" fillId="0" borderId="1" xfId="0" applyNumberFormat="1" applyFont="1" applyBorder="1" applyAlignment="1">
      <alignment horizontal="center"/>
    </xf>
    <xf numFmtId="165" fontId="3" fillId="0" borderId="5" xfId="0" applyNumberFormat="1" applyFont="1" applyBorder="1" applyAlignment="1">
      <alignment horizontal="center"/>
    </xf>
    <xf numFmtId="165" fontId="3" fillId="0" borderId="2" xfId="0" applyNumberFormat="1" applyFont="1" applyBorder="1" applyAlignment="1">
      <alignment horizontal="center"/>
    </xf>
    <xf numFmtId="0" fontId="0" fillId="0" borderId="0" xfId="0" applyBorder="1"/>
    <xf numFmtId="0" fontId="0" fillId="0" borderId="1" xfId="0" applyBorder="1"/>
    <xf numFmtId="0" fontId="3" fillId="0" borderId="9" xfId="0" applyFont="1" applyBorder="1" applyAlignment="1">
      <alignment horizontal="center" vertical="top" wrapText="1"/>
    </xf>
    <xf numFmtId="0" fontId="3" fillId="0" borderId="3" xfId="0" applyFont="1" applyBorder="1" applyAlignment="1">
      <alignment horizontal="center" vertical="top" wrapText="1"/>
    </xf>
    <xf numFmtId="0" fontId="4" fillId="0" borderId="12" xfId="0" applyFont="1" applyBorder="1" applyAlignment="1">
      <alignment horizontal="center"/>
    </xf>
    <xf numFmtId="0" fontId="0" fillId="2" borderId="0" xfId="0" applyFill="1"/>
    <xf numFmtId="166" fontId="0" fillId="0" borderId="1" xfId="0" applyNumberFormat="1" applyBorder="1"/>
    <xf numFmtId="166" fontId="0" fillId="0" borderId="5" xfId="0" applyNumberFormat="1" applyBorder="1"/>
    <xf numFmtId="166" fontId="0" fillId="0" borderId="2" xfId="0" applyNumberFormat="1" applyBorder="1"/>
    <xf numFmtId="0" fontId="0" fillId="2" borderId="10" xfId="0" applyFill="1" applyBorder="1"/>
    <xf numFmtId="0" fontId="0" fillId="2" borderId="11" xfId="0" applyFill="1" applyBorder="1"/>
    <xf numFmtId="0" fontId="4" fillId="0" borderId="2" xfId="0" applyFont="1" applyBorder="1"/>
    <xf numFmtId="0" fontId="0" fillId="2" borderId="6" xfId="0" applyFill="1" applyBorder="1"/>
    <xf numFmtId="0" fontId="0" fillId="0" borderId="13" xfId="0" applyBorder="1"/>
    <xf numFmtId="0" fontId="0" fillId="2" borderId="9" xfId="0" applyFill="1" applyBorder="1"/>
    <xf numFmtId="0" fontId="0" fillId="2" borderId="3" xfId="0" applyFill="1" applyBorder="1"/>
    <xf numFmtId="0" fontId="4" fillId="0" borderId="9" xfId="0" applyFont="1" applyBorder="1"/>
    <xf numFmtId="2" fontId="0" fillId="0" borderId="10" xfId="0" applyNumberFormat="1" applyBorder="1"/>
    <xf numFmtId="0" fontId="0" fillId="0" borderId="14" xfId="0" applyBorder="1"/>
    <xf numFmtId="0" fontId="0" fillId="0" borderId="15" xfId="0" applyBorder="1"/>
    <xf numFmtId="164" fontId="0" fillId="0" borderId="16" xfId="0" applyNumberFormat="1" applyBorder="1"/>
    <xf numFmtId="164" fontId="0" fillId="0" borderId="17" xfId="0" applyNumberFormat="1" applyBorder="1"/>
    <xf numFmtId="164" fontId="0" fillId="0" borderId="18" xfId="0" applyNumberFormat="1" applyBorder="1"/>
    <xf numFmtId="164" fontId="0" fillId="0" borderId="19" xfId="0" applyNumberFormat="1" applyBorder="1"/>
    <xf numFmtId="164" fontId="0" fillId="0" borderId="20" xfId="0" applyNumberFormat="1" applyBorder="1"/>
    <xf numFmtId="164" fontId="0" fillId="0" borderId="21" xfId="0" applyNumberFormat="1" applyBorder="1"/>
    <xf numFmtId="164" fontId="0" fillId="0" borderId="22" xfId="0" applyNumberFormat="1" applyBorder="1"/>
    <xf numFmtId="164" fontId="0" fillId="0" borderId="23" xfId="0" applyNumberFormat="1" applyBorder="1"/>
    <xf numFmtId="164" fontId="0" fillId="0" borderId="24" xfId="0" applyNumberFormat="1" applyBorder="1"/>
    <xf numFmtId="0" fontId="4" fillId="0" borderId="3" xfId="0" applyFont="1" applyBorder="1"/>
    <xf numFmtId="0" fontId="0" fillId="0" borderId="4" xfId="0" applyBorder="1"/>
    <xf numFmtId="0" fontId="8" fillId="0" borderId="0" xfId="0" applyFont="1"/>
    <xf numFmtId="0" fontId="10" fillId="0" borderId="0" xfId="0" applyFont="1" applyAlignment="1">
      <alignment horizontal="left"/>
    </xf>
    <xf numFmtId="167" fontId="4" fillId="0" borderId="0" xfId="0" applyNumberFormat="1" applyFont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168" fontId="11" fillId="0" borderId="0" xfId="0" applyNumberFormat="1" applyFont="1" applyBorder="1" applyAlignment="1">
      <alignment horizontal="center"/>
    </xf>
    <xf numFmtId="0" fontId="0" fillId="0" borderId="0" xfId="0" quotePrefix="1" applyBorder="1" applyAlignment="1">
      <alignment horizontal="center"/>
    </xf>
    <xf numFmtId="0" fontId="0" fillId="0" borderId="0" xfId="0" applyBorder="1" applyAlignment="1">
      <alignment horizontal="center"/>
    </xf>
    <xf numFmtId="165" fontId="0" fillId="0" borderId="0" xfId="0" quotePrefix="1" applyNumberFormat="1" applyBorder="1" applyAlignment="1">
      <alignment horizontal="center"/>
    </xf>
    <xf numFmtId="0" fontId="9" fillId="0" borderId="0" xfId="0" applyFont="1" applyBorder="1" applyAlignment="1">
      <alignment horizontal="center"/>
    </xf>
    <xf numFmtId="169" fontId="0" fillId="0" borderId="0" xfId="0" applyNumberFormat="1"/>
    <xf numFmtId="0" fontId="4" fillId="0" borderId="0" xfId="0" applyFont="1" applyBorder="1"/>
    <xf numFmtId="0" fontId="4" fillId="0" borderId="0" xfId="0" applyFont="1"/>
    <xf numFmtId="0" fontId="4" fillId="0" borderId="12" xfId="0" applyFont="1" applyBorder="1"/>
    <xf numFmtId="0" fontId="0" fillId="0" borderId="5" xfId="0" applyBorder="1"/>
    <xf numFmtId="0" fontId="0" fillId="0" borderId="2" xfId="0" applyBorder="1"/>
    <xf numFmtId="165" fontId="0" fillId="0" borderId="1" xfId="0" applyNumberFormat="1" applyBorder="1"/>
    <xf numFmtId="165" fontId="0" fillId="0" borderId="5" xfId="0" applyNumberFormat="1" applyBorder="1"/>
    <xf numFmtId="165" fontId="0" fillId="0" borderId="2" xfId="0" applyNumberFormat="1" applyBorder="1"/>
    <xf numFmtId="165" fontId="0" fillId="0" borderId="12" xfId="0" applyNumberFormat="1" applyBorder="1"/>
    <xf numFmtId="0" fontId="0" fillId="0" borderId="9" xfId="0" applyBorder="1"/>
    <xf numFmtId="0" fontId="0" fillId="0" borderId="10" xfId="0" applyBorder="1"/>
    <xf numFmtId="0" fontId="4" fillId="0" borderId="9" xfId="0" applyFont="1" applyBorder="1" applyAlignment="1">
      <alignment horizontal="right"/>
    </xf>
    <xf numFmtId="0" fontId="0" fillId="0" borderId="3" xfId="0" applyBorder="1"/>
    <xf numFmtId="0" fontId="0" fillId="0" borderId="11" xfId="0" applyBorder="1"/>
    <xf numFmtId="0" fontId="4" fillId="0" borderId="12" xfId="0" applyFont="1" applyBorder="1" applyAlignment="1">
      <alignment horizontal="center" vertical="center" wrapText="1"/>
    </xf>
    <xf numFmtId="0" fontId="0" fillId="0" borderId="0" xfId="0" quotePrefix="1"/>
    <xf numFmtId="165" fontId="0" fillId="0" borderId="0" xfId="0" applyNumberFormat="1" applyBorder="1"/>
    <xf numFmtId="0" fontId="8" fillId="0" borderId="0" xfId="0" applyFont="1" applyBorder="1" applyAlignment="1"/>
    <xf numFmtId="166" fontId="0" fillId="0" borderId="12" xfId="0" applyNumberFormat="1" applyBorder="1"/>
    <xf numFmtId="0" fontId="4" fillId="0" borderId="0" xfId="0" applyFont="1" applyBorder="1" applyAlignment="1">
      <alignment horizontal="right"/>
    </xf>
    <xf numFmtId="0" fontId="4" fillId="0" borderId="0" xfId="0" applyFont="1" applyBorder="1" applyAlignment="1"/>
    <xf numFmtId="0" fontId="4" fillId="0" borderId="3" xfId="0" applyFont="1" applyBorder="1" applyAlignment="1">
      <alignment horizontal="right"/>
    </xf>
    <xf numFmtId="0" fontId="4" fillId="0" borderId="4" xfId="0" applyFont="1" applyBorder="1"/>
    <xf numFmtId="0" fontId="4" fillId="0" borderId="25" xfId="0" applyFont="1" applyBorder="1"/>
    <xf numFmtId="0" fontId="0" fillId="0" borderId="26" xfId="0" applyBorder="1"/>
    <xf numFmtId="0" fontId="0" fillId="0" borderId="27" xfId="0" applyBorder="1"/>
    <xf numFmtId="2" fontId="0" fillId="0" borderId="4" xfId="0" applyNumberFormat="1" applyBorder="1"/>
    <xf numFmtId="0" fontId="4" fillId="0" borderId="12" xfId="0" applyFont="1" applyFill="1" applyBorder="1"/>
    <xf numFmtId="0" fontId="4" fillId="0" borderId="11" xfId="0" applyFont="1" applyBorder="1"/>
    <xf numFmtId="0" fontId="4" fillId="0" borderId="5" xfId="0" applyFont="1" applyBorder="1"/>
    <xf numFmtId="166" fontId="0" fillId="0" borderId="6" xfId="0" applyNumberFormat="1" applyBorder="1"/>
    <xf numFmtId="166" fontId="0" fillId="0" borderId="9" xfId="0" applyNumberFormat="1" applyBorder="1"/>
    <xf numFmtId="166" fontId="0" fillId="0" borderId="3" xfId="0" applyNumberFormat="1" applyBorder="1"/>
    <xf numFmtId="0" fontId="11" fillId="0" borderId="0" xfId="0" applyFont="1"/>
    <xf numFmtId="0" fontId="11" fillId="0" borderId="5" xfId="0" applyFont="1" applyBorder="1" applyAlignment="1">
      <alignment horizontal="center" vertical="top" wrapText="1"/>
    </xf>
    <xf numFmtId="0" fontId="11" fillId="0" borderId="2" xfId="0" applyFont="1" applyBorder="1" applyAlignment="1">
      <alignment horizontal="center" vertical="top" wrapText="1"/>
    </xf>
    <xf numFmtId="0" fontId="11" fillId="0" borderId="0" xfId="0" applyFont="1" applyBorder="1" applyAlignment="1">
      <alignment horizontal="center" vertical="top" wrapText="1"/>
    </xf>
    <xf numFmtId="0" fontId="9" fillId="0" borderId="0" xfId="0" applyFont="1" applyBorder="1" applyAlignment="1">
      <alignment horizontal="left"/>
    </xf>
    <xf numFmtId="2" fontId="0" fillId="0" borderId="0" xfId="0" applyNumberFormat="1" applyBorder="1"/>
    <xf numFmtId="0" fontId="8" fillId="0" borderId="25" xfId="0" applyFont="1" applyBorder="1"/>
    <xf numFmtId="0" fontId="12" fillId="0" borderId="0" xfId="0" applyFont="1" applyBorder="1" applyAlignment="1">
      <alignment horizontal="left"/>
    </xf>
    <xf numFmtId="2" fontId="0" fillId="0" borderId="10" xfId="0" applyNumberFormat="1" applyBorder="1" applyAlignment="1">
      <alignment horizontal="left"/>
    </xf>
    <xf numFmtId="2" fontId="0" fillId="0" borderId="11" xfId="0" applyNumberFormat="1" applyBorder="1" applyAlignment="1">
      <alignment horizontal="left"/>
    </xf>
    <xf numFmtId="165" fontId="0" fillId="0" borderId="0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0" xfId="0" applyFill="1" applyBorder="1"/>
    <xf numFmtId="0" fontId="4" fillId="0" borderId="4" xfId="0" applyFont="1" applyBorder="1" applyAlignment="1">
      <alignment horizontal="right"/>
    </xf>
    <xf numFmtId="0" fontId="4" fillId="0" borderId="26" xfId="0" applyFont="1" applyBorder="1" applyAlignment="1">
      <alignment horizontal="right"/>
    </xf>
    <xf numFmtId="2" fontId="0" fillId="0" borderId="26" xfId="0" applyNumberFormat="1" applyBorder="1" applyAlignment="1">
      <alignment horizontal="center"/>
    </xf>
    <xf numFmtId="0" fontId="4" fillId="0" borderId="26" xfId="0" applyFont="1" applyBorder="1"/>
    <xf numFmtId="0" fontId="0" fillId="2" borderId="0" xfId="0" applyFill="1" applyBorder="1"/>
    <xf numFmtId="0" fontId="0" fillId="2" borderId="4" xfId="0" applyFill="1" applyBorder="1"/>
    <xf numFmtId="0" fontId="0" fillId="3" borderId="12" xfId="0" applyFill="1" applyBorder="1" applyProtection="1">
      <protection locked="0"/>
    </xf>
    <xf numFmtId="0" fontId="4" fillId="0" borderId="12" xfId="0" applyFont="1" applyFill="1" applyBorder="1" applyAlignment="1">
      <alignment horizontal="center"/>
    </xf>
    <xf numFmtId="0" fontId="4" fillId="0" borderId="25" xfId="0" applyFont="1" applyBorder="1" applyAlignment="1">
      <alignment horizontal="center"/>
    </xf>
    <xf numFmtId="0" fontId="0" fillId="2" borderId="27" xfId="0" applyFill="1" applyBorder="1"/>
    <xf numFmtId="0" fontId="8" fillId="0" borderId="6" xfId="0" applyFont="1" applyBorder="1"/>
    <xf numFmtId="0" fontId="0" fillId="0" borderId="7" xfId="0" applyBorder="1"/>
    <xf numFmtId="0" fontId="0" fillId="0" borderId="8" xfId="0" applyBorder="1"/>
    <xf numFmtId="0" fontId="8" fillId="0" borderId="3" xfId="0" applyFont="1" applyBorder="1"/>
    <xf numFmtId="0" fontId="11" fillId="0" borderId="0" xfId="0" applyFont="1" applyBorder="1"/>
    <xf numFmtId="0" fontId="9" fillId="0" borderId="25" xfId="0" applyFont="1" applyBorder="1"/>
    <xf numFmtId="0" fontId="9" fillId="0" borderId="26" xfId="0" applyFont="1" applyBorder="1"/>
    <xf numFmtId="0" fontId="11" fillId="0" borderId="0" xfId="0" applyFont="1" applyAlignment="1">
      <alignment horizontal="left"/>
    </xf>
    <xf numFmtId="14" fontId="13" fillId="0" borderId="12" xfId="0" applyNumberFormat="1" applyFont="1" applyBorder="1" applyProtection="1">
      <protection locked="0"/>
    </xf>
    <xf numFmtId="165" fontId="0" fillId="0" borderId="10" xfId="0" applyNumberFormat="1" applyBorder="1"/>
    <xf numFmtId="0" fontId="3" fillId="0" borderId="6" xfId="0" applyFont="1" applyBorder="1" applyAlignment="1">
      <alignment horizontal="center" vertical="top" wrapText="1"/>
    </xf>
    <xf numFmtId="0" fontId="11" fillId="0" borderId="8" xfId="0" applyFont="1" applyBorder="1" applyAlignment="1"/>
    <xf numFmtId="170" fontId="11" fillId="0" borderId="1" xfId="0" applyNumberFormat="1" applyFont="1" applyBorder="1" applyAlignment="1"/>
    <xf numFmtId="170" fontId="11" fillId="0" borderId="5" xfId="0" applyNumberFormat="1" applyFont="1" applyBorder="1" applyAlignment="1"/>
    <xf numFmtId="170" fontId="11" fillId="0" borderId="2" xfId="0" applyNumberFormat="1" applyFont="1" applyBorder="1" applyAlignment="1"/>
    <xf numFmtId="170" fontId="0" fillId="0" borderId="0" xfId="0" applyNumberFormat="1"/>
    <xf numFmtId="2" fontId="0" fillId="0" borderId="11" xfId="0" applyNumberFormat="1" applyBorder="1" applyAlignment="1">
      <alignment horizontal="center"/>
    </xf>
    <xf numFmtId="0" fontId="15" fillId="0" borderId="9" xfId="0" applyFont="1" applyBorder="1"/>
    <xf numFmtId="166" fontId="0" fillId="0" borderId="0" xfId="0" applyNumberFormat="1"/>
    <xf numFmtId="0" fontId="17" fillId="0" borderId="0" xfId="0" applyFont="1" applyAlignment="1">
      <alignment horizontal="left" readingOrder="1"/>
    </xf>
    <xf numFmtId="14" fontId="18" fillId="0" borderId="0" xfId="1" applyNumberFormat="1" applyFont="1" applyBorder="1"/>
    <xf numFmtId="0" fontId="18" fillId="0" borderId="28" xfId="1" applyFont="1" applyBorder="1" applyAlignment="1">
      <alignment vertical="center"/>
    </xf>
    <xf numFmtId="0" fontId="18" fillId="0" borderId="0" xfId="1" applyFont="1" applyBorder="1" applyAlignment="1">
      <alignment vertical="top"/>
    </xf>
    <xf numFmtId="14" fontId="18" fillId="0" borderId="28" xfId="1" applyNumberFormat="1" applyFont="1" applyBorder="1" applyAlignment="1">
      <alignment horizontal="left" vertical="center"/>
    </xf>
    <xf numFmtId="14" fontId="18" fillId="0" borderId="0" xfId="1" applyNumberFormat="1" applyFont="1" applyBorder="1" applyAlignment="1">
      <alignment horizontal="left" vertical="top"/>
    </xf>
    <xf numFmtId="0" fontId="19" fillId="0" borderId="0" xfId="1" applyFont="1"/>
    <xf numFmtId="0" fontId="18" fillId="0" borderId="0" xfId="2" applyFont="1"/>
    <xf numFmtId="0" fontId="18" fillId="0" borderId="28" xfId="1" applyFont="1" applyBorder="1" applyAlignment="1">
      <alignment horizontal="left" vertical="center"/>
    </xf>
    <xf numFmtId="165" fontId="0" fillId="0" borderId="0" xfId="0" applyNumberFormat="1"/>
    <xf numFmtId="2" fontId="0" fillId="0" borderId="0" xfId="0" applyNumberFormat="1"/>
    <xf numFmtId="0" fontId="20" fillId="5" borderId="13" xfId="1" applyFont="1" applyFill="1" applyBorder="1" applyAlignment="1">
      <alignment horizontal="center" vertical="center" wrapText="1"/>
    </xf>
    <xf numFmtId="0" fontId="19" fillId="5" borderId="13" xfId="1" applyFont="1" applyFill="1" applyBorder="1" applyAlignment="1">
      <alignment horizontal="center" vertical="center"/>
    </xf>
    <xf numFmtId="0" fontId="8" fillId="2" borderId="25" xfId="0" applyFont="1" applyFill="1" applyBorder="1" applyAlignment="1"/>
    <xf numFmtId="0" fontId="8" fillId="0" borderId="0" xfId="0" applyFont="1" applyFill="1" applyBorder="1" applyAlignment="1"/>
    <xf numFmtId="0" fontId="21" fillId="0" borderId="0" xfId="1" applyFont="1" applyBorder="1" applyAlignment="1">
      <alignment vertical="top" wrapText="1"/>
    </xf>
    <xf numFmtId="0" fontId="4" fillId="0" borderId="9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4" fillId="0" borderId="3" xfId="0" applyFont="1" applyBorder="1" applyAlignment="1">
      <alignment vertical="center"/>
    </xf>
    <xf numFmtId="0" fontId="0" fillId="0" borderId="4" xfId="0" applyBorder="1" applyAlignment="1">
      <alignment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19" fillId="0" borderId="9" xfId="0" applyFont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2" fontId="0" fillId="0" borderId="0" xfId="0" applyNumberFormat="1" applyBorder="1" applyAlignment="1">
      <alignment horizontal="left" vertical="center"/>
    </xf>
    <xf numFmtId="0" fontId="8" fillId="0" borderId="25" xfId="0" applyFont="1" applyFill="1" applyBorder="1" applyAlignment="1">
      <alignment vertical="center"/>
    </xf>
    <xf numFmtId="0" fontId="0" fillId="0" borderId="26" xfId="0" applyBorder="1" applyAlignment="1">
      <alignment vertical="center"/>
    </xf>
    <xf numFmtId="0" fontId="8" fillId="0" borderId="0" xfId="0" applyFont="1" applyFill="1" applyBorder="1" applyAlignment="1">
      <alignment horizontal="center" vertical="center"/>
    </xf>
    <xf numFmtId="171" fontId="0" fillId="0" borderId="30" xfId="0" applyNumberFormat="1" applyBorder="1" applyAlignment="1">
      <alignment horizontal="center"/>
    </xf>
    <xf numFmtId="171" fontId="0" fillId="0" borderId="0" xfId="0" applyNumberFormat="1" applyBorder="1" applyAlignment="1">
      <alignment horizontal="center"/>
    </xf>
    <xf numFmtId="9" fontId="0" fillId="0" borderId="30" xfId="0" applyNumberFormat="1" applyBorder="1" applyAlignment="1">
      <alignment horizontal="center"/>
    </xf>
    <xf numFmtId="9" fontId="0" fillId="0" borderId="0" xfId="0" applyNumberFormat="1" applyBorder="1" applyAlignment="1">
      <alignment horizontal="center"/>
    </xf>
    <xf numFmtId="171" fontId="0" fillId="0" borderId="31" xfId="0" applyNumberFormat="1" applyBorder="1" applyAlignment="1">
      <alignment horizontal="center"/>
    </xf>
    <xf numFmtId="171" fontId="0" fillId="0" borderId="10" xfId="0" applyNumberFormat="1" applyBorder="1" applyAlignment="1">
      <alignment horizontal="center"/>
    </xf>
    <xf numFmtId="9" fontId="0" fillId="0" borderId="4" xfId="0" applyNumberFormat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11" xfId="0" applyNumberFormat="1" applyBorder="1" applyAlignment="1">
      <alignment horizontal="center"/>
    </xf>
    <xf numFmtId="172" fontId="2" fillId="0" borderId="32" xfId="0" applyNumberFormat="1" applyFont="1" applyBorder="1" applyAlignment="1">
      <alignment horizontal="center" vertical="center"/>
    </xf>
    <xf numFmtId="172" fontId="2" fillId="0" borderId="9" xfId="0" applyNumberFormat="1" applyFont="1" applyBorder="1" applyAlignment="1">
      <alignment horizontal="center" vertical="center"/>
    </xf>
    <xf numFmtId="172" fontId="2" fillId="0" borderId="3" xfId="0" applyNumberFormat="1" applyFont="1" applyBorder="1" applyAlignment="1">
      <alignment horizontal="center" vertical="center"/>
    </xf>
    <xf numFmtId="9" fontId="0" fillId="0" borderId="30" xfId="0" applyNumberFormat="1" applyBorder="1" applyAlignment="1">
      <alignment horizontal="center" vertical="center"/>
    </xf>
    <xf numFmtId="9" fontId="0" fillId="0" borderId="0" xfId="0" applyNumberFormat="1" applyBorder="1" applyAlignment="1">
      <alignment horizontal="center" vertical="center"/>
    </xf>
    <xf numFmtId="9" fontId="11" fillId="0" borderId="34" xfId="0" applyNumberFormat="1" applyFont="1" applyBorder="1" applyAlignment="1">
      <alignment horizontal="center"/>
    </xf>
    <xf numFmtId="171" fontId="11" fillId="0" borderId="35" xfId="0" applyNumberFormat="1" applyFont="1" applyBorder="1" applyAlignment="1">
      <alignment horizontal="center"/>
    </xf>
    <xf numFmtId="171" fontId="0" fillId="0" borderId="35" xfId="0" applyNumberFormat="1" applyBorder="1" applyAlignment="1">
      <alignment horizontal="center"/>
    </xf>
    <xf numFmtId="171" fontId="0" fillId="0" borderId="36" xfId="0" applyNumberFormat="1" applyBorder="1" applyAlignment="1">
      <alignment horizontal="center"/>
    </xf>
    <xf numFmtId="0" fontId="8" fillId="0" borderId="9" xfId="0" applyFont="1" applyFill="1" applyBorder="1" applyAlignment="1">
      <alignment vertical="center"/>
    </xf>
    <xf numFmtId="9" fontId="11" fillId="0" borderId="31" xfId="0" applyNumberFormat="1" applyFont="1" applyBorder="1" applyAlignment="1">
      <alignment horizontal="center"/>
    </xf>
    <xf numFmtId="9" fontId="11" fillId="0" borderId="35" xfId="0" applyNumberFormat="1" applyFont="1" applyBorder="1" applyAlignment="1">
      <alignment horizontal="center"/>
    </xf>
    <xf numFmtId="10" fontId="0" fillId="0" borderId="10" xfId="0" applyNumberForma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10" fontId="0" fillId="0" borderId="36" xfId="0" applyNumberFormat="1" applyBorder="1" applyAlignment="1">
      <alignment horizontal="center"/>
    </xf>
    <xf numFmtId="10" fontId="0" fillId="0" borderId="11" xfId="0" applyNumberFormat="1" applyBorder="1" applyAlignment="1">
      <alignment horizontal="center"/>
    </xf>
    <xf numFmtId="10" fontId="2" fillId="0" borderId="32" xfId="0" applyNumberFormat="1" applyFont="1" applyBorder="1" applyAlignment="1">
      <alignment horizontal="center" vertical="center"/>
    </xf>
    <xf numFmtId="171" fontId="2" fillId="0" borderId="32" xfId="0" applyNumberFormat="1" applyFont="1" applyBorder="1" applyAlignment="1">
      <alignment horizontal="center" vertical="center"/>
    </xf>
    <xf numFmtId="9" fontId="2" fillId="0" borderId="32" xfId="0" applyNumberFormat="1" applyFont="1" applyBorder="1" applyAlignment="1">
      <alignment horizontal="center" vertical="center"/>
    </xf>
    <xf numFmtId="10" fontId="2" fillId="0" borderId="9" xfId="0" applyNumberFormat="1" applyFont="1" applyBorder="1" applyAlignment="1">
      <alignment horizontal="center" vertical="center"/>
    </xf>
    <xf numFmtId="9" fontId="2" fillId="0" borderId="9" xfId="0" applyNumberFormat="1" applyFont="1" applyBorder="1" applyAlignment="1">
      <alignment horizontal="center" vertical="center"/>
    </xf>
    <xf numFmtId="173" fontId="2" fillId="0" borderId="3" xfId="0" applyNumberFormat="1" applyFont="1" applyBorder="1" applyAlignment="1">
      <alignment horizontal="center" vertical="center"/>
    </xf>
    <xf numFmtId="10" fontId="2" fillId="0" borderId="3" xfId="0" applyNumberFormat="1" applyFont="1" applyBorder="1" applyAlignment="1">
      <alignment horizontal="center" vertical="center"/>
    </xf>
    <xf numFmtId="9" fontId="2" fillId="0" borderId="3" xfId="0" applyNumberFormat="1" applyFont="1" applyBorder="1" applyAlignment="1">
      <alignment horizontal="center" vertical="center"/>
    </xf>
    <xf numFmtId="9" fontId="0" fillId="0" borderId="36" xfId="0" applyNumberFormat="1" applyBorder="1" applyAlignment="1">
      <alignment horizontal="center"/>
    </xf>
    <xf numFmtId="9" fontId="0" fillId="0" borderId="11" xfId="0" applyNumberFormat="1" applyBorder="1" applyAlignment="1">
      <alignment horizontal="center"/>
    </xf>
    <xf numFmtId="171" fontId="0" fillId="0" borderId="30" xfId="0" applyNumberFormat="1" applyBorder="1" applyAlignment="1">
      <alignment horizontal="center" vertical="center"/>
    </xf>
    <xf numFmtId="171" fontId="0" fillId="0" borderId="0" xfId="0" applyNumberFormat="1" applyBorder="1" applyAlignment="1">
      <alignment horizontal="center" vertical="center"/>
    </xf>
    <xf numFmtId="0" fontId="0" fillId="0" borderId="0" xfId="0" applyFill="1"/>
    <xf numFmtId="0" fontId="19" fillId="0" borderId="37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38" xfId="0" applyFont="1" applyFill="1" applyBorder="1" applyAlignment="1">
      <alignment horizontal="center" vertical="center"/>
    </xf>
    <xf numFmtId="0" fontId="4" fillId="0" borderId="28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10" fontId="2" fillId="0" borderId="0" xfId="0" applyNumberFormat="1" applyFont="1" applyBorder="1" applyAlignment="1">
      <alignment horizontal="center" vertical="center"/>
    </xf>
    <xf numFmtId="171" fontId="0" fillId="0" borderId="0" xfId="0" applyNumberFormat="1" applyFill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9" fontId="0" fillId="0" borderId="31" xfId="0" applyNumberFormat="1" applyBorder="1" applyAlignment="1">
      <alignment horizontal="center"/>
    </xf>
    <xf numFmtId="9" fontId="0" fillId="0" borderId="4" xfId="0" applyNumberFormat="1" applyBorder="1" applyAlignment="1">
      <alignment horizontal="center" vertical="center"/>
    </xf>
    <xf numFmtId="10" fontId="2" fillId="0" borderId="30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4" fillId="0" borderId="0" xfId="0" applyFont="1" applyFill="1" applyBorder="1"/>
    <xf numFmtId="9" fontId="25" fillId="0" borderId="0" xfId="3" applyNumberFormat="1" applyFill="1" applyBorder="1" applyAlignment="1">
      <alignment horizontal="center" vertical="center"/>
    </xf>
    <xf numFmtId="0" fontId="4" fillId="0" borderId="0" xfId="0" applyFont="1" applyFill="1" applyBorder="1" applyAlignment="1"/>
    <xf numFmtId="9" fontId="25" fillId="0" borderId="0" xfId="3" applyNumberFormat="1" applyFill="1" applyBorder="1" applyAlignment="1"/>
    <xf numFmtId="0" fontId="4" fillId="0" borderId="33" xfId="0" applyFont="1" applyFill="1" applyBorder="1" applyAlignment="1">
      <alignment horizontal="center" vertical="center"/>
    </xf>
    <xf numFmtId="0" fontId="8" fillId="2" borderId="26" xfId="0" applyFont="1" applyFill="1" applyBorder="1" applyAlignment="1">
      <alignment horizontal="center"/>
    </xf>
    <xf numFmtId="0" fontId="8" fillId="2" borderId="27" xfId="0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2" fontId="18" fillId="0" borderId="0" xfId="1" applyNumberFormat="1" applyFont="1" applyFill="1" applyBorder="1" applyAlignment="1">
      <alignment horizontal="center" vertical="center"/>
    </xf>
    <xf numFmtId="2" fontId="18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center" vertical="center"/>
    </xf>
    <xf numFmtId="0" fontId="8" fillId="2" borderId="25" xfId="0" applyFont="1" applyFill="1" applyBorder="1" applyAlignment="1">
      <alignment horizontal="left"/>
    </xf>
    <xf numFmtId="0" fontId="4" fillId="0" borderId="33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/>
    </xf>
    <xf numFmtId="166" fontId="11" fillId="0" borderId="11" xfId="0" applyNumberFormat="1" applyFont="1" applyBorder="1" applyAlignment="1">
      <alignment horizontal="left" vertical="center"/>
    </xf>
    <xf numFmtId="0" fontId="8" fillId="0" borderId="10" xfId="0" applyFont="1" applyFill="1" applyBorder="1" applyAlignment="1">
      <alignment vertical="center"/>
    </xf>
    <xf numFmtId="0" fontId="4" fillId="0" borderId="0" xfId="0" applyFont="1" applyBorder="1" applyAlignment="1">
      <alignment horizontal="left"/>
    </xf>
    <xf numFmtId="174" fontId="0" fillId="0" borderId="0" xfId="0" applyNumberFormat="1" applyBorder="1" applyAlignment="1">
      <alignment horizontal="left" vertical="center"/>
    </xf>
    <xf numFmtId="0" fontId="8" fillId="0" borderId="7" xfId="0" applyFont="1" applyFill="1" applyBorder="1" applyAlignment="1">
      <alignment vertical="center"/>
    </xf>
    <xf numFmtId="0" fontId="8" fillId="0" borderId="8" xfId="0" applyFont="1" applyFill="1" applyBorder="1" applyAlignment="1">
      <alignment vertical="center"/>
    </xf>
    <xf numFmtId="0" fontId="8" fillId="0" borderId="11" xfId="0" applyFont="1" applyFill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4" fillId="0" borderId="41" xfId="0" applyFont="1" applyBorder="1" applyAlignment="1">
      <alignment horizontal="center"/>
    </xf>
    <xf numFmtId="166" fontId="0" fillId="0" borderId="0" xfId="0" applyNumberFormat="1" applyBorder="1" applyAlignment="1">
      <alignment horizontal="left" vertical="center"/>
    </xf>
    <xf numFmtId="0" fontId="19" fillId="0" borderId="0" xfId="0" applyFont="1" applyFill="1" applyBorder="1" applyAlignment="1">
      <alignment horizontal="center" vertical="center"/>
    </xf>
    <xf numFmtId="9" fontId="2" fillId="0" borderId="0" xfId="0" applyNumberFormat="1" applyFont="1" applyFill="1" applyBorder="1" applyAlignment="1">
      <alignment horizontal="center" vertical="center"/>
    </xf>
    <xf numFmtId="9" fontId="0" fillId="0" borderId="0" xfId="0" applyNumberFormat="1" applyFill="1" applyBorder="1" applyAlignment="1">
      <alignment horizontal="center" vertical="center"/>
    </xf>
    <xf numFmtId="9" fontId="0" fillId="0" borderId="0" xfId="0" applyNumberFormat="1" applyFill="1" applyBorder="1" applyAlignment="1">
      <alignment horizontal="center"/>
    </xf>
    <xf numFmtId="9" fontId="11" fillId="0" borderId="0" xfId="0" applyNumberFormat="1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0" fontId="2" fillId="0" borderId="0" xfId="0" applyNumberFormat="1" applyFont="1" applyFill="1" applyBorder="1" applyAlignment="1">
      <alignment horizontal="center" vertical="center"/>
    </xf>
    <xf numFmtId="171" fontId="0" fillId="0" borderId="0" xfId="0" applyNumberFormat="1" applyFill="1" applyBorder="1" applyAlignment="1">
      <alignment horizontal="center" vertical="center"/>
    </xf>
    <xf numFmtId="173" fontId="2" fillId="0" borderId="0" xfId="0" applyNumberFormat="1" applyFont="1" applyFill="1" applyBorder="1" applyAlignment="1">
      <alignment horizontal="center" vertical="center"/>
    </xf>
    <xf numFmtId="166" fontId="11" fillId="0" borderId="0" xfId="0" applyNumberFormat="1" applyFont="1" applyFill="1" applyBorder="1" applyAlignment="1">
      <alignment horizontal="left" vertical="center"/>
    </xf>
    <xf numFmtId="166" fontId="0" fillId="0" borderId="0" xfId="0" applyNumberFormat="1" applyFill="1" applyBorder="1" applyAlignment="1">
      <alignment horizontal="left" vertical="center"/>
    </xf>
    <xf numFmtId="0" fontId="4" fillId="0" borderId="0" xfId="0" applyFont="1" applyFill="1" applyBorder="1" applyAlignment="1">
      <alignment vertical="center"/>
    </xf>
    <xf numFmtId="10" fontId="0" fillId="0" borderId="11" xfId="0" applyNumberFormat="1" applyBorder="1" applyAlignment="1">
      <alignment horizontal="center" vertical="center"/>
    </xf>
    <xf numFmtId="10" fontId="11" fillId="0" borderId="10" xfId="0" applyNumberFormat="1" applyFont="1" applyBorder="1" applyAlignment="1">
      <alignment horizontal="left" vertical="center"/>
    </xf>
    <xf numFmtId="10" fontId="11" fillId="0" borderId="11" xfId="0" applyNumberFormat="1" applyFont="1" applyBorder="1" applyAlignment="1">
      <alignment horizontal="left" vertical="center"/>
    </xf>
    <xf numFmtId="0" fontId="26" fillId="0" borderId="0" xfId="0" applyFont="1"/>
    <xf numFmtId="0" fontId="26" fillId="0" borderId="0" xfId="0" applyFont="1" applyFill="1"/>
    <xf numFmtId="173" fontId="2" fillId="0" borderId="9" xfId="0" applyNumberFormat="1" applyFont="1" applyBorder="1" applyAlignment="1">
      <alignment horizontal="center" vertical="center"/>
    </xf>
    <xf numFmtId="2" fontId="18" fillId="0" borderId="0" xfId="1" applyNumberFormat="1" applyFont="1" applyAlignment="1">
      <alignment horizontal="right"/>
    </xf>
    <xf numFmtId="2" fontId="18" fillId="0" borderId="0" xfId="1" applyNumberFormat="1" applyFont="1" applyAlignment="1">
      <alignment horizontal="right" vertical="top"/>
    </xf>
    <xf numFmtId="2" fontId="19" fillId="0" borderId="0" xfId="1" applyNumberFormat="1" applyFont="1"/>
    <xf numFmtId="2" fontId="20" fillId="5" borderId="13" xfId="1" applyNumberFormat="1" applyFont="1" applyFill="1" applyBorder="1" applyAlignment="1">
      <alignment horizontal="center" vertical="center"/>
    </xf>
    <xf numFmtId="175" fontId="11" fillId="0" borderId="3" xfId="0" applyNumberFormat="1" applyFont="1" applyBorder="1" applyAlignment="1">
      <alignment horizontal="center" vertical="center"/>
    </xf>
    <xf numFmtId="175" fontId="0" fillId="0" borderId="4" xfId="0" applyNumberFormat="1" applyBorder="1" applyAlignment="1">
      <alignment horizontal="center" vertical="center"/>
    </xf>
    <xf numFmtId="176" fontId="11" fillId="0" borderId="3" xfId="0" applyNumberFormat="1" applyFont="1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172" fontId="0" fillId="0" borderId="11" xfId="0" applyNumberFormat="1" applyBorder="1" applyAlignment="1">
      <alignment horizontal="left" vertical="center"/>
    </xf>
    <xf numFmtId="169" fontId="18" fillId="0" borderId="0" xfId="1" applyNumberFormat="1" applyFont="1" applyFill="1" applyBorder="1" applyAlignment="1">
      <alignment horizontal="center" vertical="center"/>
    </xf>
    <xf numFmtId="169" fontId="0" fillId="0" borderId="0" xfId="0" applyNumberFormat="1" applyBorder="1" applyAlignment="1">
      <alignment horizontal="center" vertical="center"/>
    </xf>
    <xf numFmtId="169" fontId="0" fillId="0" borderId="0" xfId="0" applyNumberFormat="1" applyBorder="1"/>
    <xf numFmtId="10" fontId="0" fillId="0" borderId="4" xfId="0" applyNumberFormat="1" applyBorder="1" applyAlignment="1">
      <alignment horizontal="center" vertical="center"/>
    </xf>
    <xf numFmtId="0" fontId="6" fillId="0" borderId="4" xfId="0" applyFont="1" applyFill="1" applyBorder="1" applyAlignment="1">
      <alignment horizontal="left" vertical="center" wrapText="1"/>
    </xf>
    <xf numFmtId="0" fontId="6" fillId="0" borderId="0" xfId="0" applyFont="1" applyFill="1" applyBorder="1" applyAlignment="1">
      <alignment horizontal="left" vertical="center" wrapText="1"/>
    </xf>
    <xf numFmtId="0" fontId="4" fillId="2" borderId="25" xfId="0" applyFont="1" applyFill="1" applyBorder="1" applyAlignment="1">
      <alignment horizontal="center"/>
    </xf>
    <xf numFmtId="0" fontId="4" fillId="2" borderId="27" xfId="0" applyFont="1" applyFill="1" applyBorder="1" applyAlignment="1">
      <alignment horizontal="center"/>
    </xf>
    <xf numFmtId="0" fontId="8" fillId="2" borderId="25" xfId="0" applyFont="1" applyFill="1" applyBorder="1" applyAlignment="1">
      <alignment horizontal="center"/>
    </xf>
    <xf numFmtId="0" fontId="8" fillId="2" borderId="26" xfId="0" applyFont="1" applyFill="1" applyBorder="1" applyAlignment="1">
      <alignment horizontal="center"/>
    </xf>
    <xf numFmtId="0" fontId="8" fillId="2" borderId="27" xfId="0" applyFont="1" applyFill="1" applyBorder="1" applyAlignment="1">
      <alignment horizontal="center"/>
    </xf>
    <xf numFmtId="0" fontId="8" fillId="0" borderId="25" xfId="0" applyFont="1" applyBorder="1" applyAlignment="1" applyProtection="1">
      <alignment horizontal="left"/>
      <protection locked="0"/>
    </xf>
    <xf numFmtId="0" fontId="8" fillId="0" borderId="27" xfId="0" applyFont="1" applyBorder="1" applyAlignment="1" applyProtection="1">
      <alignment horizontal="left"/>
      <protection locked="0"/>
    </xf>
    <xf numFmtId="0" fontId="8" fillId="2" borderId="25" xfId="0" applyFont="1" applyFill="1" applyBorder="1" applyAlignment="1">
      <alignment horizontal="center" vertical="center"/>
    </xf>
    <xf numFmtId="0" fontId="8" fillId="2" borderId="26" xfId="0" applyFont="1" applyFill="1" applyBorder="1" applyAlignment="1">
      <alignment horizontal="center" vertical="center"/>
    </xf>
    <xf numFmtId="0" fontId="8" fillId="2" borderId="27" xfId="0" applyFont="1" applyFill="1" applyBorder="1" applyAlignment="1">
      <alignment horizontal="center" vertical="center"/>
    </xf>
    <xf numFmtId="0" fontId="13" fillId="0" borderId="25" xfId="0" applyFont="1" applyBorder="1" applyAlignment="1" applyProtection="1">
      <alignment horizontal="left"/>
      <protection locked="0"/>
    </xf>
    <xf numFmtId="0" fontId="14" fillId="0" borderId="27" xfId="0" applyFont="1" applyBorder="1" applyAlignment="1" applyProtection="1">
      <alignment horizontal="left"/>
      <protection locked="0"/>
    </xf>
    <xf numFmtId="0" fontId="13" fillId="0" borderId="27" xfId="0" applyFont="1" applyBorder="1" applyAlignment="1" applyProtection="1">
      <alignment horizontal="left"/>
      <protection locked="0"/>
    </xf>
    <xf numFmtId="0" fontId="8" fillId="5" borderId="25" xfId="0" applyFont="1" applyFill="1" applyBorder="1" applyAlignment="1">
      <alignment horizontal="center"/>
    </xf>
    <xf numFmtId="0" fontId="8" fillId="5" borderId="27" xfId="0" applyFont="1" applyFill="1" applyBorder="1" applyAlignment="1">
      <alignment horizontal="center"/>
    </xf>
    <xf numFmtId="0" fontId="4" fillId="2" borderId="26" xfId="0" applyFont="1" applyFill="1" applyBorder="1" applyAlignment="1">
      <alignment horizontal="center"/>
    </xf>
    <xf numFmtId="0" fontId="6" fillId="0" borderId="6" xfId="0" applyFont="1" applyFill="1" applyBorder="1" applyAlignment="1">
      <alignment horizontal="left" vertical="center" wrapText="1"/>
    </xf>
    <xf numFmtId="0" fontId="6" fillId="0" borderId="8" xfId="0" applyFont="1" applyFill="1" applyBorder="1" applyAlignment="1">
      <alignment horizontal="left" vertical="center" wrapText="1"/>
    </xf>
    <xf numFmtId="0" fontId="6" fillId="0" borderId="3" xfId="0" applyFont="1" applyFill="1" applyBorder="1" applyAlignment="1">
      <alignment horizontal="left" vertical="center" wrapText="1"/>
    </xf>
    <xf numFmtId="0" fontId="6" fillId="0" borderId="11" xfId="0" applyFont="1" applyFill="1" applyBorder="1" applyAlignment="1">
      <alignment horizontal="left" vertical="center" wrapText="1"/>
    </xf>
    <xf numFmtId="0" fontId="4" fillId="0" borderId="6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4" fillId="0" borderId="33" xfId="0" applyFont="1" applyFill="1" applyBorder="1" applyAlignment="1">
      <alignment horizontal="center" vertical="center"/>
    </xf>
    <xf numFmtId="0" fontId="4" fillId="0" borderId="39" xfId="0" applyFont="1" applyFill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40" xfId="0" applyFont="1" applyBorder="1" applyAlignment="1">
      <alignment horizontal="center" vertical="center"/>
    </xf>
    <xf numFmtId="0" fontId="4" fillId="0" borderId="25" xfId="0" applyFont="1" applyBorder="1" applyAlignment="1">
      <alignment horizontal="center"/>
    </xf>
    <xf numFmtId="0" fontId="4" fillId="0" borderId="26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4" fillId="2" borderId="25" xfId="0" applyFont="1" applyFill="1" applyBorder="1" applyAlignment="1">
      <alignment horizontal="left"/>
    </xf>
    <xf numFmtId="0" fontId="4" fillId="2" borderId="26" xfId="0" applyFont="1" applyFill="1" applyBorder="1" applyAlignment="1">
      <alignment horizontal="left"/>
    </xf>
    <xf numFmtId="0" fontId="8" fillId="0" borderId="25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4" fillId="0" borderId="1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wrapText="1"/>
    </xf>
    <xf numFmtId="0" fontId="4" fillId="0" borderId="2" xfId="0" applyFont="1" applyFill="1" applyBorder="1" applyAlignment="1">
      <alignment horizontal="center" wrapText="1"/>
    </xf>
    <xf numFmtId="0" fontId="4" fillId="0" borderId="25" xfId="0" applyFont="1" applyBorder="1" applyAlignment="1">
      <alignment horizontal="center" wrapText="1"/>
    </xf>
    <xf numFmtId="0" fontId="4" fillId="0" borderId="26" xfId="0" applyFont="1" applyBorder="1" applyAlignment="1">
      <alignment horizontal="center" wrapText="1"/>
    </xf>
    <xf numFmtId="0" fontId="4" fillId="0" borderId="27" xfId="0" applyFont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0" fillId="0" borderId="26" xfId="0" applyBorder="1"/>
    <xf numFmtId="0" fontId="1" fillId="0" borderId="28" xfId="1" applyFont="1" applyBorder="1" applyAlignment="1">
      <alignment vertical="center"/>
    </xf>
    <xf numFmtId="14" fontId="1" fillId="0" borderId="29" xfId="1" applyNumberFormat="1" applyFont="1" applyBorder="1" applyAlignment="1">
      <alignment vertical="center"/>
    </xf>
    <xf numFmtId="165" fontId="18" fillId="0" borderId="0" xfId="1" applyNumberFormat="1" applyFont="1" applyFill="1" applyBorder="1" applyAlignment="1">
      <alignment horizontal="center" vertical="center"/>
    </xf>
    <xf numFmtId="166" fontId="18" fillId="0" borderId="0" xfId="1" applyNumberFormat="1" applyFont="1" applyFill="1" applyBorder="1" applyAlignment="1">
      <alignment horizontal="center" vertical="center"/>
    </xf>
  </cellXfs>
  <cellStyles count="4">
    <cellStyle name="Good" xfId="3" builtinId="26"/>
    <cellStyle name="Normal" xfId="0" builtinId="0"/>
    <cellStyle name="Normal 2" xfId="1"/>
    <cellStyle name="Normal 3" xfId="2"/>
  </cellStyles>
  <dxfs count="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Luminous Transmittance Curve</a:t>
            </a:r>
          </a:p>
        </c:rich>
      </c:tx>
      <c:layout>
        <c:manualLayout>
          <c:xMode val="edge"/>
          <c:yMode val="edge"/>
          <c:x val="0.32554261295850412"/>
          <c:y val="3.20855614973262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91151919866444"/>
          <c:y val="0.17379679144385041"/>
          <c:w val="0.82971619365609361"/>
          <c:h val="0.6390374331550851"/>
        </c:manualLayout>
      </c:layout>
      <c:lineChart>
        <c:grouping val="standard"/>
        <c:varyColors val="0"/>
        <c:ser>
          <c:idx val="0"/>
          <c:order val="0"/>
          <c:tx>
            <c:v>Transmission [%]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'Transmission Calculations'!$A$5:$A$205</c:f>
              <c:numCache>
                <c:formatCode>General</c:formatCode>
                <c:ptCount val="201"/>
                <c:pt idx="0">
                  <c:v>380</c:v>
                </c:pt>
                <c:pt idx="1">
                  <c:v>382</c:v>
                </c:pt>
                <c:pt idx="2">
                  <c:v>384</c:v>
                </c:pt>
                <c:pt idx="3">
                  <c:v>386</c:v>
                </c:pt>
                <c:pt idx="4">
                  <c:v>388</c:v>
                </c:pt>
                <c:pt idx="5">
                  <c:v>390</c:v>
                </c:pt>
                <c:pt idx="6">
                  <c:v>392</c:v>
                </c:pt>
                <c:pt idx="7">
                  <c:v>394</c:v>
                </c:pt>
                <c:pt idx="8">
                  <c:v>396</c:v>
                </c:pt>
                <c:pt idx="9">
                  <c:v>398</c:v>
                </c:pt>
                <c:pt idx="10">
                  <c:v>400</c:v>
                </c:pt>
                <c:pt idx="11">
                  <c:v>402</c:v>
                </c:pt>
                <c:pt idx="12">
                  <c:v>404</c:v>
                </c:pt>
                <c:pt idx="13">
                  <c:v>406</c:v>
                </c:pt>
                <c:pt idx="14">
                  <c:v>408</c:v>
                </c:pt>
                <c:pt idx="15">
                  <c:v>410</c:v>
                </c:pt>
                <c:pt idx="16">
                  <c:v>412</c:v>
                </c:pt>
                <c:pt idx="17">
                  <c:v>414</c:v>
                </c:pt>
                <c:pt idx="18">
                  <c:v>416</c:v>
                </c:pt>
                <c:pt idx="19">
                  <c:v>418</c:v>
                </c:pt>
                <c:pt idx="20">
                  <c:v>420</c:v>
                </c:pt>
                <c:pt idx="21">
                  <c:v>422</c:v>
                </c:pt>
                <c:pt idx="22">
                  <c:v>424</c:v>
                </c:pt>
                <c:pt idx="23">
                  <c:v>426</c:v>
                </c:pt>
                <c:pt idx="24">
                  <c:v>428</c:v>
                </c:pt>
                <c:pt idx="25">
                  <c:v>430</c:v>
                </c:pt>
                <c:pt idx="26">
                  <c:v>432</c:v>
                </c:pt>
                <c:pt idx="27">
                  <c:v>434</c:v>
                </c:pt>
                <c:pt idx="28">
                  <c:v>436</c:v>
                </c:pt>
                <c:pt idx="29">
                  <c:v>438</c:v>
                </c:pt>
                <c:pt idx="30">
                  <c:v>440</c:v>
                </c:pt>
                <c:pt idx="31">
                  <c:v>442</c:v>
                </c:pt>
                <c:pt idx="32">
                  <c:v>444</c:v>
                </c:pt>
                <c:pt idx="33">
                  <c:v>446</c:v>
                </c:pt>
                <c:pt idx="34">
                  <c:v>448</c:v>
                </c:pt>
                <c:pt idx="35">
                  <c:v>450</c:v>
                </c:pt>
                <c:pt idx="36">
                  <c:v>452</c:v>
                </c:pt>
                <c:pt idx="37">
                  <c:v>454</c:v>
                </c:pt>
                <c:pt idx="38">
                  <c:v>456</c:v>
                </c:pt>
                <c:pt idx="39">
                  <c:v>458</c:v>
                </c:pt>
                <c:pt idx="40">
                  <c:v>460</c:v>
                </c:pt>
                <c:pt idx="41">
                  <c:v>462</c:v>
                </c:pt>
                <c:pt idx="42">
                  <c:v>464</c:v>
                </c:pt>
                <c:pt idx="43">
                  <c:v>466</c:v>
                </c:pt>
                <c:pt idx="44">
                  <c:v>468</c:v>
                </c:pt>
                <c:pt idx="45">
                  <c:v>470</c:v>
                </c:pt>
                <c:pt idx="46">
                  <c:v>472</c:v>
                </c:pt>
                <c:pt idx="47">
                  <c:v>474</c:v>
                </c:pt>
                <c:pt idx="48">
                  <c:v>476</c:v>
                </c:pt>
                <c:pt idx="49">
                  <c:v>478</c:v>
                </c:pt>
                <c:pt idx="50">
                  <c:v>480</c:v>
                </c:pt>
                <c:pt idx="51">
                  <c:v>482</c:v>
                </c:pt>
                <c:pt idx="52">
                  <c:v>484</c:v>
                </c:pt>
                <c:pt idx="53">
                  <c:v>486</c:v>
                </c:pt>
                <c:pt idx="54">
                  <c:v>488</c:v>
                </c:pt>
                <c:pt idx="55">
                  <c:v>490</c:v>
                </c:pt>
                <c:pt idx="56">
                  <c:v>492</c:v>
                </c:pt>
                <c:pt idx="57">
                  <c:v>494</c:v>
                </c:pt>
                <c:pt idx="58">
                  <c:v>496</c:v>
                </c:pt>
                <c:pt idx="59">
                  <c:v>498</c:v>
                </c:pt>
                <c:pt idx="60">
                  <c:v>500</c:v>
                </c:pt>
                <c:pt idx="61">
                  <c:v>502</c:v>
                </c:pt>
                <c:pt idx="62">
                  <c:v>504</c:v>
                </c:pt>
                <c:pt idx="63">
                  <c:v>506</c:v>
                </c:pt>
                <c:pt idx="64">
                  <c:v>508</c:v>
                </c:pt>
                <c:pt idx="65">
                  <c:v>510</c:v>
                </c:pt>
                <c:pt idx="66">
                  <c:v>512</c:v>
                </c:pt>
                <c:pt idx="67">
                  <c:v>514</c:v>
                </c:pt>
                <c:pt idx="68">
                  <c:v>516</c:v>
                </c:pt>
                <c:pt idx="69">
                  <c:v>518</c:v>
                </c:pt>
                <c:pt idx="70">
                  <c:v>520</c:v>
                </c:pt>
                <c:pt idx="71">
                  <c:v>522</c:v>
                </c:pt>
                <c:pt idx="72">
                  <c:v>524</c:v>
                </c:pt>
                <c:pt idx="73">
                  <c:v>526</c:v>
                </c:pt>
                <c:pt idx="74">
                  <c:v>528</c:v>
                </c:pt>
                <c:pt idx="75">
                  <c:v>530</c:v>
                </c:pt>
                <c:pt idx="76">
                  <c:v>532</c:v>
                </c:pt>
                <c:pt idx="77">
                  <c:v>534</c:v>
                </c:pt>
                <c:pt idx="78">
                  <c:v>536</c:v>
                </c:pt>
                <c:pt idx="79">
                  <c:v>538</c:v>
                </c:pt>
                <c:pt idx="80">
                  <c:v>540</c:v>
                </c:pt>
                <c:pt idx="81">
                  <c:v>542</c:v>
                </c:pt>
                <c:pt idx="82">
                  <c:v>544</c:v>
                </c:pt>
                <c:pt idx="83">
                  <c:v>546</c:v>
                </c:pt>
                <c:pt idx="84">
                  <c:v>548</c:v>
                </c:pt>
                <c:pt idx="85">
                  <c:v>550</c:v>
                </c:pt>
                <c:pt idx="86">
                  <c:v>552</c:v>
                </c:pt>
                <c:pt idx="87">
                  <c:v>554</c:v>
                </c:pt>
                <c:pt idx="88">
                  <c:v>556</c:v>
                </c:pt>
                <c:pt idx="89">
                  <c:v>558</c:v>
                </c:pt>
                <c:pt idx="90">
                  <c:v>560</c:v>
                </c:pt>
                <c:pt idx="91">
                  <c:v>562</c:v>
                </c:pt>
                <c:pt idx="92">
                  <c:v>564</c:v>
                </c:pt>
                <c:pt idx="93">
                  <c:v>566</c:v>
                </c:pt>
                <c:pt idx="94">
                  <c:v>568</c:v>
                </c:pt>
                <c:pt idx="95">
                  <c:v>570</c:v>
                </c:pt>
                <c:pt idx="96">
                  <c:v>572</c:v>
                </c:pt>
                <c:pt idx="97">
                  <c:v>574</c:v>
                </c:pt>
                <c:pt idx="98">
                  <c:v>576</c:v>
                </c:pt>
                <c:pt idx="99">
                  <c:v>578</c:v>
                </c:pt>
                <c:pt idx="100">
                  <c:v>580</c:v>
                </c:pt>
                <c:pt idx="101">
                  <c:v>582</c:v>
                </c:pt>
                <c:pt idx="102">
                  <c:v>584</c:v>
                </c:pt>
                <c:pt idx="103">
                  <c:v>586</c:v>
                </c:pt>
                <c:pt idx="104">
                  <c:v>588</c:v>
                </c:pt>
                <c:pt idx="105">
                  <c:v>590</c:v>
                </c:pt>
                <c:pt idx="106">
                  <c:v>592</c:v>
                </c:pt>
                <c:pt idx="107">
                  <c:v>594</c:v>
                </c:pt>
                <c:pt idx="108">
                  <c:v>596</c:v>
                </c:pt>
                <c:pt idx="109">
                  <c:v>598</c:v>
                </c:pt>
                <c:pt idx="110">
                  <c:v>600</c:v>
                </c:pt>
                <c:pt idx="111">
                  <c:v>602</c:v>
                </c:pt>
                <c:pt idx="112">
                  <c:v>604</c:v>
                </c:pt>
                <c:pt idx="113">
                  <c:v>606</c:v>
                </c:pt>
                <c:pt idx="114">
                  <c:v>608</c:v>
                </c:pt>
                <c:pt idx="115">
                  <c:v>610</c:v>
                </c:pt>
                <c:pt idx="116">
                  <c:v>612</c:v>
                </c:pt>
                <c:pt idx="117">
                  <c:v>614</c:v>
                </c:pt>
                <c:pt idx="118">
                  <c:v>616</c:v>
                </c:pt>
                <c:pt idx="119">
                  <c:v>618</c:v>
                </c:pt>
                <c:pt idx="120">
                  <c:v>620</c:v>
                </c:pt>
                <c:pt idx="121">
                  <c:v>622</c:v>
                </c:pt>
                <c:pt idx="122">
                  <c:v>624</c:v>
                </c:pt>
                <c:pt idx="123">
                  <c:v>626</c:v>
                </c:pt>
                <c:pt idx="124">
                  <c:v>628</c:v>
                </c:pt>
                <c:pt idx="125">
                  <c:v>630</c:v>
                </c:pt>
                <c:pt idx="126">
                  <c:v>632</c:v>
                </c:pt>
                <c:pt idx="127">
                  <c:v>634</c:v>
                </c:pt>
                <c:pt idx="128">
                  <c:v>636</c:v>
                </c:pt>
                <c:pt idx="129">
                  <c:v>638</c:v>
                </c:pt>
                <c:pt idx="130">
                  <c:v>640</c:v>
                </c:pt>
                <c:pt idx="131">
                  <c:v>642</c:v>
                </c:pt>
                <c:pt idx="132">
                  <c:v>644</c:v>
                </c:pt>
                <c:pt idx="133">
                  <c:v>646</c:v>
                </c:pt>
                <c:pt idx="134">
                  <c:v>648</c:v>
                </c:pt>
                <c:pt idx="135">
                  <c:v>650</c:v>
                </c:pt>
                <c:pt idx="136">
                  <c:v>652</c:v>
                </c:pt>
                <c:pt idx="137">
                  <c:v>654</c:v>
                </c:pt>
                <c:pt idx="138">
                  <c:v>656</c:v>
                </c:pt>
                <c:pt idx="139">
                  <c:v>658</c:v>
                </c:pt>
                <c:pt idx="140">
                  <c:v>660</c:v>
                </c:pt>
                <c:pt idx="141">
                  <c:v>662</c:v>
                </c:pt>
                <c:pt idx="142">
                  <c:v>664</c:v>
                </c:pt>
                <c:pt idx="143">
                  <c:v>666</c:v>
                </c:pt>
                <c:pt idx="144">
                  <c:v>668</c:v>
                </c:pt>
                <c:pt idx="145">
                  <c:v>670</c:v>
                </c:pt>
                <c:pt idx="146">
                  <c:v>672</c:v>
                </c:pt>
                <c:pt idx="147">
                  <c:v>674</c:v>
                </c:pt>
                <c:pt idx="148">
                  <c:v>676</c:v>
                </c:pt>
                <c:pt idx="149">
                  <c:v>678</c:v>
                </c:pt>
                <c:pt idx="150">
                  <c:v>680</c:v>
                </c:pt>
                <c:pt idx="151">
                  <c:v>682</c:v>
                </c:pt>
                <c:pt idx="152">
                  <c:v>684</c:v>
                </c:pt>
                <c:pt idx="153">
                  <c:v>686</c:v>
                </c:pt>
                <c:pt idx="154">
                  <c:v>688</c:v>
                </c:pt>
                <c:pt idx="155">
                  <c:v>690</c:v>
                </c:pt>
                <c:pt idx="156">
                  <c:v>692</c:v>
                </c:pt>
                <c:pt idx="157">
                  <c:v>694</c:v>
                </c:pt>
                <c:pt idx="158">
                  <c:v>696</c:v>
                </c:pt>
                <c:pt idx="159">
                  <c:v>698</c:v>
                </c:pt>
                <c:pt idx="160">
                  <c:v>700</c:v>
                </c:pt>
                <c:pt idx="161">
                  <c:v>702</c:v>
                </c:pt>
                <c:pt idx="162">
                  <c:v>704</c:v>
                </c:pt>
                <c:pt idx="163">
                  <c:v>706</c:v>
                </c:pt>
                <c:pt idx="164">
                  <c:v>708</c:v>
                </c:pt>
                <c:pt idx="165">
                  <c:v>710</c:v>
                </c:pt>
                <c:pt idx="166">
                  <c:v>712</c:v>
                </c:pt>
                <c:pt idx="167">
                  <c:v>714</c:v>
                </c:pt>
                <c:pt idx="168">
                  <c:v>716</c:v>
                </c:pt>
                <c:pt idx="169">
                  <c:v>718</c:v>
                </c:pt>
                <c:pt idx="170">
                  <c:v>720</c:v>
                </c:pt>
                <c:pt idx="171">
                  <c:v>722</c:v>
                </c:pt>
                <c:pt idx="172">
                  <c:v>724</c:v>
                </c:pt>
                <c:pt idx="173">
                  <c:v>726</c:v>
                </c:pt>
                <c:pt idx="174">
                  <c:v>728</c:v>
                </c:pt>
                <c:pt idx="175">
                  <c:v>730</c:v>
                </c:pt>
                <c:pt idx="176">
                  <c:v>732</c:v>
                </c:pt>
                <c:pt idx="177">
                  <c:v>734</c:v>
                </c:pt>
                <c:pt idx="178">
                  <c:v>736</c:v>
                </c:pt>
                <c:pt idx="179">
                  <c:v>738</c:v>
                </c:pt>
                <c:pt idx="180">
                  <c:v>740</c:v>
                </c:pt>
                <c:pt idx="181">
                  <c:v>742</c:v>
                </c:pt>
                <c:pt idx="182">
                  <c:v>744</c:v>
                </c:pt>
                <c:pt idx="183">
                  <c:v>746</c:v>
                </c:pt>
                <c:pt idx="184">
                  <c:v>748</c:v>
                </c:pt>
                <c:pt idx="185">
                  <c:v>750</c:v>
                </c:pt>
                <c:pt idx="186">
                  <c:v>752</c:v>
                </c:pt>
                <c:pt idx="187">
                  <c:v>754</c:v>
                </c:pt>
                <c:pt idx="188">
                  <c:v>756</c:v>
                </c:pt>
                <c:pt idx="189">
                  <c:v>758</c:v>
                </c:pt>
                <c:pt idx="190">
                  <c:v>760</c:v>
                </c:pt>
                <c:pt idx="191">
                  <c:v>762</c:v>
                </c:pt>
                <c:pt idx="192">
                  <c:v>764</c:v>
                </c:pt>
                <c:pt idx="193">
                  <c:v>766</c:v>
                </c:pt>
                <c:pt idx="194">
                  <c:v>768</c:v>
                </c:pt>
                <c:pt idx="195">
                  <c:v>770</c:v>
                </c:pt>
                <c:pt idx="196">
                  <c:v>772</c:v>
                </c:pt>
                <c:pt idx="197">
                  <c:v>774</c:v>
                </c:pt>
                <c:pt idx="198">
                  <c:v>776</c:v>
                </c:pt>
                <c:pt idx="199">
                  <c:v>778</c:v>
                </c:pt>
                <c:pt idx="200">
                  <c:v>780</c:v>
                </c:pt>
              </c:numCache>
            </c:numRef>
          </c:cat>
          <c:val>
            <c:numRef>
              <c:f>'Transmission Calculations'!$L$5:$L$205</c:f>
              <c:numCache>
                <c:formatCode>0.00000</c:formatCode>
                <c:ptCount val="201"/>
                <c:pt idx="0">
                  <c:v>2.4899999999999998E-4</c:v>
                </c:pt>
                <c:pt idx="1">
                  <c:v>3.6000000000000001E-5</c:v>
                </c:pt>
                <c:pt idx="2">
                  <c:v>2.9E-5</c:v>
                </c:pt>
                <c:pt idx="3">
                  <c:v>1.12E-4</c:v>
                </c:pt>
                <c:pt idx="4">
                  <c:v>1.8999999999999998E-4</c:v>
                </c:pt>
                <c:pt idx="5">
                  <c:v>3.59E-4</c:v>
                </c:pt>
                <c:pt idx="6">
                  <c:v>7.0699999999999984E-4</c:v>
                </c:pt>
                <c:pt idx="7">
                  <c:v>9.5299999999999996E-4</c:v>
                </c:pt>
                <c:pt idx="8">
                  <c:v>2.3670000000000002E-3</c:v>
                </c:pt>
                <c:pt idx="9">
                  <c:v>9.1120000000000003E-3</c:v>
                </c:pt>
                <c:pt idx="10">
                  <c:v>3.8022E-2</c:v>
                </c:pt>
                <c:pt idx="11">
                  <c:v>0.13845399999999999</c:v>
                </c:pt>
                <c:pt idx="12">
                  <c:v>0.41565000000000002</c:v>
                </c:pt>
                <c:pt idx="13">
                  <c:v>1.035261</c:v>
                </c:pt>
                <c:pt idx="14">
                  <c:v>2.1850969999999998</c:v>
                </c:pt>
                <c:pt idx="15">
                  <c:v>3.8865180000000001</c:v>
                </c:pt>
                <c:pt idx="16">
                  <c:v>6.0688149999999998</c:v>
                </c:pt>
                <c:pt idx="17">
                  <c:v>8.58657</c:v>
                </c:pt>
                <c:pt idx="18">
                  <c:v>11.161436999999999</c:v>
                </c:pt>
                <c:pt idx="19">
                  <c:v>13.536184</c:v>
                </c:pt>
                <c:pt idx="20">
                  <c:v>15.697712000000001</c:v>
                </c:pt>
                <c:pt idx="21">
                  <c:v>17.708372000000001</c:v>
                </c:pt>
                <c:pt idx="22">
                  <c:v>19.464821000000001</c:v>
                </c:pt>
                <c:pt idx="23">
                  <c:v>20.642118</c:v>
                </c:pt>
                <c:pt idx="24">
                  <c:v>21.560465000000004</c:v>
                </c:pt>
                <c:pt idx="25">
                  <c:v>22.472481999999999</c:v>
                </c:pt>
                <c:pt idx="26">
                  <c:v>23.302347999999999</c:v>
                </c:pt>
                <c:pt idx="27">
                  <c:v>23.731106999999998</c:v>
                </c:pt>
                <c:pt idx="28">
                  <c:v>24.009360000000001</c:v>
                </c:pt>
                <c:pt idx="29">
                  <c:v>24.323831999999999</c:v>
                </c:pt>
                <c:pt idx="30">
                  <c:v>24.256630999999999</c:v>
                </c:pt>
                <c:pt idx="31">
                  <c:v>24.606532999999999</c:v>
                </c:pt>
                <c:pt idx="32">
                  <c:v>25.054390999999999</c:v>
                </c:pt>
                <c:pt idx="33">
                  <c:v>25.316342000000002</c:v>
                </c:pt>
                <c:pt idx="34">
                  <c:v>25.487736999999999</c:v>
                </c:pt>
                <c:pt idx="35">
                  <c:v>25.574001999999997</c:v>
                </c:pt>
                <c:pt idx="36">
                  <c:v>25.686956999999996</c:v>
                </c:pt>
                <c:pt idx="37">
                  <c:v>25.791747000000001</c:v>
                </c:pt>
                <c:pt idx="38">
                  <c:v>25.545771999999999</c:v>
                </c:pt>
                <c:pt idx="39">
                  <c:v>25.198784</c:v>
                </c:pt>
                <c:pt idx="40">
                  <c:v>25.072778</c:v>
                </c:pt>
                <c:pt idx="41">
                  <c:v>25.032769999999999</c:v>
                </c:pt>
                <c:pt idx="42">
                  <c:v>24.894696999999997</c:v>
                </c:pt>
                <c:pt idx="43">
                  <c:v>24.585804</c:v>
                </c:pt>
                <c:pt idx="44">
                  <c:v>24.384345</c:v>
                </c:pt>
                <c:pt idx="45">
                  <c:v>24.193466000000001</c:v>
                </c:pt>
                <c:pt idx="46">
                  <c:v>24.149094000000002</c:v>
                </c:pt>
                <c:pt idx="47">
                  <c:v>23.964219</c:v>
                </c:pt>
                <c:pt idx="48">
                  <c:v>23.821695999999999</c:v>
                </c:pt>
                <c:pt idx="49">
                  <c:v>23.774229999999999</c:v>
                </c:pt>
                <c:pt idx="50">
                  <c:v>23.924606999999998</c:v>
                </c:pt>
                <c:pt idx="51">
                  <c:v>24.216695000000001</c:v>
                </c:pt>
                <c:pt idx="52">
                  <c:v>24.427430999999999</c:v>
                </c:pt>
                <c:pt idx="53">
                  <c:v>24.576367000000001</c:v>
                </c:pt>
                <c:pt idx="54">
                  <c:v>24.675871999999998</c:v>
                </c:pt>
                <c:pt idx="55">
                  <c:v>24.722206</c:v>
                </c:pt>
                <c:pt idx="56">
                  <c:v>24.915567999999997</c:v>
                </c:pt>
                <c:pt idx="57">
                  <c:v>25.120926000000001</c:v>
                </c:pt>
                <c:pt idx="58">
                  <c:v>25.077914000000003</c:v>
                </c:pt>
                <c:pt idx="59">
                  <c:v>25.083290999999999</c:v>
                </c:pt>
                <c:pt idx="60">
                  <c:v>24.979907000000001</c:v>
                </c:pt>
                <c:pt idx="61">
                  <c:v>24.8322</c:v>
                </c:pt>
                <c:pt idx="62">
                  <c:v>25.0823</c:v>
                </c:pt>
                <c:pt idx="63">
                  <c:v>25.253342</c:v>
                </c:pt>
                <c:pt idx="64">
                  <c:v>25.244746000000003</c:v>
                </c:pt>
                <c:pt idx="65">
                  <c:v>25.372287</c:v>
                </c:pt>
                <c:pt idx="66">
                  <c:v>25.765716000000001</c:v>
                </c:pt>
                <c:pt idx="67">
                  <c:v>26.273765999999998</c:v>
                </c:pt>
                <c:pt idx="68">
                  <c:v>27.045960999999995</c:v>
                </c:pt>
                <c:pt idx="69">
                  <c:v>28.073751999999999</c:v>
                </c:pt>
                <c:pt idx="70">
                  <c:v>28.997420000000002</c:v>
                </c:pt>
                <c:pt idx="71">
                  <c:v>29.941279999999995</c:v>
                </c:pt>
                <c:pt idx="72">
                  <c:v>31.122237999999999</c:v>
                </c:pt>
                <c:pt idx="73">
                  <c:v>32.370758000000002</c:v>
                </c:pt>
                <c:pt idx="74">
                  <c:v>33.614170999999999</c:v>
                </c:pt>
                <c:pt idx="75">
                  <c:v>34.758786000000001</c:v>
                </c:pt>
                <c:pt idx="76">
                  <c:v>35.750788</c:v>
                </c:pt>
                <c:pt idx="77">
                  <c:v>36.909387000000002</c:v>
                </c:pt>
                <c:pt idx="78">
                  <c:v>37.969073999999999</c:v>
                </c:pt>
                <c:pt idx="79">
                  <c:v>38.885196000000001</c:v>
                </c:pt>
                <c:pt idx="80">
                  <c:v>40.031165999999999</c:v>
                </c:pt>
                <c:pt idx="81">
                  <c:v>41.057777000000002</c:v>
                </c:pt>
                <c:pt idx="82">
                  <c:v>41.833513000000004</c:v>
                </c:pt>
                <c:pt idx="83">
                  <c:v>42.582124999999998</c:v>
                </c:pt>
                <c:pt idx="84">
                  <c:v>43.463729000000001</c:v>
                </c:pt>
                <c:pt idx="85">
                  <c:v>44.447778999999997</c:v>
                </c:pt>
                <c:pt idx="86">
                  <c:v>45.630833000000003</c:v>
                </c:pt>
                <c:pt idx="87">
                  <c:v>46.876787999999998</c:v>
                </c:pt>
                <c:pt idx="88">
                  <c:v>48.135255000000001</c:v>
                </c:pt>
                <c:pt idx="89">
                  <c:v>49.792439000000002</c:v>
                </c:pt>
                <c:pt idx="90">
                  <c:v>51.297255999999997</c:v>
                </c:pt>
                <c:pt idx="91">
                  <c:v>53.255761999999997</c:v>
                </c:pt>
                <c:pt idx="92">
                  <c:v>55.012858999999999</c:v>
                </c:pt>
                <c:pt idx="93">
                  <c:v>57.420037000000001</c:v>
                </c:pt>
                <c:pt idx="94">
                  <c:v>59.885354999999997</c:v>
                </c:pt>
                <c:pt idx="95">
                  <c:v>62.128019999999999</c:v>
                </c:pt>
                <c:pt idx="96">
                  <c:v>65.365198000000007</c:v>
                </c:pt>
                <c:pt idx="97">
                  <c:v>68.204173999999995</c:v>
                </c:pt>
                <c:pt idx="98">
                  <c:v>70.537988999999996</c:v>
                </c:pt>
                <c:pt idx="99">
                  <c:v>73.077676999999994</c:v>
                </c:pt>
                <c:pt idx="100">
                  <c:v>75.287988999999996</c:v>
                </c:pt>
                <c:pt idx="101">
                  <c:v>77.549081999999999</c:v>
                </c:pt>
                <c:pt idx="102">
                  <c:v>79.928966000000003</c:v>
                </c:pt>
                <c:pt idx="103">
                  <c:v>81.701385999999999</c:v>
                </c:pt>
                <c:pt idx="104">
                  <c:v>83.699697</c:v>
                </c:pt>
                <c:pt idx="105">
                  <c:v>84.503159999999994</c:v>
                </c:pt>
                <c:pt idx="106">
                  <c:v>85.981419000000002</c:v>
                </c:pt>
                <c:pt idx="107">
                  <c:v>87.914904000000021</c:v>
                </c:pt>
                <c:pt idx="108">
                  <c:v>88.480001000000001</c:v>
                </c:pt>
                <c:pt idx="109">
                  <c:v>89.446646999999999</c:v>
                </c:pt>
                <c:pt idx="110">
                  <c:v>90.024591999999998</c:v>
                </c:pt>
                <c:pt idx="111">
                  <c:v>90.914817000000014</c:v>
                </c:pt>
                <c:pt idx="112">
                  <c:v>91.575416000000004</c:v>
                </c:pt>
                <c:pt idx="113">
                  <c:v>92.275813000000014</c:v>
                </c:pt>
                <c:pt idx="114">
                  <c:v>92.960154000000003</c:v>
                </c:pt>
                <c:pt idx="115">
                  <c:v>93.467961000000003</c:v>
                </c:pt>
                <c:pt idx="116">
                  <c:v>92.483128000000008</c:v>
                </c:pt>
                <c:pt idx="117">
                  <c:v>91.771337000000003</c:v>
                </c:pt>
                <c:pt idx="118">
                  <c:v>92.264795000000007</c:v>
                </c:pt>
                <c:pt idx="119">
                  <c:v>93.087579000000005</c:v>
                </c:pt>
                <c:pt idx="120">
                  <c:v>92.689284999999998</c:v>
                </c:pt>
                <c:pt idx="121">
                  <c:v>92.692826000000011</c:v>
                </c:pt>
                <c:pt idx="122">
                  <c:v>93.373283000000001</c:v>
                </c:pt>
                <c:pt idx="123">
                  <c:v>93.646037000000021</c:v>
                </c:pt>
                <c:pt idx="124">
                  <c:v>93.529591999999994</c:v>
                </c:pt>
                <c:pt idx="125">
                  <c:v>93.196393999999998</c:v>
                </c:pt>
                <c:pt idx="126">
                  <c:v>93.770420000000001</c:v>
                </c:pt>
                <c:pt idx="127">
                  <c:v>93.931573999999998</c:v>
                </c:pt>
                <c:pt idx="128">
                  <c:v>92.609662999999998</c:v>
                </c:pt>
                <c:pt idx="129">
                  <c:v>93.048798999999988</c:v>
                </c:pt>
                <c:pt idx="130">
                  <c:v>93.514828000000009</c:v>
                </c:pt>
                <c:pt idx="131">
                  <c:v>94.165863999999999</c:v>
                </c:pt>
                <c:pt idx="132">
                  <c:v>93.990161000000001</c:v>
                </c:pt>
                <c:pt idx="133">
                  <c:v>93.068519999999992</c:v>
                </c:pt>
                <c:pt idx="134">
                  <c:v>94.664224000000004</c:v>
                </c:pt>
                <c:pt idx="135">
                  <c:v>93.840883000000005</c:v>
                </c:pt>
                <c:pt idx="136">
                  <c:v>92.794985999999994</c:v>
                </c:pt>
                <c:pt idx="137">
                  <c:v>92.979236</c:v>
                </c:pt>
                <c:pt idx="138">
                  <c:v>93.085481000000001</c:v>
                </c:pt>
                <c:pt idx="139">
                  <c:v>93.597361000000021</c:v>
                </c:pt>
                <c:pt idx="140">
                  <c:v>94.131265999999997</c:v>
                </c:pt>
                <c:pt idx="141">
                  <c:v>94.588494000000011</c:v>
                </c:pt>
                <c:pt idx="142">
                  <c:v>94.60274299999999</c:v>
                </c:pt>
                <c:pt idx="143">
                  <c:v>95.062461999999996</c:v>
                </c:pt>
                <c:pt idx="144">
                  <c:v>94.432390999999996</c:v>
                </c:pt>
                <c:pt idx="145">
                  <c:v>94.482320999999999</c:v>
                </c:pt>
                <c:pt idx="146">
                  <c:v>94.542742000000018</c:v>
                </c:pt>
                <c:pt idx="147">
                  <c:v>95.163646000000014</c:v>
                </c:pt>
                <c:pt idx="148">
                  <c:v>94.212755999999999</c:v>
                </c:pt>
                <c:pt idx="149">
                  <c:v>93.475666000000004</c:v>
                </c:pt>
                <c:pt idx="150">
                  <c:v>93.706688</c:v>
                </c:pt>
                <c:pt idx="151">
                  <c:v>93.691220000000001</c:v>
                </c:pt>
                <c:pt idx="152">
                  <c:v>94.368523999999994</c:v>
                </c:pt>
                <c:pt idx="153">
                  <c:v>93.834879999999998</c:v>
                </c:pt>
                <c:pt idx="154">
                  <c:v>94.801017999999999</c:v>
                </c:pt>
                <c:pt idx="155">
                  <c:v>94.736328</c:v>
                </c:pt>
                <c:pt idx="156">
                  <c:v>94.497060999999988</c:v>
                </c:pt>
                <c:pt idx="157">
                  <c:v>93.889214999999993</c:v>
                </c:pt>
                <c:pt idx="158">
                  <c:v>94.010195999999993</c:v>
                </c:pt>
                <c:pt idx="159">
                  <c:v>93.721763999999993</c:v>
                </c:pt>
                <c:pt idx="160">
                  <c:v>93.422753999999998</c:v>
                </c:pt>
                <c:pt idx="161">
                  <c:v>94.602897999999996</c:v>
                </c:pt>
                <c:pt idx="162">
                  <c:v>94.075936999999996</c:v>
                </c:pt>
                <c:pt idx="163">
                  <c:v>95.530641000000003</c:v>
                </c:pt>
                <c:pt idx="164">
                  <c:v>93.954334000000003</c:v>
                </c:pt>
                <c:pt idx="165">
                  <c:v>95.790458000000001</c:v>
                </c:pt>
                <c:pt idx="166">
                  <c:v>95.260420999999994</c:v>
                </c:pt>
                <c:pt idx="167">
                  <c:v>95.097559000000004</c:v>
                </c:pt>
                <c:pt idx="168">
                  <c:v>94.603509999999986</c:v>
                </c:pt>
                <c:pt idx="169">
                  <c:v>95.239714000000006</c:v>
                </c:pt>
                <c:pt idx="170">
                  <c:v>95.161606000000006</c:v>
                </c:pt>
                <c:pt idx="171">
                  <c:v>94.985342000000003</c:v>
                </c:pt>
                <c:pt idx="172">
                  <c:v>94.523664999999994</c:v>
                </c:pt>
                <c:pt idx="173">
                  <c:v>94.645382999999995</c:v>
                </c:pt>
                <c:pt idx="174">
                  <c:v>94.988404000000003</c:v>
                </c:pt>
                <c:pt idx="175">
                  <c:v>93.129793000000006</c:v>
                </c:pt>
                <c:pt idx="176">
                  <c:v>94.524096999999998</c:v>
                </c:pt>
                <c:pt idx="177">
                  <c:v>94.268410000000003</c:v>
                </c:pt>
                <c:pt idx="178">
                  <c:v>95.390950000000018</c:v>
                </c:pt>
                <c:pt idx="179">
                  <c:v>94.440247999999997</c:v>
                </c:pt>
                <c:pt idx="180">
                  <c:v>95.572942999999995</c:v>
                </c:pt>
                <c:pt idx="181">
                  <c:v>95.306290000000004</c:v>
                </c:pt>
                <c:pt idx="182">
                  <c:v>95.118787999999995</c:v>
                </c:pt>
                <c:pt idx="183">
                  <c:v>96.168958000000018</c:v>
                </c:pt>
                <c:pt idx="184">
                  <c:v>94.172901999999979</c:v>
                </c:pt>
                <c:pt idx="185">
                  <c:v>95.103379000000004</c:v>
                </c:pt>
                <c:pt idx="186">
                  <c:v>95.722368000000003</c:v>
                </c:pt>
                <c:pt idx="187">
                  <c:v>95.524277999999995</c:v>
                </c:pt>
                <c:pt idx="188">
                  <c:v>95.475848999999997</c:v>
                </c:pt>
                <c:pt idx="189">
                  <c:v>94.971452999999997</c:v>
                </c:pt>
                <c:pt idx="190">
                  <c:v>96.085420999999997</c:v>
                </c:pt>
                <c:pt idx="191">
                  <c:v>95.371624999999995</c:v>
                </c:pt>
                <c:pt idx="192">
                  <c:v>94.382408999999996</c:v>
                </c:pt>
                <c:pt idx="193">
                  <c:v>95.271404000000004</c:v>
                </c:pt>
                <c:pt idx="194">
                  <c:v>95.004902000000001</c:v>
                </c:pt>
                <c:pt idx="195">
                  <c:v>95.592535999999996</c:v>
                </c:pt>
                <c:pt idx="196">
                  <c:v>95.300888</c:v>
                </c:pt>
                <c:pt idx="197">
                  <c:v>93.849866000000006</c:v>
                </c:pt>
                <c:pt idx="198">
                  <c:v>95.382890000000017</c:v>
                </c:pt>
                <c:pt idx="199">
                  <c:v>94.939350000000005</c:v>
                </c:pt>
                <c:pt idx="200">
                  <c:v>94.508484999999993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2137168"/>
        <c:axId val="462147248"/>
      </c:lineChart>
      <c:catAx>
        <c:axId val="4621371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Wavelength [nm]</a:t>
                </a:r>
              </a:p>
            </c:rich>
          </c:tx>
          <c:layout>
            <c:manualLayout>
              <c:xMode val="edge"/>
              <c:yMode val="edge"/>
              <c:x val="0.47746244116179692"/>
              <c:y val="0.901069518716577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147248"/>
        <c:crosses val="autoZero"/>
        <c:auto val="1"/>
        <c:lblAlgn val="ctr"/>
        <c:lblOffset val="100"/>
        <c:tickLblSkip val="10"/>
        <c:tickMarkSkip val="10"/>
        <c:noMultiLvlLbl val="0"/>
      </c:catAx>
      <c:valAx>
        <c:axId val="462147248"/>
        <c:scaling>
          <c:orientation val="minMax"/>
          <c:max val="1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Transmission [%]</a:t>
                </a:r>
              </a:p>
            </c:rich>
          </c:tx>
          <c:layout>
            <c:manualLayout>
              <c:xMode val="edge"/>
              <c:yMode val="edge"/>
              <c:x val="2.6711264397735406E-2"/>
              <c:y val="0.35561497326203206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213716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55" r="0.75000000000000255" t="1" header="0.5" footer="0.5"/>
    <c:pageSetup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Color Limit Regions of Acceptance</a:t>
            </a:r>
          </a:p>
        </c:rich>
      </c:tx>
      <c:layout>
        <c:manualLayout>
          <c:xMode val="edge"/>
          <c:yMode val="edge"/>
          <c:x val="0.27347608465744394"/>
          <c:y val="2.5575447570332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86162403922346"/>
          <c:y val="0.11253196930946247"/>
          <c:w val="0.83855092166176637"/>
          <c:h val="0.6751918158567829"/>
        </c:manualLayout>
      </c:layout>
      <c:scatterChart>
        <c:scatterStyle val="lineMarker"/>
        <c:varyColors val="0"/>
        <c:ser>
          <c:idx val="0"/>
          <c:order val="0"/>
          <c:tx>
            <c:v>Green Signal Chromaticity</c:v>
          </c:tx>
          <c:spPr>
            <a:ln w="28575">
              <a:noFill/>
            </a:ln>
          </c:spPr>
          <c:marker>
            <c:symbol val="diamond"/>
            <c:size val="8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'Chromaticity Diagram'!$D$7</c:f>
              <c:numCache>
                <c:formatCode>General</c:formatCode>
                <c:ptCount val="1"/>
                <c:pt idx="0">
                  <c:v>0.28533383661524631</c:v>
                </c:pt>
              </c:numCache>
            </c:numRef>
          </c:xVal>
          <c:yVal>
            <c:numRef>
              <c:f>'Chromaticity Diagram'!$E$7</c:f>
              <c:numCache>
                <c:formatCode>General</c:formatCode>
                <c:ptCount val="1"/>
                <c:pt idx="0">
                  <c:v>0.45453000598618615</c:v>
                </c:pt>
              </c:numCache>
            </c:numRef>
          </c:yVal>
          <c:smooth val="0"/>
        </c:ser>
        <c:ser>
          <c:idx val="1"/>
          <c:order val="1"/>
          <c:tx>
            <c:v>Yellow Signal Chromaticity</c:v>
          </c:tx>
          <c:spPr>
            <a:ln w="28575">
              <a:noFill/>
            </a:ln>
          </c:spPr>
          <c:marker>
            <c:symbol val="square"/>
            <c:size val="8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'Chromaticity Diagram'!$D$11</c:f>
              <c:numCache>
                <c:formatCode>General</c:formatCode>
                <c:ptCount val="1"/>
                <c:pt idx="0">
                  <c:v>0.60423750502060458</c:v>
                </c:pt>
              </c:numCache>
            </c:numRef>
          </c:xVal>
          <c:yVal>
            <c:numRef>
              <c:f>'Chromaticity Diagram'!$E$11</c:f>
              <c:numCache>
                <c:formatCode>General</c:formatCode>
                <c:ptCount val="1"/>
                <c:pt idx="0">
                  <c:v>0.39489820144348392</c:v>
                </c:pt>
              </c:numCache>
            </c:numRef>
          </c:yVal>
          <c:smooth val="0"/>
        </c:ser>
        <c:ser>
          <c:idx val="2"/>
          <c:order val="2"/>
          <c:tx>
            <c:v>D65 Daylight Chromaticity</c:v>
          </c:tx>
          <c:spPr>
            <a:ln w="28575">
              <a:noFill/>
            </a:ln>
          </c:spPr>
          <c:marker>
            <c:symbol val="triangle"/>
            <c:size val="8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'Chromaticity Diagram'!$D$15</c:f>
              <c:numCache>
                <c:formatCode>General</c:formatCode>
                <c:ptCount val="1"/>
                <c:pt idx="0">
                  <c:v>0.44133884551046249</c:v>
                </c:pt>
              </c:numCache>
            </c:numRef>
          </c:xVal>
          <c:yVal>
            <c:numRef>
              <c:f>'Chromaticity Diagram'!$E$15</c:f>
              <c:numCache>
                <c:formatCode>General</c:formatCode>
                <c:ptCount val="1"/>
                <c:pt idx="0">
                  <c:v>0.38003911949938801</c:v>
                </c:pt>
              </c:numCache>
            </c:numRef>
          </c:yVal>
          <c:smooth val="0"/>
        </c:ser>
        <c:ser>
          <c:idx val="3"/>
          <c:order val="3"/>
          <c:tx>
            <c:v>Yellow Region of Acceptance</c:v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'Chromaticity Diagram'!$A$7:$A$10</c:f>
              <c:numCache>
                <c:formatCode>0.000</c:formatCode>
                <c:ptCount val="4"/>
                <c:pt idx="0">
                  <c:v>0.435</c:v>
                </c:pt>
                <c:pt idx="1">
                  <c:v>0.375</c:v>
                </c:pt>
                <c:pt idx="2">
                  <c:v>0.59499999999999997</c:v>
                </c:pt>
                <c:pt idx="3">
                  <c:v>0.65500000000000003</c:v>
                </c:pt>
              </c:numCache>
            </c:numRef>
          </c:xVal>
          <c:yVal>
            <c:numRef>
              <c:f>'Chromaticity Diagram'!$B$7:$B$10</c:f>
              <c:numCache>
                <c:formatCode>0.000</c:formatCode>
                <c:ptCount val="4"/>
                <c:pt idx="0">
                  <c:v>0.56499999999999995</c:v>
                </c:pt>
                <c:pt idx="1">
                  <c:v>0.56499999999999995</c:v>
                </c:pt>
                <c:pt idx="2">
                  <c:v>0.34499999999999997</c:v>
                </c:pt>
                <c:pt idx="3">
                  <c:v>0.34499999999999997</c:v>
                </c:pt>
              </c:numCache>
            </c:numRef>
          </c:yVal>
          <c:smooth val="0"/>
        </c:ser>
        <c:ser>
          <c:idx val="4"/>
          <c:order val="4"/>
          <c:tx>
            <c:v>Green Region of Acceptance</c:v>
          </c:tx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'Chromaticity Diagram'!$A$14:$A$18</c:f>
              <c:numCache>
                <c:formatCode>0.000</c:formatCode>
                <c:ptCount val="5"/>
                <c:pt idx="0">
                  <c:v>3.7999999999999999E-2</c:v>
                </c:pt>
                <c:pt idx="1">
                  <c:v>0.20499999999999999</c:v>
                </c:pt>
                <c:pt idx="2">
                  <c:v>0.34499999999999997</c:v>
                </c:pt>
                <c:pt idx="3">
                  <c:v>0.313</c:v>
                </c:pt>
                <c:pt idx="4">
                  <c:v>0.08</c:v>
                </c:pt>
              </c:numCache>
            </c:numRef>
          </c:xVal>
          <c:yVal>
            <c:numRef>
              <c:f>'Chromaticity Diagram'!$B$14:$B$18</c:f>
              <c:numCache>
                <c:formatCode>0.000</c:formatCode>
                <c:ptCount val="5"/>
                <c:pt idx="0">
                  <c:v>0.33</c:v>
                </c:pt>
                <c:pt idx="1">
                  <c:v>0.33</c:v>
                </c:pt>
                <c:pt idx="2">
                  <c:v>0.44</c:v>
                </c:pt>
                <c:pt idx="3">
                  <c:v>0.62</c:v>
                </c:pt>
                <c:pt idx="4">
                  <c:v>0.83499999999999996</c:v>
                </c:pt>
              </c:numCache>
            </c:numRef>
          </c:yVal>
          <c:smooth val="0"/>
        </c:ser>
        <c:ser>
          <c:idx val="5"/>
          <c:order val="5"/>
          <c:tx>
            <c:v>D65 Region of Acceptance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'Chromaticity Diagram'!$A$22:$A$51</c:f>
              <c:numCache>
                <c:formatCode>0.000</c:formatCode>
                <c:ptCount val="30"/>
                <c:pt idx="0">
                  <c:v>0.45500000000000002</c:v>
                </c:pt>
                <c:pt idx="1">
                  <c:v>0.46500000000000002</c:v>
                </c:pt>
                <c:pt idx="2">
                  <c:v>0.46500000000000002</c:v>
                </c:pt>
                <c:pt idx="3">
                  <c:v>0.45500000000000002</c:v>
                </c:pt>
                <c:pt idx="4">
                  <c:v>0.42499999999999999</c:v>
                </c:pt>
                <c:pt idx="5">
                  <c:v>0.41</c:v>
                </c:pt>
                <c:pt idx="6">
                  <c:v>0.38500000000000001</c:v>
                </c:pt>
                <c:pt idx="7">
                  <c:v>0.36</c:v>
                </c:pt>
                <c:pt idx="8">
                  <c:v>0.33</c:v>
                </c:pt>
                <c:pt idx="9">
                  <c:v>0.29499999999999998</c:v>
                </c:pt>
                <c:pt idx="10">
                  <c:v>0.25</c:v>
                </c:pt>
                <c:pt idx="11">
                  <c:v>0.22500000000000001</c:v>
                </c:pt>
                <c:pt idx="12">
                  <c:v>0.2</c:v>
                </c:pt>
                <c:pt idx="13">
                  <c:v>0.18</c:v>
                </c:pt>
                <c:pt idx="14">
                  <c:v>0.17499999999999999</c:v>
                </c:pt>
                <c:pt idx="15">
                  <c:v>0.18</c:v>
                </c:pt>
                <c:pt idx="16">
                  <c:v>0.185</c:v>
                </c:pt>
                <c:pt idx="17">
                  <c:v>0.2</c:v>
                </c:pt>
                <c:pt idx="18">
                  <c:v>0.215</c:v>
                </c:pt>
                <c:pt idx="19">
                  <c:v>0.23400000000000001</c:v>
                </c:pt>
                <c:pt idx="20">
                  <c:v>0.255</c:v>
                </c:pt>
                <c:pt idx="21">
                  <c:v>0.28000000000000003</c:v>
                </c:pt>
                <c:pt idx="22">
                  <c:v>0.31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0.36499999999999999</c:v>
                </c:pt>
                <c:pt idx="26">
                  <c:v>0.39500000000000002</c:v>
                </c:pt>
                <c:pt idx="27">
                  <c:v>0.42499999999999999</c:v>
                </c:pt>
                <c:pt idx="28">
                  <c:v>0.44</c:v>
                </c:pt>
                <c:pt idx="29">
                  <c:v>0.45500000000000002</c:v>
                </c:pt>
              </c:numCache>
            </c:numRef>
          </c:xVal>
          <c:yVal>
            <c:numRef>
              <c:f>'Chromaticity Diagram'!$B$22:$B$51</c:f>
              <c:numCache>
                <c:formatCode>0.000</c:formatCode>
                <c:ptCount val="30"/>
                <c:pt idx="0">
                  <c:v>0.43</c:v>
                </c:pt>
                <c:pt idx="1">
                  <c:v>0.41</c:v>
                </c:pt>
                <c:pt idx="2">
                  <c:v>0.39</c:v>
                </c:pt>
                <c:pt idx="3">
                  <c:v>0.37</c:v>
                </c:pt>
                <c:pt idx="4">
                  <c:v>0.34</c:v>
                </c:pt>
                <c:pt idx="5">
                  <c:v>0.32500000000000001</c:v>
                </c:pt>
                <c:pt idx="6">
                  <c:v>0.30499999999999999</c:v>
                </c:pt>
                <c:pt idx="7">
                  <c:v>0.28999999999999998</c:v>
                </c:pt>
                <c:pt idx="8">
                  <c:v>0.27</c:v>
                </c:pt>
                <c:pt idx="9">
                  <c:v>0.25</c:v>
                </c:pt>
                <c:pt idx="10">
                  <c:v>0.23</c:v>
                </c:pt>
                <c:pt idx="11">
                  <c:v>0.22500000000000001</c:v>
                </c:pt>
                <c:pt idx="12">
                  <c:v>0.23</c:v>
                </c:pt>
                <c:pt idx="13">
                  <c:v>0.25</c:v>
                </c:pt>
                <c:pt idx="14">
                  <c:v>0.27</c:v>
                </c:pt>
                <c:pt idx="15">
                  <c:v>0.28999999999999998</c:v>
                </c:pt>
                <c:pt idx="16">
                  <c:v>0.31</c:v>
                </c:pt>
                <c:pt idx="17">
                  <c:v>0.33</c:v>
                </c:pt>
                <c:pt idx="18">
                  <c:v>0.35</c:v>
                </c:pt>
                <c:pt idx="19">
                  <c:v>0.37</c:v>
                </c:pt>
                <c:pt idx="20">
                  <c:v>0.39</c:v>
                </c:pt>
                <c:pt idx="21">
                  <c:v>0.41</c:v>
                </c:pt>
                <c:pt idx="22">
                  <c:v>0.43</c:v>
                </c:pt>
                <c:pt idx="23">
                  <c:v>0.44</c:v>
                </c:pt>
                <c:pt idx="24">
                  <c:v>0.45</c:v>
                </c:pt>
                <c:pt idx="25">
                  <c:v>0.45500000000000002</c:v>
                </c:pt>
                <c:pt idx="26">
                  <c:v>0.46</c:v>
                </c:pt>
                <c:pt idx="27">
                  <c:v>0.45500000000000002</c:v>
                </c:pt>
                <c:pt idx="28">
                  <c:v>0.44500000000000001</c:v>
                </c:pt>
                <c:pt idx="29">
                  <c:v>0.43</c:v>
                </c:pt>
              </c:numCache>
            </c:numRef>
          </c:yVal>
          <c:smooth val="0"/>
        </c:ser>
        <c:ser>
          <c:idx val="6"/>
          <c:order val="6"/>
          <c:tx>
            <c:v>D65 White Point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'Chromaticity Diagram'!$D$19</c:f>
              <c:numCache>
                <c:formatCode>General</c:formatCode>
                <c:ptCount val="1"/>
                <c:pt idx="0">
                  <c:v>0.31270999999999999</c:v>
                </c:pt>
              </c:numCache>
            </c:numRef>
          </c:xVal>
          <c:yVal>
            <c:numRef>
              <c:f>'Chromaticity Diagram'!$E$19</c:f>
              <c:numCache>
                <c:formatCode>General</c:formatCode>
                <c:ptCount val="1"/>
                <c:pt idx="0">
                  <c:v>0.32901999999999998</c:v>
                </c:pt>
              </c:numCache>
            </c:numRef>
          </c:yVal>
          <c:smooth val="0"/>
        </c:ser>
        <c:ser>
          <c:idx val="7"/>
          <c:order val="7"/>
          <c:tx>
            <c:strRef>
              <c:f>'Chromaticity Diagram'!$D$21</c:f>
              <c:strCache>
                <c:ptCount val="1"/>
                <c:pt idx="0">
                  <c:v>IIlC Daylight Coordinates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6"/>
            <c:spPr>
              <a:ln>
                <a:solidFill>
                  <a:sysClr val="windowText" lastClr="000000"/>
                </a:solidFill>
              </a:ln>
            </c:spPr>
          </c:marker>
          <c:xVal>
            <c:numRef>
              <c:f>'Chromaticity Diagram'!$D$23</c:f>
              <c:numCache>
                <c:formatCode>General</c:formatCode>
                <c:ptCount val="1"/>
                <c:pt idx="0">
                  <c:v>0.43899802716733449</c:v>
                </c:pt>
              </c:numCache>
            </c:numRef>
          </c:xVal>
          <c:yVal>
            <c:numRef>
              <c:f>'Chromaticity Diagram'!$E$23</c:f>
              <c:numCache>
                <c:formatCode>General</c:formatCode>
                <c:ptCount val="1"/>
                <c:pt idx="0">
                  <c:v>0.37223587546605363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'Chromaticity Diagram'!$A$53</c:f>
              <c:strCache>
                <c:ptCount val="1"/>
                <c:pt idx="0">
                  <c:v>IllC Region of Acceptance</c:v>
                </c:pt>
              </c:strCache>
            </c:strRef>
          </c:tx>
          <c:spPr>
            <a:ln w="1587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'Chromaticity Diagram'!$A$55:$A$80</c:f>
              <c:numCache>
                <c:formatCode>0.000</c:formatCode>
                <c:ptCount val="26"/>
                <c:pt idx="0">
                  <c:v>0.35396004700352524</c:v>
                </c:pt>
                <c:pt idx="1">
                  <c:v>0.3528437132784959</c:v>
                </c:pt>
                <c:pt idx="2">
                  <c:v>0.35121034077555813</c:v>
                </c:pt>
                <c:pt idx="3">
                  <c:v>0.34742655699177438</c:v>
                </c:pt>
                <c:pt idx="4">
                  <c:v>0.34178613396004698</c:v>
                </c:pt>
                <c:pt idx="5">
                  <c:v>0.33423031727379554</c:v>
                </c:pt>
                <c:pt idx="6">
                  <c:v>0.32868390129259695</c:v>
                </c:pt>
                <c:pt idx="7">
                  <c:v>0.31533490011750881</c:v>
                </c:pt>
                <c:pt idx="8">
                  <c:v>0.29869565217391303</c:v>
                </c:pt>
                <c:pt idx="9">
                  <c:v>0.28565217391304348</c:v>
                </c:pt>
                <c:pt idx="10">
                  <c:v>0.28125734430082255</c:v>
                </c:pt>
                <c:pt idx="11">
                  <c:v>0.27880141010575799</c:v>
                </c:pt>
                <c:pt idx="12">
                  <c:v>0.27893066980023506</c:v>
                </c:pt>
                <c:pt idx="13">
                  <c:v>0.28271445358401875</c:v>
                </c:pt>
                <c:pt idx="14">
                  <c:v>0.28717978848413628</c:v>
                </c:pt>
                <c:pt idx="15">
                  <c:v>0.29353701527614567</c:v>
                </c:pt>
                <c:pt idx="16">
                  <c:v>0.29841363102232665</c:v>
                </c:pt>
                <c:pt idx="17">
                  <c:v>0.30656874265569917</c:v>
                </c:pt>
                <c:pt idx="18">
                  <c:v>0.31782608695652176</c:v>
                </c:pt>
                <c:pt idx="19">
                  <c:v>0.3254641598119859</c:v>
                </c:pt>
                <c:pt idx="20">
                  <c:v>0.33152761457109287</c:v>
                </c:pt>
                <c:pt idx="21">
                  <c:v>0.33888366627497063</c:v>
                </c:pt>
                <c:pt idx="22">
                  <c:v>0.3404582843713278</c:v>
                </c:pt>
                <c:pt idx="23">
                  <c:v>0.34584018801410105</c:v>
                </c:pt>
                <c:pt idx="24">
                  <c:v>0.35314923619271443</c:v>
                </c:pt>
                <c:pt idx="25">
                  <c:v>0.35396004700352524</c:v>
                </c:pt>
              </c:numCache>
            </c:numRef>
          </c:xVal>
          <c:yVal>
            <c:numRef>
              <c:f>'Chromaticity Diagram'!$B$55:$B$80</c:f>
              <c:numCache>
                <c:formatCode>0.000</c:formatCode>
                <c:ptCount val="26"/>
                <c:pt idx="0">
                  <c:v>0.35</c:v>
                </c:pt>
                <c:pt idx="1">
                  <c:v>0.35566392479435954</c:v>
                </c:pt>
                <c:pt idx="2">
                  <c:v>0.36</c:v>
                </c:pt>
                <c:pt idx="3">
                  <c:v>0.36316098707403055</c:v>
                </c:pt>
                <c:pt idx="4">
                  <c:v>0.3643713278495887</c:v>
                </c:pt>
                <c:pt idx="5">
                  <c:v>0.36341950646298471</c:v>
                </c:pt>
                <c:pt idx="6">
                  <c:v>0.36209165687426559</c:v>
                </c:pt>
                <c:pt idx="7">
                  <c:v>0.35337250293772032</c:v>
                </c:pt>
                <c:pt idx="8">
                  <c:v>0.34</c:v>
                </c:pt>
                <c:pt idx="9">
                  <c:v>0.32658049353701529</c:v>
                </c:pt>
                <c:pt idx="10">
                  <c:v>0.3181316098707403</c:v>
                </c:pt>
                <c:pt idx="11">
                  <c:v>0.30748531139835489</c:v>
                </c:pt>
                <c:pt idx="12">
                  <c:v>0.30146886016451235</c:v>
                </c:pt>
                <c:pt idx="13">
                  <c:v>0.2951116333725029</c:v>
                </c:pt>
                <c:pt idx="14">
                  <c:v>0.29133960047003526</c:v>
                </c:pt>
                <c:pt idx="15">
                  <c:v>0.28999999999999998</c:v>
                </c:pt>
                <c:pt idx="16">
                  <c:v>0.28999999999999998</c:v>
                </c:pt>
                <c:pt idx="17">
                  <c:v>0.29334900117508811</c:v>
                </c:pt>
                <c:pt idx="18">
                  <c:v>0.3</c:v>
                </c:pt>
                <c:pt idx="19">
                  <c:v>0.30562867215041128</c:v>
                </c:pt>
                <c:pt idx="20">
                  <c:v>0.31271445358401878</c:v>
                </c:pt>
                <c:pt idx="21">
                  <c:v>0.3181433607520564</c:v>
                </c:pt>
                <c:pt idx="22">
                  <c:v>0.32116333725029378</c:v>
                </c:pt>
                <c:pt idx="23">
                  <c:v>0.32613396004700357</c:v>
                </c:pt>
                <c:pt idx="24">
                  <c:v>0.33900117508813166</c:v>
                </c:pt>
                <c:pt idx="25">
                  <c:v>0.35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544048"/>
        <c:axId val="386545168"/>
      </c:scatterChart>
      <c:valAx>
        <c:axId val="386544048"/>
        <c:scaling>
          <c:orientation val="minMax"/>
          <c:max val="0.8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</a:t>
                </a:r>
              </a:p>
            </c:rich>
          </c:tx>
          <c:layout>
            <c:manualLayout>
              <c:xMode val="edge"/>
              <c:yMode val="edge"/>
              <c:x val="0.52718329458409874"/>
              <c:y val="0.828644501278772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545168"/>
        <c:crosses val="autoZero"/>
        <c:crossBetween val="midCat"/>
        <c:majorUnit val="0.1"/>
        <c:minorUnit val="0.05"/>
      </c:valAx>
      <c:valAx>
        <c:axId val="386545168"/>
        <c:scaling>
          <c:orientation val="minMax"/>
          <c:max val="0.9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</a:t>
                </a:r>
              </a:p>
            </c:rich>
          </c:tx>
          <c:layout>
            <c:manualLayout>
              <c:xMode val="edge"/>
              <c:yMode val="edge"/>
              <c:x val="2.6359070532170428E-2"/>
              <c:y val="0.4437340153452685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544048"/>
        <c:crosses val="autoZero"/>
        <c:crossBetween val="midCat"/>
        <c:majorUnit val="0.1"/>
        <c:minorUnit val="0.05"/>
      </c:valAx>
      <c:spPr>
        <a:blipFill dpi="0" rotWithShape="0">
          <a:blip xmlns:r="http://schemas.openxmlformats.org/officeDocument/2006/relationships" r:embed="rId1"/>
          <a:srcRect/>
          <a:stretch>
            <a:fillRect/>
          </a:stretch>
        </a:blip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4681909459523104"/>
          <c:y val="0.86956521739130432"/>
          <c:w val="0.68515548933218584"/>
          <c:h val="0.125319693094629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491" r="0.74803149606299491" t="0.98425196850393659" header="0.51181102362204722" footer="0.51181102362204722"/>
    <c:pageSetup orientation="portrait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Ultraviolet Transmittance Curve</a:t>
            </a:r>
          </a:p>
        </c:rich>
      </c:tx>
      <c:layout>
        <c:manualLayout>
          <c:xMode val="edge"/>
          <c:yMode val="edge"/>
          <c:x val="0.32554261295850412"/>
          <c:y val="3.208556149732620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91151919866444"/>
          <c:y val="0.17379679144385041"/>
          <c:w val="0.82971619365609361"/>
          <c:h val="0.6390374331550851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cat>
            <c:numRef>
              <c:f>REPORT!$N$189:$N$294</c:f>
              <c:numCache>
                <c:formatCode>General</c:formatCode>
                <c:ptCount val="106"/>
                <c:pt idx="0">
                  <c:v>200</c:v>
                </c:pt>
                <c:pt idx="1">
                  <c:v>202</c:v>
                </c:pt>
                <c:pt idx="2">
                  <c:v>200</c:v>
                </c:pt>
                <c:pt idx="3">
                  <c:v>202</c:v>
                </c:pt>
                <c:pt idx="4">
                  <c:v>204</c:v>
                </c:pt>
                <c:pt idx="5">
                  <c:v>200</c:v>
                </c:pt>
                <c:pt idx="6">
                  <c:v>202</c:v>
                </c:pt>
                <c:pt idx="7">
                  <c:v>204</c:v>
                </c:pt>
                <c:pt idx="8">
                  <c:v>206</c:v>
                </c:pt>
                <c:pt idx="9">
                  <c:v>208</c:v>
                </c:pt>
                <c:pt idx="10">
                  <c:v>210</c:v>
                </c:pt>
                <c:pt idx="11">
                  <c:v>212</c:v>
                </c:pt>
                <c:pt idx="12">
                  <c:v>214</c:v>
                </c:pt>
                <c:pt idx="13">
                  <c:v>216</c:v>
                </c:pt>
                <c:pt idx="14">
                  <c:v>218</c:v>
                </c:pt>
                <c:pt idx="15">
                  <c:v>220</c:v>
                </c:pt>
                <c:pt idx="16">
                  <c:v>222</c:v>
                </c:pt>
                <c:pt idx="17">
                  <c:v>224</c:v>
                </c:pt>
                <c:pt idx="18">
                  <c:v>226</c:v>
                </c:pt>
                <c:pt idx="19">
                  <c:v>228</c:v>
                </c:pt>
                <c:pt idx="20">
                  <c:v>230</c:v>
                </c:pt>
                <c:pt idx="21">
                  <c:v>232</c:v>
                </c:pt>
                <c:pt idx="22">
                  <c:v>234</c:v>
                </c:pt>
                <c:pt idx="23">
                  <c:v>236</c:v>
                </c:pt>
                <c:pt idx="24">
                  <c:v>238</c:v>
                </c:pt>
                <c:pt idx="25">
                  <c:v>240</c:v>
                </c:pt>
                <c:pt idx="26">
                  <c:v>242</c:v>
                </c:pt>
                <c:pt idx="27">
                  <c:v>244</c:v>
                </c:pt>
                <c:pt idx="28">
                  <c:v>246</c:v>
                </c:pt>
                <c:pt idx="29">
                  <c:v>248</c:v>
                </c:pt>
                <c:pt idx="30">
                  <c:v>250</c:v>
                </c:pt>
                <c:pt idx="31">
                  <c:v>252</c:v>
                </c:pt>
                <c:pt idx="32">
                  <c:v>254</c:v>
                </c:pt>
                <c:pt idx="33">
                  <c:v>256</c:v>
                </c:pt>
                <c:pt idx="34">
                  <c:v>258</c:v>
                </c:pt>
                <c:pt idx="35">
                  <c:v>260</c:v>
                </c:pt>
                <c:pt idx="36">
                  <c:v>262</c:v>
                </c:pt>
                <c:pt idx="37">
                  <c:v>264</c:v>
                </c:pt>
                <c:pt idx="38">
                  <c:v>266</c:v>
                </c:pt>
                <c:pt idx="39">
                  <c:v>268</c:v>
                </c:pt>
                <c:pt idx="40">
                  <c:v>270</c:v>
                </c:pt>
                <c:pt idx="41">
                  <c:v>272</c:v>
                </c:pt>
                <c:pt idx="42">
                  <c:v>274</c:v>
                </c:pt>
                <c:pt idx="43">
                  <c:v>276</c:v>
                </c:pt>
                <c:pt idx="44">
                  <c:v>278</c:v>
                </c:pt>
                <c:pt idx="45">
                  <c:v>280</c:v>
                </c:pt>
                <c:pt idx="46">
                  <c:v>282</c:v>
                </c:pt>
                <c:pt idx="47">
                  <c:v>284</c:v>
                </c:pt>
                <c:pt idx="48">
                  <c:v>286</c:v>
                </c:pt>
                <c:pt idx="49">
                  <c:v>288</c:v>
                </c:pt>
                <c:pt idx="50">
                  <c:v>290</c:v>
                </c:pt>
                <c:pt idx="51">
                  <c:v>292</c:v>
                </c:pt>
                <c:pt idx="52">
                  <c:v>294</c:v>
                </c:pt>
                <c:pt idx="53">
                  <c:v>296</c:v>
                </c:pt>
                <c:pt idx="54">
                  <c:v>298</c:v>
                </c:pt>
                <c:pt idx="55">
                  <c:v>300</c:v>
                </c:pt>
                <c:pt idx="56">
                  <c:v>302</c:v>
                </c:pt>
                <c:pt idx="57">
                  <c:v>304</c:v>
                </c:pt>
                <c:pt idx="58">
                  <c:v>306</c:v>
                </c:pt>
                <c:pt idx="59">
                  <c:v>308</c:v>
                </c:pt>
                <c:pt idx="60">
                  <c:v>310</c:v>
                </c:pt>
                <c:pt idx="61">
                  <c:v>312</c:v>
                </c:pt>
                <c:pt idx="62">
                  <c:v>314</c:v>
                </c:pt>
                <c:pt idx="63">
                  <c:v>316</c:v>
                </c:pt>
                <c:pt idx="64">
                  <c:v>318</c:v>
                </c:pt>
                <c:pt idx="65">
                  <c:v>320</c:v>
                </c:pt>
                <c:pt idx="66">
                  <c:v>322</c:v>
                </c:pt>
                <c:pt idx="67">
                  <c:v>324</c:v>
                </c:pt>
                <c:pt idx="68">
                  <c:v>326</c:v>
                </c:pt>
                <c:pt idx="69">
                  <c:v>328</c:v>
                </c:pt>
                <c:pt idx="70">
                  <c:v>330</c:v>
                </c:pt>
                <c:pt idx="71">
                  <c:v>332</c:v>
                </c:pt>
                <c:pt idx="72">
                  <c:v>334</c:v>
                </c:pt>
                <c:pt idx="73">
                  <c:v>336</c:v>
                </c:pt>
                <c:pt idx="74">
                  <c:v>338</c:v>
                </c:pt>
                <c:pt idx="75">
                  <c:v>340</c:v>
                </c:pt>
                <c:pt idx="76">
                  <c:v>342</c:v>
                </c:pt>
                <c:pt idx="77">
                  <c:v>344</c:v>
                </c:pt>
                <c:pt idx="78">
                  <c:v>346</c:v>
                </c:pt>
                <c:pt idx="79">
                  <c:v>348</c:v>
                </c:pt>
                <c:pt idx="80">
                  <c:v>350</c:v>
                </c:pt>
                <c:pt idx="81">
                  <c:v>352</c:v>
                </c:pt>
                <c:pt idx="82">
                  <c:v>354</c:v>
                </c:pt>
                <c:pt idx="83">
                  <c:v>356</c:v>
                </c:pt>
                <c:pt idx="84">
                  <c:v>358</c:v>
                </c:pt>
                <c:pt idx="85">
                  <c:v>360</c:v>
                </c:pt>
                <c:pt idx="86">
                  <c:v>362</c:v>
                </c:pt>
                <c:pt idx="87">
                  <c:v>364</c:v>
                </c:pt>
                <c:pt idx="88">
                  <c:v>366</c:v>
                </c:pt>
                <c:pt idx="89">
                  <c:v>368</c:v>
                </c:pt>
                <c:pt idx="90">
                  <c:v>370</c:v>
                </c:pt>
                <c:pt idx="91">
                  <c:v>372</c:v>
                </c:pt>
                <c:pt idx="92">
                  <c:v>374</c:v>
                </c:pt>
                <c:pt idx="93">
                  <c:v>376</c:v>
                </c:pt>
                <c:pt idx="94">
                  <c:v>378</c:v>
                </c:pt>
                <c:pt idx="95">
                  <c:v>380</c:v>
                </c:pt>
                <c:pt idx="96">
                  <c:v>382</c:v>
                </c:pt>
                <c:pt idx="97">
                  <c:v>384</c:v>
                </c:pt>
                <c:pt idx="98">
                  <c:v>386</c:v>
                </c:pt>
                <c:pt idx="99">
                  <c:v>388</c:v>
                </c:pt>
                <c:pt idx="100">
                  <c:v>390</c:v>
                </c:pt>
                <c:pt idx="101">
                  <c:v>392</c:v>
                </c:pt>
                <c:pt idx="102">
                  <c:v>394</c:v>
                </c:pt>
                <c:pt idx="103">
                  <c:v>396</c:v>
                </c:pt>
                <c:pt idx="104">
                  <c:v>398</c:v>
                </c:pt>
                <c:pt idx="105">
                  <c:v>400</c:v>
                </c:pt>
              </c:numCache>
            </c:numRef>
          </c:cat>
          <c:val>
            <c:numRef>
              <c:f>REPORT!$O$189:$O$294</c:f>
              <c:numCache>
                <c:formatCode>General</c:formatCode>
                <c:ptCount val="106"/>
                <c:pt idx="0">
                  <c:v>3.2756E-2</c:v>
                </c:pt>
                <c:pt idx="1">
                  <c:v>1.4104E-2</c:v>
                </c:pt>
                <c:pt idx="2">
                  <c:v>-2.1319000000000001E-2</c:v>
                </c:pt>
                <c:pt idx="3">
                  <c:v>-6.3800000000000003E-3</c:v>
                </c:pt>
                <c:pt idx="4">
                  <c:v>-1.745E-3</c:v>
                </c:pt>
                <c:pt idx="5">
                  <c:v>1.5280999999999999E-2</c:v>
                </c:pt>
                <c:pt idx="6">
                  <c:v>7.3150000000000003E-3</c:v>
                </c:pt>
                <c:pt idx="7">
                  <c:v>2.6600000000000001E-4</c:v>
                </c:pt>
                <c:pt idx="8">
                  <c:v>2.2800000000000001E-4</c:v>
                </c:pt>
                <c:pt idx="9">
                  <c:v>-1.065E-3</c:v>
                </c:pt>
                <c:pt idx="10">
                  <c:v>3.3500000000000001E-4</c:v>
                </c:pt>
                <c:pt idx="11">
                  <c:v>-9.3999999999999994E-5</c:v>
                </c:pt>
                <c:pt idx="12">
                  <c:v>9.7999999999999997E-4</c:v>
                </c:pt>
                <c:pt idx="13">
                  <c:v>-8.7000000000000001E-5</c:v>
                </c:pt>
                <c:pt idx="14">
                  <c:v>-2.7E-4</c:v>
                </c:pt>
                <c:pt idx="15">
                  <c:v>3.7199999999999999E-4</c:v>
                </c:pt>
                <c:pt idx="16">
                  <c:v>-2.31E-4</c:v>
                </c:pt>
                <c:pt idx="17">
                  <c:v>6.9999999999999999E-6</c:v>
                </c:pt>
                <c:pt idx="18">
                  <c:v>-7.7200000000000001E-4</c:v>
                </c:pt>
                <c:pt idx="19">
                  <c:v>1.95E-4</c:v>
                </c:pt>
                <c:pt idx="20">
                  <c:v>9.3999999999999997E-4</c:v>
                </c:pt>
                <c:pt idx="21">
                  <c:v>2.8E-5</c:v>
                </c:pt>
                <c:pt idx="22">
                  <c:v>-1.83E-4</c:v>
                </c:pt>
                <c:pt idx="23">
                  <c:v>5.3000000000000001E-5</c:v>
                </c:pt>
                <c:pt idx="24">
                  <c:v>5.8E-5</c:v>
                </c:pt>
                <c:pt idx="25">
                  <c:v>1.03E-4</c:v>
                </c:pt>
                <c:pt idx="26">
                  <c:v>-3.4E-5</c:v>
                </c:pt>
                <c:pt idx="27">
                  <c:v>-2.4499999999999999E-4</c:v>
                </c:pt>
                <c:pt idx="28">
                  <c:v>1.94E-4</c:v>
                </c:pt>
                <c:pt idx="29">
                  <c:v>6.3E-5</c:v>
                </c:pt>
                <c:pt idx="30">
                  <c:v>-9.2E-5</c:v>
                </c:pt>
                <c:pt idx="31">
                  <c:v>1.27E-4</c:v>
                </c:pt>
                <c:pt idx="32">
                  <c:v>-2.4000000000000001E-4</c:v>
                </c:pt>
                <c:pt idx="33">
                  <c:v>9.2E-5</c:v>
                </c:pt>
                <c:pt idx="34">
                  <c:v>-2.2699999999999999E-4</c:v>
                </c:pt>
                <c:pt idx="35">
                  <c:v>-2.4899999999999998E-4</c:v>
                </c:pt>
                <c:pt idx="36">
                  <c:v>-1.1400000000000001E-4</c:v>
                </c:pt>
                <c:pt idx="37">
                  <c:v>-2.9700000000000001E-4</c:v>
                </c:pt>
                <c:pt idx="38">
                  <c:v>3.1E-4</c:v>
                </c:pt>
                <c:pt idx="39">
                  <c:v>-6.4999999999999994E-5</c:v>
                </c:pt>
                <c:pt idx="40">
                  <c:v>2.1599999999999999E-4</c:v>
                </c:pt>
                <c:pt idx="41">
                  <c:v>-2.0000000000000002E-5</c:v>
                </c:pt>
                <c:pt idx="42">
                  <c:v>-1.0000000000000001E-5</c:v>
                </c:pt>
                <c:pt idx="43">
                  <c:v>6.4999999999999994E-5</c:v>
                </c:pt>
                <c:pt idx="44">
                  <c:v>-6.0000000000000002E-6</c:v>
                </c:pt>
                <c:pt idx="45">
                  <c:v>2.43E-4</c:v>
                </c:pt>
                <c:pt idx="46">
                  <c:v>1.4799999999999999E-4</c:v>
                </c:pt>
                <c:pt idx="47">
                  <c:v>-5.2899999999999996E-4</c:v>
                </c:pt>
                <c:pt idx="48">
                  <c:v>-4.1599999999999997E-4</c:v>
                </c:pt>
                <c:pt idx="49">
                  <c:v>2.7500000000000002E-4</c:v>
                </c:pt>
                <c:pt idx="50">
                  <c:v>5.9000000000000003E-4</c:v>
                </c:pt>
                <c:pt idx="51">
                  <c:v>1.15E-4</c:v>
                </c:pt>
                <c:pt idx="52">
                  <c:v>-1.2999999999999999E-5</c:v>
                </c:pt>
                <c:pt idx="53">
                  <c:v>-2.33E-4</c:v>
                </c:pt>
                <c:pt idx="54">
                  <c:v>5.3899999999999998E-4</c:v>
                </c:pt>
                <c:pt idx="55">
                  <c:v>-1.4200000000000001E-4</c:v>
                </c:pt>
                <c:pt idx="56">
                  <c:v>-3.4400000000000001E-4</c:v>
                </c:pt>
                <c:pt idx="57">
                  <c:v>1.9699999999999999E-4</c:v>
                </c:pt>
                <c:pt idx="58">
                  <c:v>1.7899999999999999E-4</c:v>
                </c:pt>
                <c:pt idx="59">
                  <c:v>1.13E-4</c:v>
                </c:pt>
                <c:pt idx="60">
                  <c:v>5.0900000000000001E-4</c:v>
                </c:pt>
                <c:pt idx="61">
                  <c:v>-3.1999999999999999E-5</c:v>
                </c:pt>
                <c:pt idx="62">
                  <c:v>2.5599999999999999E-4</c:v>
                </c:pt>
                <c:pt idx="63">
                  <c:v>-4.0000000000000003E-5</c:v>
                </c:pt>
                <c:pt idx="64">
                  <c:v>-6.7500000000000004E-4</c:v>
                </c:pt>
                <c:pt idx="65">
                  <c:v>-7.6000000000000004E-5</c:v>
                </c:pt>
                <c:pt idx="66">
                  <c:v>8.6799999999999996E-4</c:v>
                </c:pt>
                <c:pt idx="67">
                  <c:v>-9.6000000000000002E-4</c:v>
                </c:pt>
                <c:pt idx="68">
                  <c:v>-9.9599999999999992E-4</c:v>
                </c:pt>
                <c:pt idx="69">
                  <c:v>8.0800000000000002E-4</c:v>
                </c:pt>
                <c:pt idx="70">
                  <c:v>6.8199999999999999E-4</c:v>
                </c:pt>
                <c:pt idx="71">
                  <c:v>4.66E-4</c:v>
                </c:pt>
                <c:pt idx="72">
                  <c:v>-5.1999999999999995E-4</c:v>
                </c:pt>
                <c:pt idx="73">
                  <c:v>3.6299999999999999E-4</c:v>
                </c:pt>
                <c:pt idx="74">
                  <c:v>2.2100000000000001E-4</c:v>
                </c:pt>
                <c:pt idx="75">
                  <c:v>-5.4799999999999998E-4</c:v>
                </c:pt>
                <c:pt idx="76">
                  <c:v>3.1700000000000001E-4</c:v>
                </c:pt>
                <c:pt idx="77">
                  <c:v>3.1399999999999999E-4</c:v>
                </c:pt>
                <c:pt idx="78">
                  <c:v>1.45E-4</c:v>
                </c:pt>
                <c:pt idx="79">
                  <c:v>-3.48E-4</c:v>
                </c:pt>
                <c:pt idx="80">
                  <c:v>1.8100000000000001E-4</c:v>
                </c:pt>
                <c:pt idx="81">
                  <c:v>-6.0000000000000002E-6</c:v>
                </c:pt>
                <c:pt idx="82">
                  <c:v>1.3100000000000001E-4</c:v>
                </c:pt>
                <c:pt idx="83">
                  <c:v>5.2099999999999998E-4</c:v>
                </c:pt>
                <c:pt idx="84">
                  <c:v>7.2000000000000002E-5</c:v>
                </c:pt>
                <c:pt idx="85">
                  <c:v>-2.0100000000000001E-4</c:v>
                </c:pt>
                <c:pt idx="86">
                  <c:v>-5.5000000000000003E-4</c:v>
                </c:pt>
                <c:pt idx="87">
                  <c:v>1.25E-4</c:v>
                </c:pt>
                <c:pt idx="88">
                  <c:v>4.75E-4</c:v>
                </c:pt>
                <c:pt idx="89">
                  <c:v>2.13E-4</c:v>
                </c:pt>
                <c:pt idx="90">
                  <c:v>8.5000000000000006E-5</c:v>
                </c:pt>
                <c:pt idx="91">
                  <c:v>2.5900000000000001E-4</c:v>
                </c:pt>
                <c:pt idx="92">
                  <c:v>3.1000000000000001E-5</c:v>
                </c:pt>
                <c:pt idx="93">
                  <c:v>-2.4000000000000001E-4</c:v>
                </c:pt>
                <c:pt idx="94">
                  <c:v>3.1000000000000001E-5</c:v>
                </c:pt>
                <c:pt idx="95">
                  <c:v>2.4899999999999998E-4</c:v>
                </c:pt>
                <c:pt idx="96">
                  <c:v>3.6000000000000001E-5</c:v>
                </c:pt>
                <c:pt idx="97">
                  <c:v>2.9E-5</c:v>
                </c:pt>
                <c:pt idx="98">
                  <c:v>1.12E-4</c:v>
                </c:pt>
                <c:pt idx="99">
                  <c:v>1.9000000000000001E-4</c:v>
                </c:pt>
                <c:pt idx="100">
                  <c:v>3.59E-4</c:v>
                </c:pt>
                <c:pt idx="101">
                  <c:v>7.0699999999999995E-4</c:v>
                </c:pt>
                <c:pt idx="102">
                  <c:v>9.5299999999999996E-4</c:v>
                </c:pt>
                <c:pt idx="103">
                  <c:v>2.3670000000000002E-3</c:v>
                </c:pt>
                <c:pt idx="104">
                  <c:v>9.1120000000000003E-3</c:v>
                </c:pt>
                <c:pt idx="105">
                  <c:v>3.8022E-2</c:v>
                </c:pt>
              </c:numCache>
            </c:numRef>
          </c:val>
          <c:smooth val="0"/>
          <c:extLst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6547968"/>
        <c:axId val="386548528"/>
      </c:lineChart>
      <c:catAx>
        <c:axId val="3865479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Wavelength [nm]</a:t>
                </a:r>
              </a:p>
            </c:rich>
          </c:tx>
          <c:layout>
            <c:manualLayout>
              <c:xMode val="edge"/>
              <c:yMode val="edge"/>
              <c:x val="0.47746244116179692"/>
              <c:y val="0.901069518716577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548528"/>
        <c:crossesAt val="-10"/>
        <c:auto val="1"/>
        <c:lblAlgn val="ctr"/>
        <c:lblOffset val="100"/>
        <c:tickLblSkip val="5"/>
        <c:tickMarkSkip val="5"/>
        <c:noMultiLvlLbl val="0"/>
      </c:catAx>
      <c:valAx>
        <c:axId val="386548528"/>
        <c:scaling>
          <c:orientation val="minMax"/>
          <c:max val="1.5000000000000003E-2"/>
          <c:min val="-1.5000000000000003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Transmission [%]</a:t>
                </a:r>
              </a:p>
            </c:rich>
          </c:tx>
          <c:layout>
            <c:manualLayout>
              <c:xMode val="edge"/>
              <c:yMode val="edge"/>
              <c:x val="2.6711264397735406E-2"/>
              <c:y val="0.3556149732620320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547968"/>
        <c:crosses val="autoZero"/>
        <c:crossBetween val="between"/>
        <c:majorUnit val="3.0000000000000009E-3"/>
        <c:minorUnit val="1.0000000000000003E-4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55" r="0.75000000000000255" t="1" header="0.5" footer="0.5"/>
    <c:pageSetup orientation="landscape" verticalDpi="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Color Limit Regions of Acceptance</a:t>
            </a:r>
          </a:p>
        </c:rich>
      </c:tx>
      <c:layout>
        <c:manualLayout>
          <c:xMode val="edge"/>
          <c:yMode val="edge"/>
          <c:x val="0.27347608465744394"/>
          <c:y val="2.5575390862401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66673089191747"/>
          <c:y val="0.11253201435838085"/>
          <c:w val="0.83855092166176637"/>
          <c:h val="0.6751918158567829"/>
        </c:manualLayout>
      </c:layout>
      <c:scatterChart>
        <c:scatterStyle val="lineMarker"/>
        <c:varyColors val="0"/>
        <c:ser>
          <c:idx val="8"/>
          <c:order val="0"/>
          <c:tx>
            <c:strRef>
              <c:f>'Chromaticity Diagram'!$A$53</c:f>
              <c:strCache>
                <c:ptCount val="1"/>
                <c:pt idx="0">
                  <c:v>IllC Region of Acceptance</c:v>
                </c:pt>
              </c:strCache>
            </c:strRef>
          </c:tx>
          <c:spPr>
            <a:ln w="15875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'Chromaticity Diagram'!$A$55:$A$80</c:f>
              <c:numCache>
                <c:formatCode>0.000</c:formatCode>
                <c:ptCount val="26"/>
                <c:pt idx="0">
                  <c:v>0.35396004700352524</c:v>
                </c:pt>
                <c:pt idx="1">
                  <c:v>0.3528437132784959</c:v>
                </c:pt>
                <c:pt idx="2">
                  <c:v>0.35121034077555813</c:v>
                </c:pt>
                <c:pt idx="3">
                  <c:v>0.34742655699177438</c:v>
                </c:pt>
                <c:pt idx="4">
                  <c:v>0.34178613396004698</c:v>
                </c:pt>
                <c:pt idx="5">
                  <c:v>0.33423031727379554</c:v>
                </c:pt>
                <c:pt idx="6">
                  <c:v>0.32868390129259695</c:v>
                </c:pt>
                <c:pt idx="7">
                  <c:v>0.31533490011750881</c:v>
                </c:pt>
                <c:pt idx="8">
                  <c:v>0.29869565217391303</c:v>
                </c:pt>
                <c:pt idx="9">
                  <c:v>0.28565217391304348</c:v>
                </c:pt>
                <c:pt idx="10">
                  <c:v>0.28125734430082255</c:v>
                </c:pt>
                <c:pt idx="11">
                  <c:v>0.27880141010575799</c:v>
                </c:pt>
                <c:pt idx="12">
                  <c:v>0.27893066980023506</c:v>
                </c:pt>
                <c:pt idx="13">
                  <c:v>0.28271445358401875</c:v>
                </c:pt>
                <c:pt idx="14">
                  <c:v>0.28717978848413628</c:v>
                </c:pt>
                <c:pt idx="15">
                  <c:v>0.29353701527614567</c:v>
                </c:pt>
                <c:pt idx="16">
                  <c:v>0.29841363102232665</c:v>
                </c:pt>
                <c:pt idx="17">
                  <c:v>0.30656874265569917</c:v>
                </c:pt>
                <c:pt idx="18">
                  <c:v>0.31782608695652176</c:v>
                </c:pt>
                <c:pt idx="19">
                  <c:v>0.3254641598119859</c:v>
                </c:pt>
                <c:pt idx="20">
                  <c:v>0.33152761457109287</c:v>
                </c:pt>
                <c:pt idx="21">
                  <c:v>0.33888366627497063</c:v>
                </c:pt>
                <c:pt idx="22">
                  <c:v>0.3404582843713278</c:v>
                </c:pt>
                <c:pt idx="23">
                  <c:v>0.34584018801410105</c:v>
                </c:pt>
                <c:pt idx="24">
                  <c:v>0.35314923619271443</c:v>
                </c:pt>
                <c:pt idx="25">
                  <c:v>0.35396004700352524</c:v>
                </c:pt>
              </c:numCache>
            </c:numRef>
          </c:xVal>
          <c:yVal>
            <c:numRef>
              <c:f>'Chromaticity Diagram'!$B$55:$B$80</c:f>
              <c:numCache>
                <c:formatCode>0.000</c:formatCode>
                <c:ptCount val="26"/>
                <c:pt idx="0">
                  <c:v>0.35</c:v>
                </c:pt>
                <c:pt idx="1">
                  <c:v>0.35566392479435954</c:v>
                </c:pt>
                <c:pt idx="2">
                  <c:v>0.36</c:v>
                </c:pt>
                <c:pt idx="3">
                  <c:v>0.36316098707403055</c:v>
                </c:pt>
                <c:pt idx="4">
                  <c:v>0.3643713278495887</c:v>
                </c:pt>
                <c:pt idx="5">
                  <c:v>0.36341950646298471</c:v>
                </c:pt>
                <c:pt idx="6">
                  <c:v>0.36209165687426559</c:v>
                </c:pt>
                <c:pt idx="7">
                  <c:v>0.35337250293772032</c:v>
                </c:pt>
                <c:pt idx="8">
                  <c:v>0.34</c:v>
                </c:pt>
                <c:pt idx="9">
                  <c:v>0.32658049353701529</c:v>
                </c:pt>
                <c:pt idx="10">
                  <c:v>0.3181316098707403</c:v>
                </c:pt>
                <c:pt idx="11">
                  <c:v>0.30748531139835489</c:v>
                </c:pt>
                <c:pt idx="12">
                  <c:v>0.30146886016451235</c:v>
                </c:pt>
                <c:pt idx="13">
                  <c:v>0.2951116333725029</c:v>
                </c:pt>
                <c:pt idx="14">
                  <c:v>0.29133960047003526</c:v>
                </c:pt>
                <c:pt idx="15">
                  <c:v>0.28999999999999998</c:v>
                </c:pt>
                <c:pt idx="16">
                  <c:v>0.28999999999999998</c:v>
                </c:pt>
                <c:pt idx="17">
                  <c:v>0.29334900117508811</c:v>
                </c:pt>
                <c:pt idx="18">
                  <c:v>0.3</c:v>
                </c:pt>
                <c:pt idx="19">
                  <c:v>0.30562867215041128</c:v>
                </c:pt>
                <c:pt idx="20">
                  <c:v>0.31271445358401878</c:v>
                </c:pt>
                <c:pt idx="21">
                  <c:v>0.3181433607520564</c:v>
                </c:pt>
                <c:pt idx="22">
                  <c:v>0.32116333725029378</c:v>
                </c:pt>
                <c:pt idx="23">
                  <c:v>0.32613396004700357</c:v>
                </c:pt>
                <c:pt idx="24">
                  <c:v>0.33900117508813166</c:v>
                </c:pt>
                <c:pt idx="25">
                  <c:v>0.35</c:v>
                </c:pt>
              </c:numCache>
            </c:numRef>
          </c:yVal>
          <c:smooth val="0"/>
        </c:ser>
        <c:ser>
          <c:idx val="0"/>
          <c:order val="1"/>
          <c:tx>
            <c:v>Chromaticity Coordinates</c:v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chemeClr val="tx1"/>
              </a:solidFill>
              <a:ln>
                <a:noFill/>
              </a:ln>
            </c:spPr>
          </c:marker>
          <c:xVal>
            <c:numRef>
              <c:f>'VLT Results'!$E$10:$E$164</c:f>
              <c:numCache>
                <c:formatCode>0.0000</c:formatCode>
                <c:ptCount val="155"/>
              </c:numCache>
            </c:numRef>
          </c:xVal>
          <c:yVal>
            <c:numRef>
              <c:f>'VLT Results'!$F$10:$F$164</c:f>
              <c:numCache>
                <c:formatCode>0.0000</c:formatCode>
                <c:ptCount val="155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6551328"/>
        <c:axId val="386551888"/>
      </c:scatterChart>
      <c:valAx>
        <c:axId val="386551328"/>
        <c:scaling>
          <c:orientation val="minMax"/>
          <c:max val="0.5"/>
          <c:min val="0.2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</a:t>
                </a:r>
              </a:p>
            </c:rich>
          </c:tx>
          <c:layout>
            <c:manualLayout>
              <c:xMode val="edge"/>
              <c:yMode val="edge"/>
              <c:x val="0.52718329458409874"/>
              <c:y val="0.82864445379442075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551888"/>
        <c:crosses val="autoZero"/>
        <c:crossBetween val="midCat"/>
        <c:majorUnit val="0.1"/>
        <c:minorUnit val="0.05"/>
      </c:valAx>
      <c:valAx>
        <c:axId val="386551888"/>
        <c:scaling>
          <c:orientation val="minMax"/>
          <c:max val="0.5"/>
          <c:min val="0.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</a:t>
                </a:r>
              </a:p>
            </c:rich>
          </c:tx>
          <c:layout>
            <c:manualLayout>
              <c:xMode val="edge"/>
              <c:yMode val="edge"/>
              <c:x val="2.6359070532170428E-2"/>
              <c:y val="0.4437339798174083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6551328"/>
        <c:crosses val="autoZero"/>
        <c:crossBetween val="midCat"/>
        <c:majorUnit val="0.1"/>
        <c:minorUnit val="0.05"/>
      </c:valAx>
      <c:spPr>
        <a:blipFill dpi="0" rotWithShape="0">
          <a:blip xmlns:r="http://schemas.openxmlformats.org/officeDocument/2006/relationships" r:embed="rId1"/>
          <a:srcRect/>
          <a:stretch>
            <a:fillRect/>
          </a:stretch>
        </a:blip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4681909459523104"/>
          <c:y val="0.86956515931691747"/>
          <c:w val="0.27510757729508939"/>
          <c:h val="4.85651125670359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44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491" r="0.74803149606299491" t="0.98425196850393659" header="0.51181102362204722" footer="0.51181102362204722"/>
    <c:pageSetup orientation="portrait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Color Limit Regions of Acceptance</a:t>
            </a:r>
          </a:p>
        </c:rich>
      </c:tx>
      <c:layout>
        <c:manualLayout>
          <c:xMode val="edge"/>
          <c:yMode val="edge"/>
          <c:x val="0.26516861097351985"/>
          <c:y val="2.56409956190420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573033707865209"/>
          <c:y val="0.13846171181604544"/>
          <c:w val="0.60224719101123558"/>
          <c:h val="0.72948809280860982"/>
        </c:manualLayout>
      </c:layout>
      <c:scatterChart>
        <c:scatterStyle val="lineMarker"/>
        <c:varyColors val="0"/>
        <c:ser>
          <c:idx val="0"/>
          <c:order val="0"/>
          <c:tx>
            <c:v>Green Signal</c:v>
          </c:tx>
          <c:spPr>
            <a:ln w="28575">
              <a:noFill/>
            </a:ln>
          </c:spPr>
          <c:marker>
            <c:symbol val="diamond"/>
            <c:size val="8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'Chromaticity Diagram'!$D$7</c:f>
              <c:numCache>
                <c:formatCode>General</c:formatCode>
                <c:ptCount val="1"/>
                <c:pt idx="0">
                  <c:v>0.28533383661524631</c:v>
                </c:pt>
              </c:numCache>
            </c:numRef>
          </c:xVal>
          <c:yVal>
            <c:numRef>
              <c:f>'Chromaticity Diagram'!$E$7</c:f>
              <c:numCache>
                <c:formatCode>General</c:formatCode>
                <c:ptCount val="1"/>
                <c:pt idx="0">
                  <c:v>0.45453000598618615</c:v>
                </c:pt>
              </c:numCache>
            </c:numRef>
          </c:yVal>
          <c:smooth val="0"/>
        </c:ser>
        <c:ser>
          <c:idx val="1"/>
          <c:order val="1"/>
          <c:tx>
            <c:v>Yellow Signal</c:v>
          </c:tx>
          <c:spPr>
            <a:ln w="28575">
              <a:noFill/>
            </a:ln>
          </c:spPr>
          <c:marker>
            <c:symbol val="square"/>
            <c:size val="8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'Chromaticity Diagram'!$D$11</c:f>
              <c:numCache>
                <c:formatCode>General</c:formatCode>
                <c:ptCount val="1"/>
                <c:pt idx="0">
                  <c:v>0.60423750502060458</c:v>
                </c:pt>
              </c:numCache>
            </c:numRef>
          </c:xVal>
          <c:yVal>
            <c:numRef>
              <c:f>'Chromaticity Diagram'!$E$11</c:f>
              <c:numCache>
                <c:formatCode>General</c:formatCode>
                <c:ptCount val="1"/>
                <c:pt idx="0">
                  <c:v>0.39489820144348392</c:v>
                </c:pt>
              </c:numCache>
            </c:numRef>
          </c:yVal>
          <c:smooth val="0"/>
        </c:ser>
        <c:ser>
          <c:idx val="2"/>
          <c:order val="2"/>
          <c:tx>
            <c:v>D65 Daylight</c:v>
          </c:tx>
          <c:spPr>
            <a:ln w="28575">
              <a:noFill/>
            </a:ln>
          </c:spPr>
          <c:marker>
            <c:symbol val="triangle"/>
            <c:size val="8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'Chromaticity Diagram'!$D$15</c:f>
              <c:numCache>
                <c:formatCode>General</c:formatCode>
                <c:ptCount val="1"/>
                <c:pt idx="0">
                  <c:v>0.44133884551046249</c:v>
                </c:pt>
              </c:numCache>
            </c:numRef>
          </c:xVal>
          <c:yVal>
            <c:numRef>
              <c:f>'Chromaticity Diagram'!$E$15</c:f>
              <c:numCache>
                <c:formatCode>General</c:formatCode>
                <c:ptCount val="1"/>
                <c:pt idx="0">
                  <c:v>0.38003911949938801</c:v>
                </c:pt>
              </c:numCache>
            </c:numRef>
          </c:yVal>
          <c:smooth val="0"/>
        </c:ser>
        <c:ser>
          <c:idx val="3"/>
          <c:order val="3"/>
          <c:tx>
            <c:v>Yellow Region</c:v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none"/>
          </c:marker>
          <c:xVal>
            <c:numRef>
              <c:f>'Chromaticity Diagram'!$A$7:$A$10</c:f>
              <c:numCache>
                <c:formatCode>0.000</c:formatCode>
                <c:ptCount val="4"/>
                <c:pt idx="0">
                  <c:v>0.435</c:v>
                </c:pt>
                <c:pt idx="1">
                  <c:v>0.375</c:v>
                </c:pt>
                <c:pt idx="2">
                  <c:v>0.59499999999999997</c:v>
                </c:pt>
                <c:pt idx="3">
                  <c:v>0.65500000000000003</c:v>
                </c:pt>
              </c:numCache>
            </c:numRef>
          </c:xVal>
          <c:yVal>
            <c:numRef>
              <c:f>'Chromaticity Diagram'!$B$7:$B$10</c:f>
              <c:numCache>
                <c:formatCode>0.000</c:formatCode>
                <c:ptCount val="4"/>
                <c:pt idx="0">
                  <c:v>0.56499999999999995</c:v>
                </c:pt>
                <c:pt idx="1">
                  <c:v>0.56499999999999995</c:v>
                </c:pt>
                <c:pt idx="2">
                  <c:v>0.34499999999999997</c:v>
                </c:pt>
                <c:pt idx="3">
                  <c:v>0.34499999999999997</c:v>
                </c:pt>
              </c:numCache>
            </c:numRef>
          </c:yVal>
          <c:smooth val="0"/>
        </c:ser>
        <c:ser>
          <c:idx val="4"/>
          <c:order val="4"/>
          <c:tx>
            <c:v>Green Region</c:v>
          </c:tx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'Chromaticity Diagram'!$A$14:$A$18</c:f>
              <c:numCache>
                <c:formatCode>0.000</c:formatCode>
                <c:ptCount val="5"/>
                <c:pt idx="0">
                  <c:v>3.7999999999999999E-2</c:v>
                </c:pt>
                <c:pt idx="1">
                  <c:v>0.20499999999999999</c:v>
                </c:pt>
                <c:pt idx="2">
                  <c:v>0.34499999999999997</c:v>
                </c:pt>
                <c:pt idx="3">
                  <c:v>0.313</c:v>
                </c:pt>
                <c:pt idx="4">
                  <c:v>0.08</c:v>
                </c:pt>
              </c:numCache>
            </c:numRef>
          </c:xVal>
          <c:yVal>
            <c:numRef>
              <c:f>'Chromaticity Diagram'!$B$14:$B$18</c:f>
              <c:numCache>
                <c:formatCode>0.000</c:formatCode>
                <c:ptCount val="5"/>
                <c:pt idx="0">
                  <c:v>0.33</c:v>
                </c:pt>
                <c:pt idx="1">
                  <c:v>0.33</c:v>
                </c:pt>
                <c:pt idx="2">
                  <c:v>0.44</c:v>
                </c:pt>
                <c:pt idx="3">
                  <c:v>0.62</c:v>
                </c:pt>
                <c:pt idx="4">
                  <c:v>0.83499999999999996</c:v>
                </c:pt>
              </c:numCache>
            </c:numRef>
          </c:yVal>
          <c:smooth val="0"/>
        </c:ser>
        <c:ser>
          <c:idx val="5"/>
          <c:order val="5"/>
          <c:tx>
            <c:v>D65 Region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'Chromaticity Diagram'!$A$22:$A$51</c:f>
              <c:numCache>
                <c:formatCode>0.000</c:formatCode>
                <c:ptCount val="30"/>
                <c:pt idx="0">
                  <c:v>0.45500000000000002</c:v>
                </c:pt>
                <c:pt idx="1">
                  <c:v>0.46500000000000002</c:v>
                </c:pt>
                <c:pt idx="2">
                  <c:v>0.46500000000000002</c:v>
                </c:pt>
                <c:pt idx="3">
                  <c:v>0.45500000000000002</c:v>
                </c:pt>
                <c:pt idx="4">
                  <c:v>0.42499999999999999</c:v>
                </c:pt>
                <c:pt idx="5">
                  <c:v>0.41</c:v>
                </c:pt>
                <c:pt idx="6">
                  <c:v>0.38500000000000001</c:v>
                </c:pt>
                <c:pt idx="7">
                  <c:v>0.36</c:v>
                </c:pt>
                <c:pt idx="8">
                  <c:v>0.33</c:v>
                </c:pt>
                <c:pt idx="9">
                  <c:v>0.29499999999999998</c:v>
                </c:pt>
                <c:pt idx="10">
                  <c:v>0.25</c:v>
                </c:pt>
                <c:pt idx="11">
                  <c:v>0.22500000000000001</c:v>
                </c:pt>
                <c:pt idx="12">
                  <c:v>0.2</c:v>
                </c:pt>
                <c:pt idx="13">
                  <c:v>0.18</c:v>
                </c:pt>
                <c:pt idx="14">
                  <c:v>0.17499999999999999</c:v>
                </c:pt>
                <c:pt idx="15">
                  <c:v>0.18</c:v>
                </c:pt>
                <c:pt idx="16">
                  <c:v>0.185</c:v>
                </c:pt>
                <c:pt idx="17">
                  <c:v>0.2</c:v>
                </c:pt>
                <c:pt idx="18">
                  <c:v>0.215</c:v>
                </c:pt>
                <c:pt idx="19">
                  <c:v>0.23400000000000001</c:v>
                </c:pt>
                <c:pt idx="20">
                  <c:v>0.255</c:v>
                </c:pt>
                <c:pt idx="21">
                  <c:v>0.28000000000000003</c:v>
                </c:pt>
                <c:pt idx="22">
                  <c:v>0.31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0.36499999999999999</c:v>
                </c:pt>
                <c:pt idx="26">
                  <c:v>0.39500000000000002</c:v>
                </c:pt>
                <c:pt idx="27">
                  <c:v>0.42499999999999999</c:v>
                </c:pt>
                <c:pt idx="28">
                  <c:v>0.44</c:v>
                </c:pt>
                <c:pt idx="29">
                  <c:v>0.45500000000000002</c:v>
                </c:pt>
              </c:numCache>
            </c:numRef>
          </c:xVal>
          <c:yVal>
            <c:numRef>
              <c:f>'Chromaticity Diagram'!$B$22:$B$51</c:f>
              <c:numCache>
                <c:formatCode>0.000</c:formatCode>
                <c:ptCount val="30"/>
                <c:pt idx="0">
                  <c:v>0.43</c:v>
                </c:pt>
                <c:pt idx="1">
                  <c:v>0.41</c:v>
                </c:pt>
                <c:pt idx="2">
                  <c:v>0.39</c:v>
                </c:pt>
                <c:pt idx="3">
                  <c:v>0.37</c:v>
                </c:pt>
                <c:pt idx="4">
                  <c:v>0.34</c:v>
                </c:pt>
                <c:pt idx="5">
                  <c:v>0.32500000000000001</c:v>
                </c:pt>
                <c:pt idx="6">
                  <c:v>0.30499999999999999</c:v>
                </c:pt>
                <c:pt idx="7">
                  <c:v>0.28999999999999998</c:v>
                </c:pt>
                <c:pt idx="8">
                  <c:v>0.27</c:v>
                </c:pt>
                <c:pt idx="9">
                  <c:v>0.25</c:v>
                </c:pt>
                <c:pt idx="10">
                  <c:v>0.23</c:v>
                </c:pt>
                <c:pt idx="11">
                  <c:v>0.22500000000000001</c:v>
                </c:pt>
                <c:pt idx="12">
                  <c:v>0.23</c:v>
                </c:pt>
                <c:pt idx="13">
                  <c:v>0.25</c:v>
                </c:pt>
                <c:pt idx="14">
                  <c:v>0.27</c:v>
                </c:pt>
                <c:pt idx="15">
                  <c:v>0.28999999999999998</c:v>
                </c:pt>
                <c:pt idx="16">
                  <c:v>0.31</c:v>
                </c:pt>
                <c:pt idx="17">
                  <c:v>0.33</c:v>
                </c:pt>
                <c:pt idx="18">
                  <c:v>0.35</c:v>
                </c:pt>
                <c:pt idx="19">
                  <c:v>0.37</c:v>
                </c:pt>
                <c:pt idx="20">
                  <c:v>0.39</c:v>
                </c:pt>
                <c:pt idx="21">
                  <c:v>0.41</c:v>
                </c:pt>
                <c:pt idx="22">
                  <c:v>0.43</c:v>
                </c:pt>
                <c:pt idx="23">
                  <c:v>0.44</c:v>
                </c:pt>
                <c:pt idx="24">
                  <c:v>0.45</c:v>
                </c:pt>
                <c:pt idx="25">
                  <c:v>0.45500000000000002</c:v>
                </c:pt>
                <c:pt idx="26">
                  <c:v>0.46</c:v>
                </c:pt>
                <c:pt idx="27">
                  <c:v>0.45500000000000002</c:v>
                </c:pt>
                <c:pt idx="28">
                  <c:v>0.44500000000000001</c:v>
                </c:pt>
                <c:pt idx="29">
                  <c:v>0.43</c:v>
                </c:pt>
              </c:numCache>
            </c:numRef>
          </c:yVal>
          <c:smooth val="0"/>
        </c:ser>
        <c:ser>
          <c:idx val="6"/>
          <c:order val="6"/>
          <c:tx>
            <c:v>D65 White Point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'Chromaticity Diagram'!$D$19</c:f>
              <c:numCache>
                <c:formatCode>General</c:formatCode>
                <c:ptCount val="1"/>
                <c:pt idx="0">
                  <c:v>0.31270999999999999</c:v>
                </c:pt>
              </c:numCache>
            </c:numRef>
          </c:xVal>
          <c:yVal>
            <c:numRef>
              <c:f>'Chromaticity Diagram'!$E$19</c:f>
              <c:numCache>
                <c:formatCode>General</c:formatCode>
                <c:ptCount val="1"/>
                <c:pt idx="0">
                  <c:v>0.32901999999999998</c:v>
                </c:pt>
              </c:numCache>
            </c:numRef>
          </c:yVal>
          <c:smooth val="0"/>
        </c:ser>
        <c:ser>
          <c:idx val="7"/>
          <c:order val="7"/>
          <c:tx>
            <c:v>IllC Daylight</c:v>
          </c:tx>
          <c:spPr>
            <a:ln w="28575">
              <a:noFill/>
            </a:ln>
          </c:spPr>
          <c:marker>
            <c:symbol val="x"/>
            <c:size val="7"/>
            <c:spPr>
              <a:noFill/>
              <a:ln>
                <a:solidFill>
                  <a:prstClr val="black"/>
                </a:solidFill>
              </a:ln>
            </c:spPr>
          </c:marker>
          <c:xVal>
            <c:numRef>
              <c:f>'Chromaticity Diagram'!$D$23</c:f>
              <c:numCache>
                <c:formatCode>General</c:formatCode>
                <c:ptCount val="1"/>
                <c:pt idx="0">
                  <c:v>0.43899802716733449</c:v>
                </c:pt>
              </c:numCache>
            </c:numRef>
          </c:xVal>
          <c:yVal>
            <c:numRef>
              <c:f>'Chromaticity Diagram'!$E$23</c:f>
              <c:numCache>
                <c:formatCode>General</c:formatCode>
                <c:ptCount val="1"/>
                <c:pt idx="0">
                  <c:v>0.37223587546605363</c:v>
                </c:pt>
              </c:numCache>
            </c:numRef>
          </c:yVal>
          <c:smooth val="0"/>
        </c:ser>
        <c:ser>
          <c:idx val="8"/>
          <c:order val="8"/>
          <c:tx>
            <c:strRef>
              <c:f>'Chromaticity Diagram'!$A$53</c:f>
              <c:strCache>
                <c:ptCount val="1"/>
                <c:pt idx="0">
                  <c:v>IllC Region of Acceptance</c:v>
                </c:pt>
              </c:strCache>
            </c:strRef>
          </c:tx>
          <c:spPr>
            <a:ln w="19050">
              <a:solidFill>
                <a:prstClr val="black"/>
              </a:solidFill>
            </a:ln>
          </c:spPr>
          <c:marker>
            <c:symbol val="none"/>
          </c:marker>
          <c:xVal>
            <c:numRef>
              <c:f>'Chromaticity Diagram'!$A$55:$A$80</c:f>
              <c:numCache>
                <c:formatCode>0.000</c:formatCode>
                <c:ptCount val="26"/>
                <c:pt idx="0">
                  <c:v>0.35396004700352524</c:v>
                </c:pt>
                <c:pt idx="1">
                  <c:v>0.3528437132784959</c:v>
                </c:pt>
                <c:pt idx="2">
                  <c:v>0.35121034077555813</c:v>
                </c:pt>
                <c:pt idx="3">
                  <c:v>0.34742655699177438</c:v>
                </c:pt>
                <c:pt idx="4">
                  <c:v>0.34178613396004698</c:v>
                </c:pt>
                <c:pt idx="5">
                  <c:v>0.33423031727379554</c:v>
                </c:pt>
                <c:pt idx="6">
                  <c:v>0.32868390129259695</c:v>
                </c:pt>
                <c:pt idx="7">
                  <c:v>0.31533490011750881</c:v>
                </c:pt>
                <c:pt idx="8">
                  <c:v>0.29869565217391303</c:v>
                </c:pt>
                <c:pt idx="9">
                  <c:v>0.28565217391304348</c:v>
                </c:pt>
                <c:pt idx="10">
                  <c:v>0.28125734430082255</c:v>
                </c:pt>
                <c:pt idx="11">
                  <c:v>0.27880141010575799</c:v>
                </c:pt>
                <c:pt idx="12">
                  <c:v>0.27893066980023506</c:v>
                </c:pt>
                <c:pt idx="13">
                  <c:v>0.28271445358401875</c:v>
                </c:pt>
                <c:pt idx="14">
                  <c:v>0.28717978848413628</c:v>
                </c:pt>
                <c:pt idx="15">
                  <c:v>0.29353701527614567</c:v>
                </c:pt>
                <c:pt idx="16">
                  <c:v>0.29841363102232665</c:v>
                </c:pt>
                <c:pt idx="17">
                  <c:v>0.30656874265569917</c:v>
                </c:pt>
                <c:pt idx="18">
                  <c:v>0.31782608695652176</c:v>
                </c:pt>
                <c:pt idx="19">
                  <c:v>0.3254641598119859</c:v>
                </c:pt>
                <c:pt idx="20">
                  <c:v>0.33152761457109287</c:v>
                </c:pt>
                <c:pt idx="21">
                  <c:v>0.33888366627497063</c:v>
                </c:pt>
                <c:pt idx="22">
                  <c:v>0.3404582843713278</c:v>
                </c:pt>
                <c:pt idx="23">
                  <c:v>0.34584018801410105</c:v>
                </c:pt>
                <c:pt idx="24">
                  <c:v>0.35314923619271443</c:v>
                </c:pt>
                <c:pt idx="25">
                  <c:v>0.35396004700352524</c:v>
                </c:pt>
              </c:numCache>
            </c:numRef>
          </c:xVal>
          <c:yVal>
            <c:numRef>
              <c:f>'Chromaticity Diagram'!$B$55:$B$80</c:f>
              <c:numCache>
                <c:formatCode>0.000</c:formatCode>
                <c:ptCount val="26"/>
                <c:pt idx="0">
                  <c:v>0.35</c:v>
                </c:pt>
                <c:pt idx="1">
                  <c:v>0.35566392479435954</c:v>
                </c:pt>
                <c:pt idx="2">
                  <c:v>0.36</c:v>
                </c:pt>
                <c:pt idx="3">
                  <c:v>0.36316098707403055</c:v>
                </c:pt>
                <c:pt idx="4">
                  <c:v>0.3643713278495887</c:v>
                </c:pt>
                <c:pt idx="5">
                  <c:v>0.36341950646298471</c:v>
                </c:pt>
                <c:pt idx="6">
                  <c:v>0.36209165687426559</c:v>
                </c:pt>
                <c:pt idx="7">
                  <c:v>0.35337250293772032</c:v>
                </c:pt>
                <c:pt idx="8">
                  <c:v>0.34</c:v>
                </c:pt>
                <c:pt idx="9">
                  <c:v>0.32658049353701529</c:v>
                </c:pt>
                <c:pt idx="10">
                  <c:v>0.3181316098707403</c:v>
                </c:pt>
                <c:pt idx="11">
                  <c:v>0.30748531139835489</c:v>
                </c:pt>
                <c:pt idx="12">
                  <c:v>0.30146886016451235</c:v>
                </c:pt>
                <c:pt idx="13">
                  <c:v>0.2951116333725029</c:v>
                </c:pt>
                <c:pt idx="14">
                  <c:v>0.29133960047003526</c:v>
                </c:pt>
                <c:pt idx="15">
                  <c:v>0.28999999999999998</c:v>
                </c:pt>
                <c:pt idx="16">
                  <c:v>0.28999999999999998</c:v>
                </c:pt>
                <c:pt idx="17">
                  <c:v>0.29334900117508811</c:v>
                </c:pt>
                <c:pt idx="18">
                  <c:v>0.3</c:v>
                </c:pt>
                <c:pt idx="19">
                  <c:v>0.30562867215041128</c:v>
                </c:pt>
                <c:pt idx="20">
                  <c:v>0.31271445358401878</c:v>
                </c:pt>
                <c:pt idx="21">
                  <c:v>0.3181433607520564</c:v>
                </c:pt>
                <c:pt idx="22">
                  <c:v>0.32116333725029378</c:v>
                </c:pt>
                <c:pt idx="23">
                  <c:v>0.32613396004700357</c:v>
                </c:pt>
                <c:pt idx="24">
                  <c:v>0.33900117508813166</c:v>
                </c:pt>
                <c:pt idx="25">
                  <c:v>0.35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8760240"/>
        <c:axId val="458765280"/>
      </c:scatterChart>
      <c:valAx>
        <c:axId val="458760240"/>
        <c:scaling>
          <c:orientation val="minMax"/>
          <c:max val="0.8"/>
          <c:min val="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5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x</a:t>
                </a:r>
              </a:p>
            </c:rich>
          </c:tx>
          <c:layout>
            <c:manualLayout>
              <c:xMode val="edge"/>
              <c:yMode val="edge"/>
              <c:x val="0.40674159222504996"/>
              <c:y val="0.933334504190693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8765280"/>
        <c:crosses val="autoZero"/>
        <c:crossBetween val="midCat"/>
        <c:majorUnit val="0.1"/>
        <c:minorUnit val="0.05"/>
      </c:valAx>
      <c:valAx>
        <c:axId val="458765280"/>
        <c:scaling>
          <c:orientation val="minMax"/>
          <c:max val="0.9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5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</a:t>
                </a:r>
              </a:p>
            </c:rich>
          </c:tx>
          <c:layout>
            <c:manualLayout>
              <c:xMode val="edge"/>
              <c:yMode val="edge"/>
              <c:x val="1.797746539817013E-2"/>
              <c:y val="0.49230844285728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8760240"/>
        <c:crosses val="autoZero"/>
        <c:crossBetween val="midCat"/>
        <c:majorUnit val="0.1"/>
        <c:minorUnit val="0.05"/>
      </c:valAx>
      <c:spPr>
        <a:blipFill dpi="0" rotWithShape="0">
          <a:blip xmlns:r="http://schemas.openxmlformats.org/officeDocument/2006/relationships" r:embed="rId1"/>
          <a:srcRect/>
          <a:stretch>
            <a:fillRect/>
          </a:stretch>
        </a:blip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728884485968528"/>
          <c:y val="0.36307350057079296"/>
          <c:w val="0.24837321582090743"/>
          <c:h val="0.3135072056513382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5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299491" r="0.74803149606299491" t="0.98425196850393659" header="0.51181102362204722" footer="0.51181102362204722"/>
    <c:pageSetup orientation="landscape" verticalDpi="0"/>
  </c:printSettings>
</c:chartSpace>
</file>

<file path=xl/ctrlProps/ctrlProp1.xml><?xml version="1.0" encoding="utf-8"?>
<formControlPr xmlns="http://schemas.microsoft.com/office/spreadsheetml/2009/9/main" objectType="Drop" dropStyle="combo" dx="22" fmlaRange="'VLT Results'!$P$1:$S$4" noThreeD="1" sel="3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26</xdr:row>
      <xdr:rowOff>0</xdr:rowOff>
    </xdr:from>
    <xdr:to>
      <xdr:col>6</xdr:col>
      <xdr:colOff>590550</xdr:colOff>
      <xdr:row>48</xdr:row>
      <xdr:rowOff>0</xdr:rowOff>
    </xdr:to>
    <xdr:graphicFrame macro="">
      <xdr:nvGraphicFramePr>
        <xdr:cNvPr id="109199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66675</xdr:colOff>
      <xdr:row>102</xdr:row>
      <xdr:rowOff>76200</xdr:rowOff>
    </xdr:from>
    <xdr:to>
      <xdr:col>6</xdr:col>
      <xdr:colOff>733425</xdr:colOff>
      <xdr:row>148</xdr:row>
      <xdr:rowOff>76200</xdr:rowOff>
    </xdr:to>
    <xdr:graphicFrame macro="">
      <xdr:nvGraphicFramePr>
        <xdr:cNvPr id="109199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149225</xdr:colOff>
      <xdr:row>21</xdr:row>
      <xdr:rowOff>180976</xdr:rowOff>
    </xdr:from>
    <xdr:to>
      <xdr:col>4</xdr:col>
      <xdr:colOff>650640</xdr:colOff>
      <xdr:row>23</xdr:row>
      <xdr:rowOff>18924</xdr:rowOff>
    </xdr:to>
    <xdr:sp macro="" textlink="">
      <xdr:nvSpPr>
        <xdr:cNvPr id="4" name="Left Arrow 3"/>
        <xdr:cNvSpPr/>
      </xdr:nvSpPr>
      <xdr:spPr>
        <a:xfrm>
          <a:off x="3740150" y="4724401"/>
          <a:ext cx="501415" cy="199898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6</xdr:col>
      <xdr:colOff>130175</xdr:colOff>
      <xdr:row>55</xdr:row>
      <xdr:rowOff>0</xdr:rowOff>
    </xdr:from>
    <xdr:to>
      <xdr:col>6</xdr:col>
      <xdr:colOff>631590</xdr:colOff>
      <xdr:row>55</xdr:row>
      <xdr:rowOff>160846</xdr:rowOff>
    </xdr:to>
    <xdr:sp macro="" textlink="">
      <xdr:nvSpPr>
        <xdr:cNvPr id="5" name="Left Arrow 4"/>
        <xdr:cNvSpPr/>
      </xdr:nvSpPr>
      <xdr:spPr>
        <a:xfrm>
          <a:off x="5248275" y="10096500"/>
          <a:ext cx="495300" cy="170307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5</xdr:col>
      <xdr:colOff>111125</xdr:colOff>
      <xdr:row>96</xdr:row>
      <xdr:rowOff>0</xdr:rowOff>
    </xdr:from>
    <xdr:to>
      <xdr:col>5</xdr:col>
      <xdr:colOff>612540</xdr:colOff>
      <xdr:row>97</xdr:row>
      <xdr:rowOff>2186</xdr:rowOff>
    </xdr:to>
    <xdr:sp macro="" textlink="">
      <xdr:nvSpPr>
        <xdr:cNvPr id="6" name="Left Arrow 5"/>
        <xdr:cNvSpPr/>
      </xdr:nvSpPr>
      <xdr:spPr>
        <a:xfrm>
          <a:off x="4381500" y="17306925"/>
          <a:ext cx="495300" cy="170307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6</xdr:col>
      <xdr:colOff>590550</xdr:colOff>
      <xdr:row>179</xdr:row>
      <xdr:rowOff>0</xdr:rowOff>
    </xdr:to>
    <xdr:graphicFrame macro="">
      <xdr:nvGraphicFramePr>
        <xdr:cNvPr id="1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14</xdr:col>
      <xdr:colOff>600075</xdr:colOff>
      <xdr:row>52</xdr:row>
      <xdr:rowOff>0</xdr:rowOff>
    </xdr:to>
    <xdr:graphicFrame macro="">
      <xdr:nvGraphicFramePr>
        <xdr:cNvPr id="206055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</xdr:row>
          <xdr:rowOff>85725</xdr:rowOff>
        </xdr:from>
        <xdr:to>
          <xdr:col>4</xdr:col>
          <xdr:colOff>657225</xdr:colOff>
          <xdr:row>3</xdr:row>
          <xdr:rowOff>171450</xdr:rowOff>
        </xdr:to>
        <xdr:sp macro="" textlink="">
          <xdr:nvSpPr>
            <xdr:cNvPr id="205863" name="DropDown1" hidden="1">
              <a:extLst>
                <a:ext uri="{63B3BB69-23CF-44E3-9099-C40C66FF867C}">
                  <a14:compatExt spid="_x0000_s205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0</xdr:row>
          <xdr:rowOff>38100</xdr:rowOff>
        </xdr:from>
        <xdr:to>
          <xdr:col>4</xdr:col>
          <xdr:colOff>485775</xdr:colOff>
          <xdr:row>2</xdr:row>
          <xdr:rowOff>0</xdr:rowOff>
        </xdr:to>
        <xdr:sp macro="" textlink="">
          <xdr:nvSpPr>
            <xdr:cNvPr id="205887" name="Button 63" hidden="1">
              <a:extLst>
                <a:ext uri="{63B3BB69-23CF-44E3-9099-C40C66FF867C}">
                  <a14:compatExt spid="_x0000_s205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0</xdr:row>
          <xdr:rowOff>38100</xdr:rowOff>
        </xdr:from>
        <xdr:to>
          <xdr:col>3</xdr:col>
          <xdr:colOff>142875</xdr:colOff>
          <xdr:row>2</xdr:row>
          <xdr:rowOff>0</xdr:rowOff>
        </xdr:to>
        <xdr:sp macro="" textlink="">
          <xdr:nvSpPr>
            <xdr:cNvPr id="205894" name="Button 70" hidden="1">
              <a:extLst>
                <a:ext uri="{63B3BB69-23CF-44E3-9099-C40C66FF867C}">
                  <a14:compatExt spid="_x0000_s205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504825</xdr:colOff>
          <xdr:row>0</xdr:row>
          <xdr:rowOff>38100</xdr:rowOff>
        </xdr:from>
        <xdr:to>
          <xdr:col>5</xdr:col>
          <xdr:colOff>581025</xdr:colOff>
          <xdr:row>2</xdr:row>
          <xdr:rowOff>0</xdr:rowOff>
        </xdr:to>
        <xdr:sp macro="" textlink="">
          <xdr:nvSpPr>
            <xdr:cNvPr id="206023" name="Button 199" hidden="1">
              <a:extLst>
                <a:ext uri="{63B3BB69-23CF-44E3-9099-C40C66FF867C}">
                  <a14:compatExt spid="_x0000_s206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UPLOAD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276225</xdr:colOff>
      <xdr:row>1</xdr:row>
      <xdr:rowOff>9525</xdr:rowOff>
    </xdr:from>
    <xdr:to>
      <xdr:col>20</xdr:col>
      <xdr:colOff>523875</xdr:colOff>
      <xdr:row>48</xdr:row>
      <xdr:rowOff>85725</xdr:rowOff>
    </xdr:to>
    <xdr:graphicFrame macro="">
      <xdr:nvGraphicFramePr>
        <xdr:cNvPr id="5394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illa_1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New Text Document" connectionId="3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O294"/>
  <sheetViews>
    <sheetView topLeftCell="A162" zoomScaleNormal="100" zoomScaleSheetLayoutView="100" workbookViewId="0">
      <selection activeCell="I162" sqref="I162"/>
    </sheetView>
  </sheetViews>
  <sheetFormatPr defaultRowHeight="12.75"/>
  <cols>
    <col min="1" max="1" width="12.7109375" customWidth="1"/>
    <col min="2" max="2" width="12.5703125" customWidth="1"/>
    <col min="3" max="3" width="12.7109375" customWidth="1"/>
    <col min="4" max="4" width="15.7109375" customWidth="1"/>
    <col min="5" max="5" width="12.7109375" customWidth="1"/>
    <col min="6" max="6" width="11" customWidth="1"/>
    <col min="7" max="8" width="12.7109375" customWidth="1"/>
    <col min="9" max="9" width="12.85546875" customWidth="1"/>
    <col min="10" max="10" width="13.7109375" customWidth="1"/>
    <col min="11" max="11" width="15.140625" customWidth="1"/>
    <col min="12" max="12" width="11.85546875" customWidth="1"/>
  </cols>
  <sheetData>
    <row r="1" spans="1:8" ht="16.5" thickBot="1">
      <c r="A1" s="122"/>
      <c r="C1" s="119"/>
      <c r="D1" s="119"/>
    </row>
    <row r="2" spans="1:8" ht="15.75" thickBot="1">
      <c r="A2" s="122" t="s">
        <v>17</v>
      </c>
      <c r="C2" s="302"/>
      <c r="D2" s="303"/>
      <c r="E2" s="122" t="s">
        <v>89</v>
      </c>
      <c r="G2" s="147"/>
      <c r="H2" s="83"/>
    </row>
    <row r="3" spans="1:8" ht="16.5" thickBot="1">
      <c r="A3" s="122"/>
      <c r="C3" s="119"/>
      <c r="D3" s="119"/>
    </row>
    <row r="4" spans="1:8" ht="15" thickBot="1">
      <c r="A4" s="122" t="s">
        <v>90</v>
      </c>
      <c r="B4" s="146"/>
      <c r="C4" s="307"/>
      <c r="D4" s="309"/>
      <c r="E4" s="122" t="s">
        <v>91</v>
      </c>
      <c r="F4" s="307"/>
      <c r="G4" s="308"/>
      <c r="H4" s="83"/>
    </row>
    <row r="5" spans="1:8" ht="15.75">
      <c r="A5" s="122"/>
      <c r="C5" s="119"/>
      <c r="D5" s="119"/>
    </row>
    <row r="6" spans="1:8" ht="15.75">
      <c r="C6" s="119"/>
      <c r="D6" s="119"/>
    </row>
    <row r="7" spans="1:8" ht="15.75">
      <c r="A7" s="71"/>
      <c r="C7" s="80"/>
      <c r="D7" s="80"/>
    </row>
    <row r="8" spans="1:8" ht="15.75">
      <c r="A8" s="72" t="s">
        <v>88</v>
      </c>
      <c r="C8" s="80"/>
      <c r="D8" s="80"/>
    </row>
    <row r="9" spans="1:8" ht="13.5" thickBot="1"/>
    <row r="10" spans="1:8" ht="15.75" thickBot="1">
      <c r="A10" s="299" t="s">
        <v>19</v>
      </c>
      <c r="B10" s="300"/>
      <c r="C10" s="300"/>
      <c r="D10" s="301"/>
      <c r="F10" s="310" t="s">
        <v>127</v>
      </c>
      <c r="G10" s="311"/>
    </row>
    <row r="11" spans="1:8">
      <c r="A11" s="56" t="s">
        <v>22</v>
      </c>
      <c r="B11" s="40"/>
      <c r="C11" s="40"/>
      <c r="D11" s="123">
        <f>'Transmission Calculations'!Q2</f>
        <v>55.097637470189774</v>
      </c>
      <c r="F11" s="156" t="s">
        <v>128</v>
      </c>
      <c r="G11" s="92"/>
    </row>
    <row r="12" spans="1:8" ht="13.5" thickBot="1">
      <c r="A12" s="69" t="s">
        <v>23</v>
      </c>
      <c r="B12" s="70"/>
      <c r="C12" s="70"/>
      <c r="D12" s="124">
        <f>'Transmission Calculations'!Q3</f>
        <v>30.586988304258586</v>
      </c>
      <c r="F12" s="3" t="s">
        <v>129</v>
      </c>
      <c r="G12" s="124">
        <f>MIN('Transmission Calculations'!L65:L140)</f>
        <v>24.8322</v>
      </c>
    </row>
    <row r="13" spans="1:8" ht="13.5" thickBot="1"/>
    <row r="14" spans="1:8" ht="15.75" thickBot="1">
      <c r="A14" s="299" t="s">
        <v>158</v>
      </c>
      <c r="B14" s="300"/>
      <c r="C14" s="300"/>
      <c r="D14" s="301"/>
    </row>
    <row r="15" spans="1:8">
      <c r="A15" s="56" t="s">
        <v>22</v>
      </c>
      <c r="B15" s="40"/>
      <c r="C15" s="40"/>
      <c r="D15" s="123">
        <f>'Transmission Calculations'!V2</f>
        <v>50.504546264799799</v>
      </c>
    </row>
    <row r="16" spans="1:8" ht="13.5" thickBot="1">
      <c r="A16" s="69" t="s">
        <v>23</v>
      </c>
      <c r="B16" s="70"/>
      <c r="C16" s="70"/>
      <c r="D16" s="124">
        <f>'Transmission Calculations'!V3</f>
        <v>37.227020523326402</v>
      </c>
    </row>
    <row r="17" spans="1:6" ht="13.5" thickBot="1"/>
    <row r="18" spans="1:6" ht="15.75" thickBot="1">
      <c r="A18" s="299" t="s">
        <v>27</v>
      </c>
      <c r="B18" s="300"/>
      <c r="C18" s="300"/>
      <c r="D18" s="301"/>
    </row>
    <row r="19" spans="1:6">
      <c r="A19" s="56" t="s">
        <v>22</v>
      </c>
      <c r="B19" s="40"/>
      <c r="C19" s="40"/>
      <c r="D19" s="123">
        <f>'Transmission Calculations'!AA2</f>
        <v>63.892795991472241</v>
      </c>
    </row>
    <row r="20" spans="1:6" ht="13.5" thickBot="1">
      <c r="A20" s="69" t="s">
        <v>23</v>
      </c>
      <c r="B20" s="70"/>
      <c r="C20" s="70"/>
      <c r="D20" s="124">
        <f>'Transmission Calculations'!AA3</f>
        <v>34.762722436946554</v>
      </c>
    </row>
    <row r="21" spans="1:6" ht="13.5" thickBot="1"/>
    <row r="22" spans="1:6" ht="15.75" thickBot="1">
      <c r="A22" s="299" t="s">
        <v>157</v>
      </c>
      <c r="B22" s="300"/>
      <c r="C22" s="300"/>
      <c r="D22" s="301"/>
    </row>
    <row r="23" spans="1:6">
      <c r="A23" s="56" t="s">
        <v>22</v>
      </c>
      <c r="B23" s="40"/>
      <c r="C23" s="40"/>
      <c r="D23" s="123">
        <f>'Transmission Calculations'!AF2</f>
        <v>55.559349806000867</v>
      </c>
      <c r="F23" s="115" t="s">
        <v>138</v>
      </c>
    </row>
    <row r="24" spans="1:6" ht="13.5" thickBot="1">
      <c r="A24" s="69" t="s">
        <v>23</v>
      </c>
      <c r="B24" s="70"/>
      <c r="C24" s="70"/>
      <c r="D24" s="124">
        <f>'Transmission Calculations'!AF3</f>
        <v>30.447606026319495</v>
      </c>
    </row>
    <row r="25" spans="1:6">
      <c r="A25" s="82"/>
      <c r="B25" s="40"/>
      <c r="C25" s="40"/>
      <c r="D25" s="120"/>
    </row>
    <row r="51" spans="1:8" ht="15.75">
      <c r="A51" s="72" t="s">
        <v>92</v>
      </c>
    </row>
    <row r="52" spans="1:8" ht="13.5" thickBot="1"/>
    <row r="53" spans="1:8" ht="15.75" thickBot="1">
      <c r="A53" s="299" t="s">
        <v>45</v>
      </c>
      <c r="B53" s="300"/>
      <c r="C53" s="301"/>
      <c r="E53" s="299" t="s">
        <v>82</v>
      </c>
      <c r="F53" s="300"/>
      <c r="G53" s="301"/>
    </row>
    <row r="54" spans="1:8">
      <c r="A54" s="91"/>
      <c r="B54" s="40"/>
      <c r="C54" s="92"/>
      <c r="E54" s="91"/>
      <c r="F54" s="40"/>
      <c r="G54" s="92"/>
      <c r="H54" s="115" t="s">
        <v>135</v>
      </c>
    </row>
    <row r="55" spans="1:8">
      <c r="A55" s="93" t="s">
        <v>43</v>
      </c>
      <c r="B55" s="125">
        <f>'Chromaticity Calculations'!G5</f>
        <v>0.44133884551046249</v>
      </c>
      <c r="C55" s="92"/>
      <c r="E55" s="93" t="s">
        <v>43</v>
      </c>
      <c r="F55" s="125">
        <f>'Chromaticity Calculations'!AU5</f>
        <v>0.43899802716733449</v>
      </c>
      <c r="G55" s="92"/>
      <c r="H55" s="115" t="s">
        <v>136</v>
      </c>
    </row>
    <row r="56" spans="1:8">
      <c r="A56" s="93" t="s">
        <v>44</v>
      </c>
      <c r="B56" s="125">
        <f>'Chromaticity Calculations'!G6</f>
        <v>0.38003911949938801</v>
      </c>
      <c r="C56" s="92"/>
      <c r="E56" s="93" t="s">
        <v>44</v>
      </c>
      <c r="F56" s="125">
        <f>'Chromaticity Calculations'!AU6</f>
        <v>0.37223587546605363</v>
      </c>
      <c r="G56" s="92"/>
      <c r="H56" s="158" t="s">
        <v>134</v>
      </c>
    </row>
    <row r="57" spans="1:8" ht="13.5" thickBot="1">
      <c r="A57" s="94"/>
      <c r="B57" s="70"/>
      <c r="C57" s="95"/>
      <c r="E57" s="94"/>
      <c r="F57" s="70"/>
      <c r="G57" s="95"/>
      <c r="H57" s="115" t="s">
        <v>137</v>
      </c>
    </row>
    <row r="58" spans="1:8" ht="13.5" thickBot="1"/>
    <row r="59" spans="1:8" ht="15.75" thickBot="1">
      <c r="A59" s="299" t="s">
        <v>86</v>
      </c>
      <c r="B59" s="300"/>
      <c r="C59" s="301"/>
    </row>
    <row r="60" spans="1:8">
      <c r="A60" s="91"/>
      <c r="B60" s="40"/>
      <c r="C60" s="92"/>
    </row>
    <row r="61" spans="1:8">
      <c r="A61" s="93" t="s">
        <v>87</v>
      </c>
      <c r="B61" s="126">
        <f>'Chromaticity Calculations'!BC5</f>
        <v>1.6937762374195309</v>
      </c>
      <c r="C61" s="92"/>
    </row>
    <row r="62" spans="1:8" ht="13.5" thickBot="1">
      <c r="A62" s="94"/>
      <c r="B62" s="70"/>
      <c r="C62" s="95"/>
    </row>
    <row r="63" spans="1:8" ht="13.5" thickBot="1"/>
    <row r="64" spans="1:8" ht="15.75" thickBot="1">
      <c r="A64" s="121" t="s">
        <v>93</v>
      </c>
      <c r="B64" s="106"/>
      <c r="C64" s="106"/>
      <c r="D64" s="106"/>
      <c r="E64" s="106"/>
      <c r="F64" s="106"/>
      <c r="G64" s="107"/>
    </row>
    <row r="65" spans="1:7" ht="13.5" thickBot="1">
      <c r="A65" s="91"/>
      <c r="B65" s="40"/>
      <c r="C65" s="40"/>
      <c r="D65" s="40"/>
      <c r="E65" s="40"/>
      <c r="F65" s="40"/>
      <c r="G65" s="92"/>
    </row>
    <row r="66" spans="1:7" ht="13.5" thickBot="1">
      <c r="A66" s="297" t="s">
        <v>94</v>
      </c>
      <c r="B66" s="312"/>
      <c r="C66" s="298"/>
      <c r="D66" s="128"/>
      <c r="E66" s="297" t="s">
        <v>95</v>
      </c>
      <c r="F66" s="312"/>
      <c r="G66" s="298"/>
    </row>
    <row r="67" spans="1:7">
      <c r="A67" s="91"/>
      <c r="B67" s="40"/>
      <c r="C67" s="92"/>
      <c r="D67" s="128"/>
      <c r="E67" s="91"/>
      <c r="F67" s="40"/>
      <c r="G67" s="92"/>
    </row>
    <row r="68" spans="1:7" ht="13.5" thickBot="1">
      <c r="A68" s="103" t="s">
        <v>73</v>
      </c>
      <c r="B68" s="127">
        <f>'Chromaticity Calculations'!AI5</f>
        <v>93.442399759942447</v>
      </c>
      <c r="C68" s="110" t="s">
        <v>74</v>
      </c>
      <c r="D68" s="128"/>
      <c r="E68" s="103" t="s">
        <v>71</v>
      </c>
      <c r="F68" s="127">
        <f>'Chromaticity Calculations'!AI10</f>
        <v>74.937080571134643</v>
      </c>
      <c r="G68" s="110" t="s">
        <v>74</v>
      </c>
    </row>
    <row r="69" spans="1:7" ht="13.5" thickBot="1">
      <c r="A69" s="91"/>
      <c r="B69" s="40"/>
      <c r="C69" s="40"/>
      <c r="D69" s="40"/>
      <c r="E69" s="40"/>
      <c r="F69" s="40"/>
      <c r="G69" s="92"/>
    </row>
    <row r="70" spans="1:7" ht="13.5" thickBot="1">
      <c r="A70" s="297" t="s">
        <v>96</v>
      </c>
      <c r="B70" s="312"/>
      <c r="C70" s="298"/>
      <c r="E70" s="297" t="s">
        <v>117</v>
      </c>
      <c r="F70" s="312"/>
      <c r="G70" s="298"/>
    </row>
    <row r="71" spans="1:7">
      <c r="A71" s="91"/>
      <c r="B71" s="40"/>
      <c r="C71" s="92"/>
      <c r="E71" s="91"/>
      <c r="F71" s="40"/>
      <c r="G71" s="92"/>
    </row>
    <row r="72" spans="1:7" ht="13.5" thickBot="1">
      <c r="A72" s="103" t="s">
        <v>72</v>
      </c>
      <c r="B72" s="127">
        <f>'Chromaticity Calculations'!AI15</f>
        <v>41.824905955877774</v>
      </c>
      <c r="C72" s="110" t="s">
        <v>74</v>
      </c>
      <c r="E72" s="103" t="s">
        <v>114</v>
      </c>
      <c r="F72" s="127">
        <f>'Chromaticity Calculations'!AI19</f>
        <v>38.794933415298004</v>
      </c>
      <c r="G72" s="110" t="s">
        <v>74</v>
      </c>
    </row>
    <row r="73" spans="1:7" ht="13.5" thickBot="1">
      <c r="A73" s="94"/>
      <c r="B73" s="70"/>
      <c r="C73" s="129"/>
      <c r="D73" s="127"/>
      <c r="E73" s="104"/>
      <c r="F73" s="70"/>
      <c r="G73" s="95"/>
    </row>
    <row r="74" spans="1:7" ht="13.5" thickBot="1">
      <c r="C74" s="101"/>
      <c r="D74" s="126"/>
      <c r="E74" s="82"/>
      <c r="F74" s="40"/>
    </row>
    <row r="75" spans="1:7" ht="15.75" thickBot="1">
      <c r="A75" s="121" t="s">
        <v>118</v>
      </c>
      <c r="B75" s="106"/>
      <c r="C75" s="106"/>
      <c r="D75" s="106"/>
      <c r="E75" s="106"/>
      <c r="F75" s="106"/>
      <c r="G75" s="107"/>
    </row>
    <row r="76" spans="1:7" ht="13.5" thickBot="1">
      <c r="A76" s="91"/>
      <c r="B76" s="40"/>
      <c r="C76" s="101"/>
      <c r="D76" s="126"/>
      <c r="E76" s="82"/>
      <c r="F76" s="40"/>
      <c r="G76" s="92"/>
    </row>
    <row r="77" spans="1:7" ht="13.5" thickBot="1">
      <c r="A77" s="91"/>
      <c r="B77" s="297" t="s">
        <v>119</v>
      </c>
      <c r="C77" s="298"/>
      <c r="D77" s="126"/>
      <c r="E77" s="297" t="s">
        <v>121</v>
      </c>
      <c r="F77" s="298"/>
      <c r="G77" s="92"/>
    </row>
    <row r="78" spans="1:7">
      <c r="A78" s="91"/>
      <c r="B78" s="91"/>
      <c r="C78" s="92"/>
      <c r="D78" s="126"/>
      <c r="E78" s="91"/>
      <c r="F78" s="92"/>
      <c r="G78" s="92"/>
    </row>
    <row r="79" spans="1:7" ht="13.5" thickBot="1">
      <c r="A79" s="91"/>
      <c r="B79" s="103" t="s">
        <v>120</v>
      </c>
      <c r="C79" s="155">
        <f>B68/D11</f>
        <v>1.6959420412626378</v>
      </c>
      <c r="D79" s="126"/>
      <c r="E79" s="103" t="s">
        <v>122</v>
      </c>
      <c r="F79" s="155">
        <f>F68/D11</f>
        <v>1.3600779273281705</v>
      </c>
      <c r="G79" s="92"/>
    </row>
    <row r="80" spans="1:7" ht="13.5" thickBot="1">
      <c r="A80" s="91"/>
      <c r="B80" s="40"/>
      <c r="C80" s="101"/>
      <c r="D80" s="126"/>
      <c r="E80" s="82"/>
      <c r="F80" s="40"/>
      <c r="G80" s="92"/>
    </row>
    <row r="81" spans="1:7" ht="13.5" thickBot="1">
      <c r="A81" s="91"/>
      <c r="B81" s="297" t="s">
        <v>123</v>
      </c>
      <c r="C81" s="298"/>
      <c r="D81" s="126"/>
      <c r="E81" s="297" t="s">
        <v>125</v>
      </c>
      <c r="F81" s="298"/>
      <c r="G81" s="92"/>
    </row>
    <row r="82" spans="1:7">
      <c r="A82" s="91"/>
      <c r="B82" s="91"/>
      <c r="C82" s="92"/>
      <c r="D82" s="126"/>
      <c r="E82" s="91"/>
      <c r="F82" s="92"/>
      <c r="G82" s="92"/>
    </row>
    <row r="83" spans="1:7" ht="13.5" thickBot="1">
      <c r="A83" s="91"/>
      <c r="B83" s="103" t="s">
        <v>124</v>
      </c>
      <c r="C83" s="155">
        <f>B72/D11</f>
        <v>0.75910525162729303</v>
      </c>
      <c r="D83" s="126"/>
      <c r="E83" s="103" t="s">
        <v>126</v>
      </c>
      <c r="F83" s="155">
        <f>F72/D11</f>
        <v>0.7041124664607944</v>
      </c>
      <c r="G83" s="92"/>
    </row>
    <row r="84" spans="1:7" ht="13.5" thickBot="1">
      <c r="A84" s="94"/>
      <c r="B84" s="129"/>
      <c r="C84" s="127"/>
      <c r="D84" s="127"/>
      <c r="E84" s="129"/>
      <c r="F84" s="127"/>
      <c r="G84" s="95"/>
    </row>
    <row r="85" spans="1:7" ht="13.5" thickBot="1">
      <c r="C85" s="101"/>
      <c r="D85" s="126"/>
      <c r="E85" s="82"/>
      <c r="F85" s="40"/>
    </row>
    <row r="86" spans="1:7" ht="15.75" thickBot="1">
      <c r="A86" s="121" t="s">
        <v>97</v>
      </c>
      <c r="B86" s="106"/>
      <c r="C86" s="130"/>
      <c r="D86" s="131"/>
      <c r="E86" s="132"/>
      <c r="F86" s="106"/>
      <c r="G86" s="107"/>
    </row>
    <row r="87" spans="1:7" ht="13.5" thickBot="1">
      <c r="A87" s="91"/>
      <c r="B87" s="40"/>
      <c r="C87" s="40"/>
      <c r="D87" s="40"/>
      <c r="E87" s="40"/>
      <c r="F87" s="40"/>
      <c r="G87" s="92"/>
    </row>
    <row r="88" spans="1:7" ht="15.75" thickBot="1">
      <c r="A88" s="299" t="s">
        <v>55</v>
      </c>
      <c r="B88" s="300"/>
      <c r="C88" s="301"/>
      <c r="D88" s="40"/>
      <c r="E88" s="299" t="s">
        <v>62</v>
      </c>
      <c r="F88" s="300"/>
      <c r="G88" s="301"/>
    </row>
    <row r="89" spans="1:7">
      <c r="A89" s="91"/>
      <c r="B89" s="40"/>
      <c r="C89" s="92"/>
      <c r="D89" s="40"/>
      <c r="E89" s="91"/>
      <c r="F89" s="40"/>
      <c r="G89" s="92"/>
    </row>
    <row r="90" spans="1:7">
      <c r="A90" s="93" t="s">
        <v>60</v>
      </c>
      <c r="B90" s="125">
        <f>'Chromaticity Calculations'!P5</f>
        <v>0.28533383661524631</v>
      </c>
      <c r="C90" s="92"/>
      <c r="D90" s="40"/>
      <c r="E90" s="93" t="s">
        <v>63</v>
      </c>
      <c r="F90" s="125">
        <f>'Chromaticity Calculations'!X5</f>
        <v>0.60423750502060458</v>
      </c>
      <c r="G90" s="92"/>
    </row>
    <row r="91" spans="1:7">
      <c r="A91" s="93" t="s">
        <v>61</v>
      </c>
      <c r="B91" s="125">
        <f>'Chromaticity Calculations'!P6</f>
        <v>0.45453000598618615</v>
      </c>
      <c r="C91" s="92"/>
      <c r="D91" s="40"/>
      <c r="E91" s="93" t="s">
        <v>64</v>
      </c>
      <c r="F91" s="125">
        <f>'Chromaticity Calculations'!X6</f>
        <v>0.39489820144348392</v>
      </c>
      <c r="G91" s="92"/>
    </row>
    <row r="92" spans="1:7" ht="13.5" thickBot="1">
      <c r="A92" s="94"/>
      <c r="B92" s="70"/>
      <c r="C92" s="95"/>
      <c r="D92" s="40"/>
      <c r="E92" s="94"/>
      <c r="F92" s="70"/>
      <c r="G92" s="95"/>
    </row>
    <row r="93" spans="1:7" ht="13.5" thickBot="1">
      <c r="A93" s="94"/>
      <c r="B93" s="70"/>
      <c r="C93" s="70"/>
      <c r="D93" s="70"/>
      <c r="E93" s="70"/>
      <c r="F93" s="70"/>
      <c r="G93" s="95"/>
    </row>
    <row r="94" spans="1:7" ht="13.5" thickBot="1"/>
    <row r="95" spans="1:7" ht="15.75" thickBot="1">
      <c r="A95" s="121" t="s">
        <v>110</v>
      </c>
      <c r="B95" s="106"/>
      <c r="C95" s="106"/>
      <c r="D95" s="106"/>
      <c r="E95" s="106"/>
      <c r="F95" s="106"/>
      <c r="G95" s="107"/>
    </row>
    <row r="96" spans="1:7" ht="15">
      <c r="A96" s="139"/>
      <c r="B96" s="140"/>
      <c r="C96" s="140"/>
      <c r="D96" s="140"/>
      <c r="E96" s="140"/>
      <c r="F96" s="140"/>
      <c r="G96" s="141"/>
    </row>
    <row r="97" spans="1:8">
      <c r="A97" s="56" t="s">
        <v>109</v>
      </c>
      <c r="B97" s="40"/>
      <c r="C97" s="40"/>
      <c r="D97" s="120">
        <f>Neutrality!F18</f>
        <v>56.63001565438838</v>
      </c>
      <c r="E97" s="143" t="s">
        <v>74</v>
      </c>
      <c r="F97" s="40"/>
      <c r="G97" s="92"/>
      <c r="H97" t="s">
        <v>132</v>
      </c>
    </row>
    <row r="98" spans="1:8" ht="15.75" thickBot="1">
      <c r="A98" s="142"/>
      <c r="B98" s="70"/>
      <c r="C98" s="70"/>
      <c r="D98" s="70"/>
      <c r="E98" s="70"/>
      <c r="F98" s="70"/>
      <c r="G98" s="95"/>
      <c r="H98" t="s">
        <v>133</v>
      </c>
    </row>
    <row r="101" spans="1:8" ht="15">
      <c r="A101" s="71" t="s">
        <v>98</v>
      </c>
    </row>
    <row r="155" spans="1:1" ht="15.75">
      <c r="A155" s="72" t="s">
        <v>155</v>
      </c>
    </row>
    <row r="164" ht="12.75" customHeight="1"/>
    <row r="181" spans="1:15" ht="15.75">
      <c r="A181" s="72"/>
    </row>
    <row r="182" spans="1:15" ht="13.5" thickBot="1"/>
    <row r="183" spans="1:15" ht="15.75" thickBot="1">
      <c r="A183" s="251" t="s">
        <v>156</v>
      </c>
      <c r="B183" s="245"/>
      <c r="C183" s="245"/>
      <c r="D183" s="246"/>
    </row>
    <row r="184" spans="1:15">
      <c r="A184" s="174" t="s">
        <v>180</v>
      </c>
      <c r="B184" s="175"/>
      <c r="C184" s="175"/>
      <c r="D184" s="277">
        <v>0.99999931934782604</v>
      </c>
    </row>
    <row r="185" spans="1:15" ht="13.5" thickBot="1">
      <c r="A185" s="176" t="s">
        <v>181</v>
      </c>
      <c r="B185" s="177"/>
      <c r="C185" s="177"/>
      <c r="D185" s="278">
        <v>0.99999102639344262</v>
      </c>
    </row>
    <row r="187" spans="1:15" ht="13.5" thickBot="1">
      <c r="A187" s="181"/>
      <c r="B187" s="175"/>
      <c r="C187" s="175"/>
      <c r="D187" s="182"/>
    </row>
    <row r="188" spans="1:15" ht="15.75" thickBot="1">
      <c r="A188" s="183" t="s">
        <v>172</v>
      </c>
      <c r="B188" s="184"/>
      <c r="C188" s="184"/>
      <c r="D188" s="184"/>
      <c r="E188" s="107"/>
      <c r="F188" s="128"/>
    </row>
    <row r="189" spans="1:15" ht="15.75" thickBot="1">
      <c r="A189" s="204"/>
      <c r="B189" s="175"/>
      <c r="C189" s="175"/>
      <c r="D189" s="175"/>
      <c r="E189" s="92"/>
      <c r="F189" s="128"/>
      <c r="H189" s="239"/>
      <c r="I189" s="239"/>
      <c r="J189" s="128"/>
      <c r="N189" s="279">
        <v>200</v>
      </c>
      <c r="O189" s="279">
        <v>3.2756E-2</v>
      </c>
    </row>
    <row r="190" spans="1:15" ht="15.75" thickBot="1">
      <c r="A190" s="304" t="s">
        <v>164</v>
      </c>
      <c r="B190" s="305"/>
      <c r="C190" s="305"/>
      <c r="D190" s="305"/>
      <c r="E190" s="306"/>
      <c r="F190" s="128"/>
      <c r="H190" s="128"/>
      <c r="I190" s="128"/>
      <c r="J190" s="128"/>
      <c r="N190" s="279">
        <v>202</v>
      </c>
      <c r="O190" s="279">
        <v>1.4104E-2</v>
      </c>
    </row>
    <row r="191" spans="1:15" ht="15.75" thickBot="1">
      <c r="A191" s="304" t="s">
        <v>159</v>
      </c>
      <c r="B191" s="305"/>
      <c r="C191" s="306"/>
      <c r="D191" s="305" t="s">
        <v>140</v>
      </c>
      <c r="E191" s="306"/>
      <c r="F191" s="185"/>
      <c r="H191" s="228"/>
      <c r="I191" s="228"/>
      <c r="J191" s="228"/>
      <c r="N191" s="279">
        <v>200</v>
      </c>
      <c r="O191" s="279">
        <v>-2.1319000000000001E-2</v>
      </c>
    </row>
    <row r="192" spans="1:15" ht="15">
      <c r="A192" s="180" t="s">
        <v>178</v>
      </c>
      <c r="B192" s="178" t="s">
        <v>160</v>
      </c>
      <c r="C192" s="179" t="s">
        <v>161</v>
      </c>
      <c r="D192" s="252" t="s">
        <v>162</v>
      </c>
      <c r="E192" s="253" t="s">
        <v>163</v>
      </c>
      <c r="F192" s="128"/>
      <c r="H192" s="228"/>
      <c r="I192" s="228"/>
      <c r="J192" s="228"/>
      <c r="N192" s="279">
        <v>202</v>
      </c>
      <c r="O192" s="279">
        <v>-6.3800000000000003E-3</v>
      </c>
    </row>
    <row r="193" spans="1:15" s="223" customFormat="1" ht="12.75" customHeight="1">
      <c r="A193" s="195">
        <v>3.0000000000000001E-6</v>
      </c>
      <c r="B193" s="198">
        <v>0.1</v>
      </c>
      <c r="C193" s="188">
        <v>1</v>
      </c>
      <c r="D193" s="200">
        <f>10000%/100</f>
        <v>1</v>
      </c>
      <c r="E193" s="190">
        <v>0.74399999999999999</v>
      </c>
      <c r="F193" s="128"/>
      <c r="G193"/>
      <c r="H193" s="242"/>
      <c r="I193" s="240"/>
      <c r="J193" s="240"/>
      <c r="N193" s="279">
        <v>204</v>
      </c>
      <c r="O193" s="279">
        <v>-1.745E-3</v>
      </c>
    </row>
    <row r="194" spans="1:15">
      <c r="A194" s="196">
        <v>3.0000000000000001E-6</v>
      </c>
      <c r="B194" s="199">
        <v>0.09</v>
      </c>
      <c r="C194" s="189">
        <v>1</v>
      </c>
      <c r="D194" s="201">
        <f>7440%/100</f>
        <v>0.74400000000000011</v>
      </c>
      <c r="E194" s="191">
        <v>0.58099999999999996</v>
      </c>
      <c r="F194" s="128"/>
      <c r="H194" s="243"/>
      <c r="I194" s="241"/>
      <c r="J194" s="241"/>
      <c r="N194" s="279">
        <v>200</v>
      </c>
      <c r="O194" s="279">
        <v>1.5280999999999999E-2</v>
      </c>
    </row>
    <row r="195" spans="1:15" ht="15">
      <c r="A195" s="196">
        <v>3.0000000000000001E-6</v>
      </c>
      <c r="B195" s="199">
        <v>7.0000000000000007E-2</v>
      </c>
      <c r="C195" s="189">
        <v>1</v>
      </c>
      <c r="D195" s="202">
        <v>0.58099999999999996</v>
      </c>
      <c r="E195" s="191">
        <v>0.432</v>
      </c>
      <c r="H195" s="228"/>
      <c r="I195" s="228"/>
      <c r="J195" s="228"/>
      <c r="N195" s="279">
        <v>202</v>
      </c>
      <c r="O195" s="279">
        <v>7.3150000000000003E-3</v>
      </c>
    </row>
    <row r="196" spans="1:15" ht="15">
      <c r="A196" s="196">
        <v>3.0000000000000001E-6</v>
      </c>
      <c r="B196" s="199">
        <v>0.05</v>
      </c>
      <c r="C196" s="189">
        <v>1</v>
      </c>
      <c r="D196" s="202">
        <v>0.432</v>
      </c>
      <c r="E196" s="191">
        <v>0.29099999999999998</v>
      </c>
      <c r="H196" s="228"/>
      <c r="I196" s="228"/>
      <c r="J196" s="228"/>
      <c r="N196" s="279">
        <v>204</v>
      </c>
      <c r="O196" s="279">
        <v>2.6600000000000001E-4</v>
      </c>
    </row>
    <row r="197" spans="1:15">
      <c r="A197" s="196">
        <v>3.0000000000000001E-6</v>
      </c>
      <c r="B197" s="199">
        <v>0.03</v>
      </c>
      <c r="C197" s="189">
        <v>1</v>
      </c>
      <c r="D197" s="202">
        <v>0.29099999999999998</v>
      </c>
      <c r="E197" s="191">
        <v>0.17799999999999999</v>
      </c>
      <c r="H197" s="242"/>
      <c r="I197" s="240"/>
      <c r="J197" s="240"/>
      <c r="N197" s="279">
        <v>206</v>
      </c>
      <c r="O197" s="279">
        <v>2.2800000000000001E-4</v>
      </c>
    </row>
    <row r="198" spans="1:15">
      <c r="A198" s="196">
        <v>3.0000000000000001E-6</v>
      </c>
      <c r="B198" s="189">
        <v>0.02</v>
      </c>
      <c r="C198" s="189">
        <v>1</v>
      </c>
      <c r="D198" s="202">
        <v>0.17799999999999999</v>
      </c>
      <c r="E198" s="191">
        <v>8.5000000000000006E-2</v>
      </c>
      <c r="H198" s="243"/>
      <c r="I198" s="241"/>
      <c r="J198" s="241"/>
      <c r="N198" s="279">
        <v>208</v>
      </c>
      <c r="O198" s="279">
        <v>-1.065E-3</v>
      </c>
    </row>
    <row r="199" spans="1:15" ht="15">
      <c r="A199" s="196">
        <v>3.0000000000000001E-6</v>
      </c>
      <c r="B199" s="187">
        <v>8.0000000000000002E-3</v>
      </c>
      <c r="C199" s="189">
        <v>1</v>
      </c>
      <c r="D199" s="202">
        <v>8.5000000000000006E-2</v>
      </c>
      <c r="E199" s="191">
        <v>3.2000000000000001E-2</v>
      </c>
      <c r="H199" s="228"/>
      <c r="I199" s="239"/>
      <c r="J199" s="239"/>
      <c r="K199" s="239"/>
      <c r="L199" s="128"/>
      <c r="N199" s="279">
        <v>210</v>
      </c>
      <c r="O199" s="279">
        <v>3.3500000000000001E-4</v>
      </c>
    </row>
    <row r="200" spans="1:15" ht="15.75" thickBot="1">
      <c r="A200" s="197">
        <v>3.0000000000000001E-6</v>
      </c>
      <c r="B200" s="193">
        <v>3.0000000000000001E-3</v>
      </c>
      <c r="C200" s="192">
        <v>1</v>
      </c>
      <c r="D200" s="203">
        <v>3.2000000000000001E-2</v>
      </c>
      <c r="E200" s="194">
        <v>1.2E-2</v>
      </c>
      <c r="H200" s="228"/>
      <c r="I200" s="239"/>
      <c r="J200" s="239"/>
      <c r="K200" s="239"/>
      <c r="L200" s="128"/>
      <c r="N200" s="279">
        <v>212</v>
      </c>
      <c r="O200" s="279">
        <v>-9.3999999999999994E-5</v>
      </c>
    </row>
    <row r="201" spans="1:15" ht="15.75" thickBot="1">
      <c r="A201" s="304" t="s">
        <v>175</v>
      </c>
      <c r="B201" s="305"/>
      <c r="C201" s="306"/>
      <c r="D201" s="313" t="s">
        <v>179</v>
      </c>
      <c r="E201" s="314"/>
      <c r="F201" s="40"/>
      <c r="H201" s="228"/>
      <c r="I201" s="228"/>
      <c r="J201" s="228"/>
      <c r="K201" s="228"/>
      <c r="L201" s="228"/>
      <c r="N201" s="279">
        <v>214</v>
      </c>
      <c r="O201" s="279">
        <v>9.7999999999999997E-4</v>
      </c>
    </row>
    <row r="202" spans="1:15" ht="15.75" thickBot="1">
      <c r="A202" s="286">
        <v>9.7999999999999993E-6</v>
      </c>
      <c r="B202" s="287">
        <v>8.6799999999999999E-6</v>
      </c>
      <c r="C202" s="276">
        <v>1.035261E-2</v>
      </c>
      <c r="D202" s="315"/>
      <c r="E202" s="316"/>
      <c r="F202" s="40"/>
      <c r="H202" s="228"/>
      <c r="I202" s="228"/>
      <c r="J202" s="228"/>
      <c r="K202" s="228"/>
      <c r="L202" s="228"/>
      <c r="N202" s="279">
        <v>216</v>
      </c>
      <c r="O202" s="279">
        <v>-8.7000000000000001E-5</v>
      </c>
    </row>
    <row r="203" spans="1:15" ht="15.75" thickBot="1">
      <c r="A203" s="286"/>
      <c r="B203" s="287"/>
      <c r="C203" s="294"/>
      <c r="D203" s="295"/>
      <c r="E203" s="296"/>
      <c r="F203" s="40"/>
      <c r="H203" s="275"/>
      <c r="I203" s="228"/>
      <c r="J203" s="179"/>
      <c r="K203" s="275"/>
      <c r="L203" s="275"/>
      <c r="N203" s="280">
        <v>218</v>
      </c>
      <c r="O203" s="280">
        <v>-2.7E-4</v>
      </c>
    </row>
    <row r="204" spans="1:15" ht="15.75" thickBot="1">
      <c r="A204" s="183" t="s">
        <v>173</v>
      </c>
      <c r="B204" s="184"/>
      <c r="C204" s="184"/>
      <c r="D204" s="107"/>
      <c r="E204" s="230"/>
      <c r="H204" s="264"/>
      <c r="I204" s="179"/>
      <c r="J204" s="179"/>
      <c r="K204" s="275"/>
      <c r="L204" s="275"/>
      <c r="N204" s="279">
        <v>220</v>
      </c>
      <c r="O204" s="279">
        <v>3.7199999999999999E-4</v>
      </c>
    </row>
    <row r="205" spans="1:15" ht="15.75" thickBot="1">
      <c r="A205" s="204"/>
      <c r="B205" s="175"/>
      <c r="C205" s="175"/>
      <c r="D205" s="92"/>
      <c r="E205" s="230"/>
      <c r="H205" s="265"/>
      <c r="I205" s="266"/>
      <c r="J205" s="267"/>
      <c r="K205" s="268"/>
      <c r="L205" s="268"/>
      <c r="N205" s="279">
        <v>222</v>
      </c>
      <c r="O205" s="279">
        <v>-2.31E-4</v>
      </c>
    </row>
    <row r="206" spans="1:15" ht="15.75" thickBot="1">
      <c r="A206" s="304" t="s">
        <v>164</v>
      </c>
      <c r="B206" s="305"/>
      <c r="C206" s="305"/>
      <c r="D206" s="306"/>
      <c r="E206" s="230"/>
      <c r="H206" s="265"/>
      <c r="I206" s="266"/>
      <c r="J206" s="267"/>
      <c r="K206" s="268"/>
      <c r="L206" s="230"/>
      <c r="N206" s="279">
        <v>224</v>
      </c>
      <c r="O206" s="279">
        <v>6.9999999999999999E-6</v>
      </c>
    </row>
    <row r="207" spans="1:15" ht="15.75" thickBot="1">
      <c r="A207" s="304" t="s">
        <v>168</v>
      </c>
      <c r="B207" s="306"/>
      <c r="C207" s="304" t="s">
        <v>140</v>
      </c>
      <c r="D207" s="306"/>
      <c r="E207" s="230"/>
      <c r="H207" s="265"/>
      <c r="I207" s="266"/>
      <c r="J207" s="267"/>
      <c r="K207" s="230"/>
      <c r="L207" s="230"/>
      <c r="N207" s="279">
        <v>226</v>
      </c>
      <c r="O207" s="279">
        <v>-7.7200000000000001E-4</v>
      </c>
    </row>
    <row r="208" spans="1:15">
      <c r="A208" s="180" t="s">
        <v>171</v>
      </c>
      <c r="B208" s="178" t="s">
        <v>174</v>
      </c>
      <c r="C208" s="244" t="s">
        <v>162</v>
      </c>
      <c r="D208" s="247" t="s">
        <v>163</v>
      </c>
      <c r="E208" s="230"/>
      <c r="H208" s="265"/>
      <c r="I208" s="266"/>
      <c r="J208" s="267"/>
      <c r="K208" s="230"/>
      <c r="L208" s="230"/>
      <c r="N208" s="279">
        <v>228</v>
      </c>
      <c r="O208" s="279">
        <v>1.95E-4</v>
      </c>
    </row>
    <row r="209" spans="1:15">
      <c r="A209" s="212">
        <v>1E-3</v>
      </c>
      <c r="B209" s="198">
        <v>0.1</v>
      </c>
      <c r="C209" s="200">
        <f>10000%/100</f>
        <v>1</v>
      </c>
      <c r="D209" s="235">
        <v>0.18</v>
      </c>
      <c r="E209" s="40"/>
      <c r="H209" s="265"/>
      <c r="I209" s="266"/>
      <c r="J209" s="267"/>
      <c r="K209" s="230"/>
      <c r="L209" s="230"/>
      <c r="N209" s="279">
        <v>230</v>
      </c>
      <c r="O209" s="279">
        <v>9.3999999999999997E-4</v>
      </c>
    </row>
    <row r="210" spans="1:15">
      <c r="A210" s="214">
        <v>6.9999999999999999E-4</v>
      </c>
      <c r="B210" s="199">
        <v>0.1</v>
      </c>
      <c r="C210" s="206">
        <v>0.18</v>
      </c>
      <c r="D210" s="191">
        <v>8.5000000000000006E-2</v>
      </c>
      <c r="H210" s="265"/>
      <c r="I210" s="267"/>
      <c r="J210" s="267"/>
      <c r="K210" s="230"/>
      <c r="L210" s="267"/>
      <c r="N210" s="279">
        <v>232</v>
      </c>
      <c r="O210" s="279">
        <v>2.8E-5</v>
      </c>
    </row>
    <row r="211" spans="1:15">
      <c r="A211" s="214">
        <v>4.0000000000000002E-4</v>
      </c>
      <c r="B211" s="199">
        <v>0.1</v>
      </c>
      <c r="C211" s="202">
        <v>8.5000000000000006E-2</v>
      </c>
      <c r="D211" s="207">
        <v>3.1600000000000003E-2</v>
      </c>
      <c r="H211" s="265"/>
      <c r="I211" s="267"/>
      <c r="J211" s="267"/>
      <c r="K211" s="267"/>
      <c r="L211" s="267"/>
      <c r="N211" s="279">
        <v>234</v>
      </c>
      <c r="O211" s="279">
        <v>-1.83E-4</v>
      </c>
    </row>
    <row r="212" spans="1:15" ht="13.5" thickBot="1">
      <c r="A212" s="217">
        <v>2.0000000000000001E-4</v>
      </c>
      <c r="B212" s="236">
        <v>0.1</v>
      </c>
      <c r="C212" s="209">
        <v>3.1600000000000003E-2</v>
      </c>
      <c r="D212" s="210">
        <v>1.18E-2</v>
      </c>
      <c r="H212" s="128"/>
      <c r="I212" s="128"/>
      <c r="J212" s="128"/>
      <c r="K212" s="269"/>
      <c r="L212" s="269"/>
      <c r="N212" s="279">
        <v>236</v>
      </c>
      <c r="O212" s="279">
        <v>5.3000000000000001E-5</v>
      </c>
    </row>
    <row r="213" spans="1:15" ht="15.75" thickBot="1">
      <c r="A213" s="304" t="s">
        <v>176</v>
      </c>
      <c r="B213" s="305"/>
      <c r="C213" s="305"/>
      <c r="D213" s="306"/>
      <c r="H213" s="228"/>
      <c r="I213" s="228"/>
      <c r="J213" s="228"/>
      <c r="K213" s="228"/>
      <c r="L213" s="228"/>
      <c r="N213" s="279">
        <v>238</v>
      </c>
      <c r="O213" s="279">
        <v>5.8E-5</v>
      </c>
    </row>
    <row r="214" spans="1:15" ht="15">
      <c r="A214" s="180" t="s">
        <v>171</v>
      </c>
      <c r="B214" s="178" t="s">
        <v>174</v>
      </c>
      <c r="C214" s="226" t="s">
        <v>162</v>
      </c>
      <c r="D214" s="262" t="s">
        <v>163</v>
      </c>
      <c r="G214" s="228"/>
      <c r="H214" s="228"/>
      <c r="I214" s="228"/>
      <c r="J214" s="228"/>
      <c r="K214" s="228"/>
      <c r="L214" s="228"/>
      <c r="N214" s="279">
        <v>240</v>
      </c>
      <c r="O214" s="279">
        <v>1.03E-4</v>
      </c>
    </row>
    <row r="215" spans="1:15" ht="15">
      <c r="A215" s="212">
        <v>1E-3</v>
      </c>
      <c r="B215" s="237">
        <f>B209*$D$19/100</f>
        <v>6.389279599147224E-2</v>
      </c>
      <c r="C215" s="200">
        <f>10000%/100</f>
        <v>1</v>
      </c>
      <c r="D215" s="235">
        <v>0.18</v>
      </c>
      <c r="G215" s="128"/>
      <c r="H215" s="275"/>
      <c r="I215" s="228"/>
      <c r="J215" s="179"/>
      <c r="K215" s="275"/>
      <c r="L215" s="275"/>
      <c r="N215" s="279">
        <v>242</v>
      </c>
      <c r="O215" s="279">
        <v>-3.4E-5</v>
      </c>
    </row>
    <row r="216" spans="1:15" ht="15">
      <c r="A216" s="214">
        <v>6.9999999999999999E-4</v>
      </c>
      <c r="B216" s="229">
        <f>B210*$D$19/100</f>
        <v>6.389279599147224E-2</v>
      </c>
      <c r="C216" s="206">
        <v>0.18</v>
      </c>
      <c r="D216" s="191">
        <v>8.5000000000000006E-2</v>
      </c>
      <c r="G216" s="228"/>
      <c r="H216" s="264"/>
      <c r="I216" s="179"/>
      <c r="J216" s="179"/>
      <c r="K216" s="275"/>
      <c r="L216" s="275"/>
      <c r="N216" s="279">
        <v>244</v>
      </c>
      <c r="O216" s="279">
        <v>-2.4499999999999999E-4</v>
      </c>
    </row>
    <row r="217" spans="1:15" ht="15">
      <c r="A217" s="214">
        <v>4.0000000000000002E-4</v>
      </c>
      <c r="B217" s="229">
        <f>B211*$D$19/100</f>
        <v>6.389279599147224E-2</v>
      </c>
      <c r="C217" s="202">
        <v>8.5000000000000006E-2</v>
      </c>
      <c r="D217" s="207">
        <v>3.1600000000000003E-2</v>
      </c>
      <c r="F217" s="223"/>
      <c r="G217" s="228"/>
      <c r="H217" s="270"/>
      <c r="I217" s="271"/>
      <c r="J217" s="230"/>
      <c r="K217" s="268"/>
      <c r="L217" s="268"/>
      <c r="N217" s="279">
        <v>246</v>
      </c>
      <c r="O217" s="279">
        <v>1.94E-4</v>
      </c>
    </row>
    <row r="218" spans="1:15" ht="13.5" thickBot="1">
      <c r="A218" s="217">
        <v>2.0000000000000001E-4</v>
      </c>
      <c r="B218" s="238">
        <f>B212*$D$19/100</f>
        <v>6.389279599147224E-2</v>
      </c>
      <c r="C218" s="209">
        <v>3.1600000000000003E-2</v>
      </c>
      <c r="D218" s="210">
        <v>1.18E-2</v>
      </c>
      <c r="E218" s="223"/>
      <c r="G218" s="242"/>
      <c r="H218" s="270"/>
      <c r="I218" s="271"/>
      <c r="J218" s="230"/>
      <c r="K218" s="268"/>
      <c r="L218" s="230"/>
      <c r="N218" s="279">
        <v>248</v>
      </c>
      <c r="O218" s="279">
        <v>6.3E-5</v>
      </c>
    </row>
    <row r="219" spans="1:15" ht="15.75" thickBot="1">
      <c r="A219" s="304" t="s">
        <v>175</v>
      </c>
      <c r="B219" s="306"/>
      <c r="C219" s="228"/>
      <c r="D219" s="255"/>
      <c r="G219" s="243"/>
      <c r="H219" s="270"/>
      <c r="I219" s="271"/>
      <c r="J219" s="230"/>
      <c r="K219" s="230"/>
      <c r="L219" s="230"/>
      <c r="N219" s="279">
        <v>250</v>
      </c>
      <c r="O219" s="279">
        <v>-9.2E-5</v>
      </c>
    </row>
    <row r="220" spans="1:15" ht="15.75" thickBot="1">
      <c r="A220" s="288">
        <v>9.3172652084013489E-7</v>
      </c>
      <c r="B220" s="289">
        <v>4.8617647058823525E-7</v>
      </c>
      <c r="C220" s="261"/>
      <c r="D220" s="260"/>
      <c r="G220" s="228"/>
      <c r="H220" s="270"/>
      <c r="I220" s="271"/>
      <c r="J220" s="230"/>
      <c r="K220" s="230"/>
      <c r="L220" s="230"/>
      <c r="N220" s="279">
        <v>252</v>
      </c>
      <c r="O220" s="279">
        <v>1.27E-4</v>
      </c>
    </row>
    <row r="221" spans="1:15" ht="13.5" thickBot="1">
      <c r="A221" s="256"/>
      <c r="B221" s="40"/>
      <c r="C221" s="40"/>
      <c r="D221" s="257"/>
      <c r="E221" s="78"/>
      <c r="F221" s="40"/>
      <c r="G221" s="242"/>
      <c r="H221" s="270"/>
      <c r="I221" s="271"/>
      <c r="J221" s="230"/>
      <c r="K221" s="230"/>
      <c r="L221" s="230"/>
      <c r="N221" s="279">
        <v>254</v>
      </c>
      <c r="O221" s="279">
        <v>-2.4000000000000001E-4</v>
      </c>
    </row>
    <row r="222" spans="1:15" ht="15.75" thickBot="1">
      <c r="A222" s="299" t="s">
        <v>177</v>
      </c>
      <c r="B222" s="300"/>
      <c r="C222" s="300"/>
      <c r="D222" s="301"/>
      <c r="E222" s="228"/>
      <c r="G222" s="243"/>
      <c r="H222" s="270"/>
      <c r="I222" s="230"/>
      <c r="J222" s="230"/>
      <c r="K222" s="230"/>
      <c r="L222" s="267"/>
      <c r="N222" s="279">
        <v>256</v>
      </c>
      <c r="O222" s="279">
        <v>9.2E-5</v>
      </c>
    </row>
    <row r="223" spans="1:15" ht="15.75" thickBot="1">
      <c r="A223" s="176" t="s">
        <v>182</v>
      </c>
      <c r="B223" s="177"/>
      <c r="C223" s="177"/>
      <c r="D223" s="290">
        <v>8.6799999999999999E-6</v>
      </c>
      <c r="E223" s="228"/>
      <c r="G223" s="243"/>
      <c r="H223" s="272"/>
      <c r="I223" s="230"/>
      <c r="J223" s="230"/>
      <c r="K223" s="267"/>
      <c r="L223" s="267"/>
      <c r="N223" s="279">
        <v>258</v>
      </c>
      <c r="O223" s="279">
        <v>-2.2699999999999999E-4</v>
      </c>
    </row>
    <row r="224" spans="1:15" ht="15">
      <c r="E224" s="228"/>
      <c r="H224" s="128"/>
      <c r="I224" s="128"/>
      <c r="J224" s="128"/>
      <c r="K224" s="128"/>
      <c r="L224" s="128"/>
      <c r="N224" s="279">
        <v>260</v>
      </c>
      <c r="O224" s="279">
        <v>-2.4899999999999998E-4</v>
      </c>
    </row>
    <row r="225" spans="1:15" ht="15.75" thickBot="1">
      <c r="H225" s="228"/>
      <c r="I225" s="228"/>
      <c r="J225" s="228"/>
      <c r="K225" s="228"/>
      <c r="L225" s="228"/>
      <c r="N225" s="279">
        <v>262</v>
      </c>
      <c r="O225" s="279">
        <v>-1.1400000000000001E-4</v>
      </c>
    </row>
    <row r="226" spans="1:15" ht="15.75" thickBot="1">
      <c r="A226" s="183" t="s">
        <v>170</v>
      </c>
      <c r="B226" s="184"/>
      <c r="C226" s="184"/>
      <c r="D226" s="184"/>
      <c r="E226" s="107"/>
      <c r="H226" s="240"/>
      <c r="I226" s="128"/>
      <c r="J226" s="128"/>
      <c r="K226" s="128"/>
      <c r="L226" s="273"/>
      <c r="N226" s="279">
        <v>264</v>
      </c>
      <c r="O226" s="279">
        <v>-2.9700000000000001E-4</v>
      </c>
    </row>
    <row r="227" spans="1:15" ht="15.75" thickBot="1">
      <c r="A227" s="204"/>
      <c r="B227" s="175"/>
      <c r="C227" s="175"/>
      <c r="D227" s="175"/>
      <c r="E227" s="92"/>
      <c r="H227" s="240"/>
      <c r="I227" s="128"/>
      <c r="J227" s="128"/>
      <c r="K227" s="128"/>
      <c r="L227" s="274"/>
      <c r="N227" s="279">
        <v>266</v>
      </c>
      <c r="O227" s="279">
        <v>3.1E-4</v>
      </c>
    </row>
    <row r="228" spans="1:15" ht="15.75" thickBot="1">
      <c r="A228" s="304" t="s">
        <v>164</v>
      </c>
      <c r="B228" s="305"/>
      <c r="C228" s="305"/>
      <c r="D228" s="305"/>
      <c r="E228" s="306"/>
      <c r="H228" s="240"/>
      <c r="I228" s="128"/>
      <c r="J228" s="128"/>
      <c r="K228" s="128"/>
      <c r="L228" s="274"/>
      <c r="N228" s="279">
        <v>268</v>
      </c>
      <c r="O228" s="279">
        <v>-6.4999999999999994E-5</v>
      </c>
    </row>
    <row r="229" spans="1:15" ht="15.75" thickBot="1">
      <c r="A229" s="304" t="s">
        <v>168</v>
      </c>
      <c r="B229" s="305"/>
      <c r="C229" s="305"/>
      <c r="D229" s="304" t="s">
        <v>140</v>
      </c>
      <c r="E229" s="306"/>
      <c r="N229" s="279">
        <v>270</v>
      </c>
      <c r="O229" s="279">
        <v>2.1599999999999999E-4</v>
      </c>
    </row>
    <row r="230" spans="1:15" ht="15">
      <c r="A230" s="317" t="s">
        <v>162</v>
      </c>
      <c r="B230" s="318"/>
      <c r="C230" s="226" t="s">
        <v>169</v>
      </c>
      <c r="D230" s="319" t="s">
        <v>162</v>
      </c>
      <c r="E230" s="321" t="s">
        <v>163</v>
      </c>
      <c r="F230" s="40"/>
      <c r="N230" s="279">
        <v>272</v>
      </c>
      <c r="O230" s="279">
        <v>-2.0000000000000002E-5</v>
      </c>
    </row>
    <row r="231" spans="1:15">
      <c r="A231" s="224" t="s">
        <v>165</v>
      </c>
      <c r="B231" s="225" t="s">
        <v>166</v>
      </c>
      <c r="C231" s="227" t="s">
        <v>167</v>
      </c>
      <c r="D231" s="320"/>
      <c r="E231" s="322"/>
      <c r="N231" s="279">
        <v>274</v>
      </c>
      <c r="O231" s="279">
        <v>-1.0000000000000001E-5</v>
      </c>
    </row>
    <row r="232" spans="1:15">
      <c r="A232" s="213">
        <v>0.1</v>
      </c>
      <c r="B232" s="198">
        <v>1</v>
      </c>
      <c r="C232" s="188">
        <v>1</v>
      </c>
      <c r="D232" s="206">
        <f>10000%/100</f>
        <v>1</v>
      </c>
      <c r="E232" s="205">
        <v>0.8</v>
      </c>
      <c r="N232" s="279">
        <v>276</v>
      </c>
      <c r="O232" s="279">
        <v>6.4999999999999994E-5</v>
      </c>
    </row>
    <row r="233" spans="1:15">
      <c r="A233" s="215">
        <v>0.1</v>
      </c>
      <c r="B233" s="199">
        <v>1</v>
      </c>
      <c r="C233" s="189">
        <v>1</v>
      </c>
      <c r="D233" s="206">
        <v>0.8</v>
      </c>
      <c r="E233" s="191">
        <v>0.58099999999999996</v>
      </c>
      <c r="N233" s="279">
        <v>278</v>
      </c>
      <c r="O233" s="279">
        <v>-6.0000000000000002E-6</v>
      </c>
    </row>
    <row r="234" spans="1:15">
      <c r="A234" s="215">
        <v>0.1</v>
      </c>
      <c r="B234" s="199">
        <v>1</v>
      </c>
      <c r="C234" s="189">
        <v>1</v>
      </c>
      <c r="D234" s="202">
        <v>0.58099999999999996</v>
      </c>
      <c r="E234" s="191">
        <v>0.432</v>
      </c>
      <c r="N234" s="279">
        <v>280</v>
      </c>
      <c r="O234" s="279">
        <v>2.43E-4</v>
      </c>
    </row>
    <row r="235" spans="1:15">
      <c r="A235" s="215">
        <v>0.1</v>
      </c>
      <c r="B235" s="199">
        <v>1</v>
      </c>
      <c r="C235" s="189">
        <v>1</v>
      </c>
      <c r="D235" s="202">
        <v>0.432</v>
      </c>
      <c r="E235" s="191">
        <v>0.29099999999999998</v>
      </c>
      <c r="N235" s="279">
        <v>282</v>
      </c>
      <c r="O235" s="279">
        <v>1.4799999999999999E-4</v>
      </c>
    </row>
    <row r="236" spans="1:15">
      <c r="A236" s="215">
        <v>0.1</v>
      </c>
      <c r="B236" s="199">
        <v>1</v>
      </c>
      <c r="C236" s="189">
        <v>1</v>
      </c>
      <c r="D236" s="202">
        <v>0.29099999999999998</v>
      </c>
      <c r="E236" s="191">
        <v>0.17799999999999999</v>
      </c>
      <c r="N236" s="279">
        <v>284</v>
      </c>
      <c r="O236" s="279">
        <v>-5.2899999999999996E-4</v>
      </c>
    </row>
    <row r="237" spans="1:15">
      <c r="A237" s="215">
        <v>0.01</v>
      </c>
      <c r="B237" s="189">
        <v>0.5</v>
      </c>
      <c r="C237" s="189">
        <v>0.5</v>
      </c>
      <c r="D237" s="202">
        <v>0.17799999999999999</v>
      </c>
      <c r="E237" s="208">
        <v>0.08</v>
      </c>
      <c r="N237" s="279">
        <v>286</v>
      </c>
      <c r="O237" s="279">
        <v>-4.1599999999999997E-4</v>
      </c>
    </row>
    <row r="238" spans="1:15" ht="13.5" thickBot="1">
      <c r="A238" s="218">
        <v>0.01</v>
      </c>
      <c r="B238" s="192">
        <v>0.5</v>
      </c>
      <c r="C238" s="192">
        <v>0.5</v>
      </c>
      <c r="D238" s="219">
        <v>0.08</v>
      </c>
      <c r="E238" s="220">
        <v>0.03</v>
      </c>
      <c r="N238" s="279">
        <v>288</v>
      </c>
      <c r="O238" s="279">
        <v>2.7500000000000002E-4</v>
      </c>
    </row>
    <row r="239" spans="1:15" ht="15.75" thickBot="1">
      <c r="A239" s="304" t="s">
        <v>176</v>
      </c>
      <c r="B239" s="305"/>
      <c r="C239" s="305"/>
      <c r="D239" s="305"/>
      <c r="E239" s="306"/>
      <c r="N239" s="279">
        <v>290</v>
      </c>
      <c r="O239" s="279">
        <v>5.9000000000000003E-4</v>
      </c>
    </row>
    <row r="240" spans="1:15" ht="15">
      <c r="A240" s="317" t="s">
        <v>162</v>
      </c>
      <c r="B240" s="318"/>
      <c r="C240" s="226" t="s">
        <v>169</v>
      </c>
      <c r="D240" s="319" t="s">
        <v>162</v>
      </c>
      <c r="E240" s="321" t="s">
        <v>163</v>
      </c>
      <c r="N240" s="279">
        <v>292</v>
      </c>
      <c r="O240" s="279">
        <v>1.15E-4</v>
      </c>
    </row>
    <row r="241" spans="1:15">
      <c r="A241" s="224" t="s">
        <v>165</v>
      </c>
      <c r="B241" s="225" t="s">
        <v>166</v>
      </c>
      <c r="C241" s="227" t="s">
        <v>167</v>
      </c>
      <c r="D241" s="320"/>
      <c r="E241" s="322"/>
      <c r="N241" s="279">
        <v>294</v>
      </c>
      <c r="O241" s="279">
        <v>-1.2999999999999999E-5</v>
      </c>
    </row>
    <row r="242" spans="1:15">
      <c r="A242" s="211">
        <f t="shared" ref="A242:C243" si="0">A232*$D$19/100</f>
        <v>6.389279599147224E-2</v>
      </c>
      <c r="B242" s="221">
        <f t="shared" si="0"/>
        <v>0.6389279599147224</v>
      </c>
      <c r="C242" s="186">
        <f t="shared" si="0"/>
        <v>0.6389279599147224</v>
      </c>
      <c r="D242" s="206">
        <f>10000%/100</f>
        <v>1</v>
      </c>
      <c r="E242" s="205">
        <v>0.8</v>
      </c>
      <c r="N242" s="279">
        <v>296</v>
      </c>
      <c r="O242" s="279">
        <v>-2.33E-4</v>
      </c>
    </row>
    <row r="243" spans="1:15">
      <c r="A243" s="214">
        <f t="shared" si="0"/>
        <v>6.389279599147224E-2</v>
      </c>
      <c r="B243" s="222">
        <f t="shared" si="0"/>
        <v>0.6389279599147224</v>
      </c>
      <c r="C243" s="222">
        <f t="shared" si="0"/>
        <v>0.6389279599147224</v>
      </c>
      <c r="D243" s="206">
        <v>0.8</v>
      </c>
      <c r="E243" s="191">
        <v>0.58099999999999996</v>
      </c>
      <c r="N243" s="279">
        <v>298</v>
      </c>
      <c r="O243" s="279">
        <v>5.3899999999999998E-4</v>
      </c>
    </row>
    <row r="244" spans="1:15">
      <c r="A244" s="214">
        <f t="shared" ref="A244:C244" si="1">A234*$D$19/100</f>
        <v>6.389279599147224E-2</v>
      </c>
      <c r="B244" s="222">
        <f t="shared" si="1"/>
        <v>0.6389279599147224</v>
      </c>
      <c r="C244" s="222">
        <f t="shared" si="1"/>
        <v>0.6389279599147224</v>
      </c>
      <c r="D244" s="202">
        <v>0.58099999999999996</v>
      </c>
      <c r="E244" s="191">
        <v>0.432</v>
      </c>
      <c r="N244" s="279">
        <v>300</v>
      </c>
      <c r="O244" s="279">
        <v>-1.4200000000000001E-4</v>
      </c>
    </row>
    <row r="245" spans="1:15">
      <c r="A245" s="214">
        <f t="shared" ref="A245:C245" si="2">A235*$D$19/100</f>
        <v>6.389279599147224E-2</v>
      </c>
      <c r="B245" s="222">
        <f t="shared" si="2"/>
        <v>0.6389279599147224</v>
      </c>
      <c r="C245" s="222">
        <f t="shared" si="2"/>
        <v>0.6389279599147224</v>
      </c>
      <c r="D245" s="202">
        <v>0.432</v>
      </c>
      <c r="E245" s="191">
        <v>0.29099999999999998</v>
      </c>
      <c r="N245" s="279">
        <v>302</v>
      </c>
      <c r="O245" s="279">
        <v>-3.4400000000000001E-4</v>
      </c>
    </row>
    <row r="246" spans="1:15">
      <c r="A246" s="214">
        <f t="shared" ref="A246:C246" si="3">A236*$D$19/100</f>
        <v>6.389279599147224E-2</v>
      </c>
      <c r="B246" s="222">
        <f t="shared" si="3"/>
        <v>0.6389279599147224</v>
      </c>
      <c r="C246" s="222">
        <f t="shared" si="3"/>
        <v>0.6389279599147224</v>
      </c>
      <c r="D246" s="202">
        <v>0.29099999999999998</v>
      </c>
      <c r="E246" s="191">
        <v>0.17799999999999999</v>
      </c>
      <c r="N246" s="279">
        <v>304</v>
      </c>
      <c r="O246" s="279">
        <v>1.9699999999999999E-4</v>
      </c>
    </row>
    <row r="247" spans="1:15">
      <c r="A247" s="281">
        <f t="shared" ref="A247:C247" si="4">A237*$D$19/100</f>
        <v>6.3892795991472243E-3</v>
      </c>
      <c r="B247" s="222">
        <f t="shared" si="4"/>
        <v>0.3194639799573612</v>
      </c>
      <c r="C247" s="222">
        <f t="shared" si="4"/>
        <v>0.3194639799573612</v>
      </c>
      <c r="D247" s="202">
        <v>0.17799999999999999</v>
      </c>
      <c r="E247" s="208">
        <v>0.08</v>
      </c>
      <c r="N247" s="279">
        <v>306</v>
      </c>
      <c r="O247" s="279">
        <v>1.7899999999999999E-4</v>
      </c>
    </row>
    <row r="248" spans="1:15" ht="13.5" thickBot="1">
      <c r="A248" s="216">
        <f>A238*$D$19/100</f>
        <v>6.3892795991472243E-3</v>
      </c>
      <c r="B248" s="193">
        <f>B238*$D$19/100</f>
        <v>0.3194639799573612</v>
      </c>
      <c r="C248" s="193">
        <f>C238*$D$19/100</f>
        <v>0.3194639799573612</v>
      </c>
      <c r="D248" s="219">
        <v>0.08</v>
      </c>
      <c r="E248" s="220">
        <v>0.03</v>
      </c>
      <c r="N248" s="279">
        <v>308</v>
      </c>
      <c r="O248" s="279">
        <v>1.13E-4</v>
      </c>
    </row>
    <row r="249" spans="1:15" ht="15.75" thickBot="1">
      <c r="A249" s="304" t="s">
        <v>175</v>
      </c>
      <c r="B249" s="305"/>
      <c r="C249" s="306"/>
      <c r="D249" s="258"/>
      <c r="E249" s="259"/>
      <c r="N249" s="279">
        <v>310</v>
      </c>
      <c r="O249" s="279">
        <v>5.0900000000000001E-4</v>
      </c>
    </row>
    <row r="250" spans="1:15" ht="13.5" thickBot="1">
      <c r="A250" s="288">
        <v>5.9000000000000003E-6</v>
      </c>
      <c r="B250" s="287">
        <v>8.6799999999999999E-6</v>
      </c>
      <c r="C250" s="289">
        <v>4.8617647058823525E-7</v>
      </c>
      <c r="D250" s="70"/>
      <c r="E250" s="254"/>
      <c r="N250" s="279">
        <v>312</v>
      </c>
      <c r="O250" s="279">
        <v>-3.1999999999999999E-5</v>
      </c>
    </row>
    <row r="251" spans="1:15">
      <c r="A251" s="82"/>
      <c r="B251" s="40"/>
      <c r="C251" s="40"/>
      <c r="D251" s="40"/>
      <c r="E251" s="263"/>
      <c r="N251" s="279">
        <v>314</v>
      </c>
      <c r="O251" s="279">
        <v>2.5599999999999999E-4</v>
      </c>
    </row>
    <row r="252" spans="1:15">
      <c r="A252" s="82"/>
      <c r="B252" s="40"/>
      <c r="C252" s="40"/>
      <c r="D252" s="40"/>
      <c r="E252" s="263"/>
      <c r="N252" s="279">
        <v>316</v>
      </c>
      <c r="O252" s="279">
        <v>-4.0000000000000003E-5</v>
      </c>
    </row>
    <row r="253" spans="1:15">
      <c r="N253" s="279">
        <v>318</v>
      </c>
      <c r="O253" s="279">
        <v>-6.7500000000000004E-4</v>
      </c>
    </row>
    <row r="254" spans="1:15">
      <c r="N254" s="279">
        <v>320</v>
      </c>
      <c r="O254" s="279">
        <v>-7.6000000000000004E-5</v>
      </c>
    </row>
    <row r="255" spans="1:15">
      <c r="N255" s="279">
        <v>322</v>
      </c>
      <c r="O255" s="279">
        <v>8.6799999999999996E-4</v>
      </c>
    </row>
    <row r="256" spans="1:15">
      <c r="N256" s="279">
        <v>324</v>
      </c>
      <c r="O256" s="279">
        <v>-9.6000000000000002E-4</v>
      </c>
    </row>
    <row r="257" spans="14:15">
      <c r="N257" s="279">
        <v>326</v>
      </c>
      <c r="O257" s="279">
        <v>-9.9599999999999992E-4</v>
      </c>
    </row>
    <row r="258" spans="14:15">
      <c r="N258" s="279">
        <v>328</v>
      </c>
      <c r="O258" s="279">
        <v>8.0800000000000002E-4</v>
      </c>
    </row>
    <row r="259" spans="14:15">
      <c r="N259" s="279">
        <v>330</v>
      </c>
      <c r="O259" s="279">
        <v>6.8199999999999999E-4</v>
      </c>
    </row>
    <row r="260" spans="14:15">
      <c r="N260" s="279">
        <v>332</v>
      </c>
      <c r="O260" s="279">
        <v>4.66E-4</v>
      </c>
    </row>
    <row r="261" spans="14:15">
      <c r="N261" s="279">
        <v>334</v>
      </c>
      <c r="O261" s="279">
        <v>-5.1999999999999995E-4</v>
      </c>
    </row>
    <row r="262" spans="14:15">
      <c r="N262" s="279">
        <v>336</v>
      </c>
      <c r="O262" s="279">
        <v>3.6299999999999999E-4</v>
      </c>
    </row>
    <row r="263" spans="14:15">
      <c r="N263" s="279">
        <v>338</v>
      </c>
      <c r="O263" s="279">
        <v>2.2100000000000001E-4</v>
      </c>
    </row>
    <row r="264" spans="14:15">
      <c r="N264" s="279">
        <v>340</v>
      </c>
      <c r="O264" s="279">
        <v>-5.4799999999999998E-4</v>
      </c>
    </row>
    <row r="265" spans="14:15">
      <c r="N265" s="279">
        <v>342</v>
      </c>
      <c r="O265" s="279">
        <v>3.1700000000000001E-4</v>
      </c>
    </row>
    <row r="266" spans="14:15">
      <c r="N266" s="279">
        <v>344</v>
      </c>
      <c r="O266" s="279">
        <v>3.1399999999999999E-4</v>
      </c>
    </row>
    <row r="267" spans="14:15">
      <c r="N267" s="279">
        <v>346</v>
      </c>
      <c r="O267" s="279">
        <v>1.45E-4</v>
      </c>
    </row>
    <row r="268" spans="14:15">
      <c r="N268" s="279">
        <v>348</v>
      </c>
      <c r="O268" s="279">
        <v>-3.48E-4</v>
      </c>
    </row>
    <row r="269" spans="14:15">
      <c r="N269" s="279">
        <v>350</v>
      </c>
      <c r="O269" s="279">
        <v>1.8100000000000001E-4</v>
      </c>
    </row>
    <row r="270" spans="14:15">
      <c r="N270" s="279">
        <v>352</v>
      </c>
      <c r="O270" s="279">
        <v>-6.0000000000000002E-6</v>
      </c>
    </row>
    <row r="271" spans="14:15">
      <c r="N271" s="279">
        <v>354</v>
      </c>
      <c r="O271" s="279">
        <v>1.3100000000000001E-4</v>
      </c>
    </row>
    <row r="272" spans="14:15">
      <c r="N272" s="279">
        <v>356</v>
      </c>
      <c r="O272" s="279">
        <v>5.2099999999999998E-4</v>
      </c>
    </row>
    <row r="273" spans="14:15">
      <c r="N273" s="279">
        <v>358</v>
      </c>
      <c r="O273" s="279">
        <v>7.2000000000000002E-5</v>
      </c>
    </row>
    <row r="274" spans="14:15">
      <c r="N274" s="279">
        <v>360</v>
      </c>
      <c r="O274" s="279">
        <v>-2.0100000000000001E-4</v>
      </c>
    </row>
    <row r="275" spans="14:15">
      <c r="N275" s="279">
        <v>362</v>
      </c>
      <c r="O275" s="279">
        <v>-5.5000000000000003E-4</v>
      </c>
    </row>
    <row r="276" spans="14:15">
      <c r="N276" s="279">
        <v>364</v>
      </c>
      <c r="O276" s="279">
        <v>1.25E-4</v>
      </c>
    </row>
    <row r="277" spans="14:15">
      <c r="N277" s="279">
        <v>366</v>
      </c>
      <c r="O277" s="279">
        <v>4.75E-4</v>
      </c>
    </row>
    <row r="278" spans="14:15">
      <c r="N278" s="279">
        <v>368</v>
      </c>
      <c r="O278" s="279">
        <v>2.13E-4</v>
      </c>
    </row>
    <row r="279" spans="14:15">
      <c r="N279" s="279">
        <v>370</v>
      </c>
      <c r="O279" s="279">
        <v>8.5000000000000006E-5</v>
      </c>
    </row>
    <row r="280" spans="14:15">
      <c r="N280" s="279">
        <v>372</v>
      </c>
      <c r="O280" s="279">
        <v>2.5900000000000001E-4</v>
      </c>
    </row>
    <row r="281" spans="14:15">
      <c r="N281" s="279">
        <v>374</v>
      </c>
      <c r="O281" s="279">
        <v>3.1000000000000001E-5</v>
      </c>
    </row>
    <row r="282" spans="14:15">
      <c r="N282" s="279">
        <v>376</v>
      </c>
      <c r="O282" s="279">
        <v>-2.4000000000000001E-4</v>
      </c>
    </row>
    <row r="283" spans="14:15">
      <c r="N283" s="279">
        <v>378</v>
      </c>
      <c r="O283" s="279">
        <v>3.1000000000000001E-5</v>
      </c>
    </row>
    <row r="284" spans="14:15">
      <c r="N284" s="279">
        <v>380</v>
      </c>
      <c r="O284" s="279">
        <v>2.4899999999999998E-4</v>
      </c>
    </row>
    <row r="285" spans="14:15">
      <c r="N285" s="279">
        <v>382</v>
      </c>
      <c r="O285" s="279">
        <v>3.6000000000000001E-5</v>
      </c>
    </row>
    <row r="286" spans="14:15">
      <c r="N286" s="279">
        <v>384</v>
      </c>
      <c r="O286" s="279">
        <v>2.9E-5</v>
      </c>
    </row>
    <row r="287" spans="14:15">
      <c r="N287" s="279">
        <v>386</v>
      </c>
      <c r="O287" s="279">
        <v>1.12E-4</v>
      </c>
    </row>
    <row r="288" spans="14:15">
      <c r="N288" s="279">
        <v>388</v>
      </c>
      <c r="O288" s="279">
        <v>1.9000000000000001E-4</v>
      </c>
    </row>
    <row r="289" spans="14:15">
      <c r="N289" s="279">
        <v>390</v>
      </c>
      <c r="O289" s="279">
        <v>3.59E-4</v>
      </c>
    </row>
    <row r="290" spans="14:15">
      <c r="N290" s="279">
        <v>392</v>
      </c>
      <c r="O290" s="279">
        <v>7.0699999999999995E-4</v>
      </c>
    </row>
    <row r="291" spans="14:15">
      <c r="N291" s="279">
        <v>394</v>
      </c>
      <c r="O291" s="279">
        <v>9.5299999999999996E-4</v>
      </c>
    </row>
    <row r="292" spans="14:15">
      <c r="N292" s="279">
        <v>396</v>
      </c>
      <c r="O292" s="279">
        <v>2.3670000000000002E-3</v>
      </c>
    </row>
    <row r="293" spans="14:15">
      <c r="N293" s="279">
        <v>398</v>
      </c>
      <c r="O293" s="279">
        <v>9.1120000000000003E-3</v>
      </c>
    </row>
    <row r="294" spans="14:15">
      <c r="N294" s="279">
        <v>400</v>
      </c>
      <c r="O294" s="279">
        <v>3.8022E-2</v>
      </c>
    </row>
  </sheetData>
  <sheetProtection selectLockedCells="1"/>
  <sortState ref="N194:O294">
    <sortCondition ref="N194"/>
  </sortState>
  <mergeCells count="43">
    <mergeCell ref="A249:C249"/>
    <mergeCell ref="A239:E239"/>
    <mergeCell ref="A240:B240"/>
    <mergeCell ref="D240:D241"/>
    <mergeCell ref="E240:E241"/>
    <mergeCell ref="A228:E228"/>
    <mergeCell ref="A229:C229"/>
    <mergeCell ref="D229:E229"/>
    <mergeCell ref="A230:B230"/>
    <mergeCell ref="D230:D231"/>
    <mergeCell ref="E230:E231"/>
    <mergeCell ref="A219:B219"/>
    <mergeCell ref="A207:B207"/>
    <mergeCell ref="C207:D207"/>
    <mergeCell ref="B81:C81"/>
    <mergeCell ref="E88:G88"/>
    <mergeCell ref="A88:C88"/>
    <mergeCell ref="A206:D206"/>
    <mergeCell ref="A213:D213"/>
    <mergeCell ref="A201:C201"/>
    <mergeCell ref="D201:E202"/>
    <mergeCell ref="E81:F81"/>
    <mergeCell ref="A22:D22"/>
    <mergeCell ref="E53:G53"/>
    <mergeCell ref="A59:C59"/>
    <mergeCell ref="A66:C66"/>
    <mergeCell ref="E66:G66"/>
    <mergeCell ref="E77:F77"/>
    <mergeCell ref="B77:C77"/>
    <mergeCell ref="A222:D222"/>
    <mergeCell ref="C2:D2"/>
    <mergeCell ref="A10:D10"/>
    <mergeCell ref="A14:D14"/>
    <mergeCell ref="A191:C191"/>
    <mergeCell ref="D191:E191"/>
    <mergeCell ref="A190:E190"/>
    <mergeCell ref="F4:G4"/>
    <mergeCell ref="C4:D4"/>
    <mergeCell ref="F10:G10"/>
    <mergeCell ref="A53:C53"/>
    <mergeCell ref="A70:C70"/>
    <mergeCell ref="E70:G70"/>
    <mergeCell ref="A18:D18"/>
  </mergeCells>
  <phoneticPr fontId="6" type="noConversion"/>
  <conditionalFormatting sqref="A193:E200">
    <cfRule type="expression" dxfId="4" priority="9">
      <formula>AND($D$19&gt;$E193*100,$D$19&lt;$D193*100)</formula>
    </cfRule>
  </conditionalFormatting>
  <conditionalFormatting sqref="A209:D212 A215:D218">
    <cfRule type="expression" dxfId="3" priority="2">
      <formula>AND($D$19&gt;$D209*100,$D$19&lt;$C209*100)</formula>
    </cfRule>
  </conditionalFormatting>
  <conditionalFormatting sqref="H205:L211 H217:L223">
    <cfRule type="expression" dxfId="2" priority="12">
      <formula>AND($D$11&gt;$L205*100,$D$11&lt;$K205*100)</formula>
    </cfRule>
  </conditionalFormatting>
  <conditionalFormatting sqref="A232:E238">
    <cfRule type="expression" dxfId="1" priority="1">
      <formula>AND($D$11&gt;$E242*100,$D$11&lt;$D242*100)</formula>
    </cfRule>
  </conditionalFormatting>
  <conditionalFormatting sqref="A242:E248">
    <cfRule type="expression" dxfId="0" priority="14">
      <formula>AND($D$11&gt;$E242*100,$D$11&lt;$D242*100)</formula>
    </cfRule>
  </conditionalFormatting>
  <pageMargins left="0.74803149606299202" right="0.39370078740157499" top="0.98425196850393704" bottom="0.734251969" header="0.511811023622047" footer="0.39370078740157499"/>
  <pageSetup orientation="portrait" r:id="rId1"/>
  <headerFooter alignWithMargins="0">
    <oddHeader>&amp;L&amp;G</oddHeader>
    <oddFooter>&amp;L&amp;"Arial,Bold"Revision Eyewear Confidential&amp;C            &amp;D         &amp;F&amp;RPage &amp;P</oddFooter>
  </headerFooter>
  <rowBreaks count="2" manualBreakCount="2">
    <brk id="49" max="16383" man="1"/>
    <brk id="99" max="16383" man="1"/>
  </row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S434"/>
  <sheetViews>
    <sheetView tabSelected="1" zoomScaleNormal="100" workbookViewId="0">
      <selection activeCell="H5" sqref="H5"/>
    </sheetView>
  </sheetViews>
  <sheetFormatPr defaultColWidth="15.7109375" defaultRowHeight="12.75"/>
  <cols>
    <col min="1" max="1" width="20.85546875" style="168" customWidth="1"/>
    <col min="2" max="2" width="19.7109375" customWidth="1"/>
    <col min="3" max="3" width="17.7109375" customWidth="1"/>
    <col min="4" max="4" width="14.28515625" customWidth="1"/>
    <col min="5" max="5" width="18.42578125" customWidth="1"/>
    <col min="6" max="6" width="17" customWidth="1"/>
    <col min="7" max="7" width="19.28515625" customWidth="1"/>
    <col min="8" max="8" width="20.28515625" customWidth="1"/>
    <col min="9" max="9" width="20.42578125" customWidth="1"/>
    <col min="16" max="16" width="0" hidden="1" customWidth="1"/>
  </cols>
  <sheetData>
    <row r="1" spans="1:19" ht="15.75" thickBot="1">
      <c r="A1" s="282" t="s">
        <v>139</v>
      </c>
      <c r="B1" s="347" t="s">
        <v>188</v>
      </c>
      <c r="C1" s="159"/>
      <c r="D1" s="165"/>
      <c r="P1" s="171" t="s">
        <v>154</v>
      </c>
      <c r="Q1" s="172"/>
      <c r="R1" s="172"/>
      <c r="S1" s="172"/>
    </row>
    <row r="2" spans="1:19" ht="15.75" thickBot="1">
      <c r="A2" s="283" t="s">
        <v>141</v>
      </c>
      <c r="B2" s="346" t="s">
        <v>189</v>
      </c>
      <c r="C2" s="161"/>
      <c r="D2" s="165"/>
      <c r="O2" s="115"/>
      <c r="P2" s="171" t="s">
        <v>151</v>
      </c>
      <c r="Q2" s="172"/>
      <c r="R2" s="172"/>
      <c r="S2" s="172"/>
    </row>
    <row r="3" spans="1:19" ht="15.75" thickBot="1">
      <c r="A3" s="282" t="s">
        <v>142</v>
      </c>
      <c r="B3" s="166">
        <v>3.11</v>
      </c>
      <c r="C3" s="173"/>
      <c r="D3" s="173"/>
      <c r="O3" s="115"/>
      <c r="P3" s="171" t="s">
        <v>152</v>
      </c>
      <c r="Q3" s="172"/>
      <c r="R3" s="172"/>
      <c r="S3" s="172"/>
    </row>
    <row r="4" spans="1:19" ht="15.75" thickBot="1">
      <c r="A4" s="283" t="s">
        <v>143</v>
      </c>
      <c r="B4" s="166">
        <v>4.9000000000000004</v>
      </c>
      <c r="C4" s="173"/>
      <c r="D4" s="173"/>
      <c r="O4" s="115"/>
      <c r="P4" s="171" t="s">
        <v>153</v>
      </c>
      <c r="Q4" s="172"/>
      <c r="R4" s="172"/>
      <c r="S4" s="172"/>
    </row>
    <row r="5" spans="1:19">
      <c r="A5" s="283" t="s">
        <v>144</v>
      </c>
      <c r="B5" s="160"/>
      <c r="C5" s="161"/>
      <c r="D5" s="165"/>
      <c r="E5" s="165"/>
      <c r="F5" s="165"/>
      <c r="G5" s="165"/>
      <c r="H5" s="165"/>
      <c r="I5" s="165"/>
      <c r="O5" s="115"/>
      <c r="P5" s="115"/>
      <c r="Q5" s="115"/>
      <c r="R5" s="115"/>
      <c r="S5" s="115"/>
    </row>
    <row r="6" spans="1:19">
      <c r="A6" s="283" t="s">
        <v>145</v>
      </c>
      <c r="B6" s="162"/>
      <c r="C6" s="163"/>
      <c r="D6" s="165"/>
      <c r="E6" s="165"/>
      <c r="F6" s="165"/>
      <c r="G6" s="165"/>
      <c r="H6" s="165"/>
      <c r="I6" s="165"/>
      <c r="O6" s="115"/>
      <c r="P6" s="115"/>
      <c r="Q6" s="115"/>
      <c r="R6" s="115"/>
      <c r="S6" s="115"/>
    </row>
    <row r="7" spans="1:19">
      <c r="A7" s="283" t="s">
        <v>146</v>
      </c>
      <c r="B7" s="160"/>
      <c r="C7" s="161"/>
      <c r="D7" s="165"/>
      <c r="E7" s="165"/>
      <c r="F7" s="165"/>
      <c r="G7" s="165"/>
      <c r="H7" s="165"/>
      <c r="I7" s="165"/>
      <c r="O7" s="115"/>
      <c r="P7" s="115"/>
      <c r="Q7" s="115"/>
      <c r="R7" s="115"/>
      <c r="S7" s="115"/>
    </row>
    <row r="8" spans="1:19">
      <c r="A8" s="284"/>
      <c r="B8" s="164"/>
      <c r="C8" s="164"/>
      <c r="D8" s="165"/>
      <c r="E8" s="165"/>
      <c r="F8" s="165"/>
      <c r="G8" s="165"/>
      <c r="H8" s="165"/>
      <c r="I8" s="165"/>
      <c r="O8" s="115"/>
      <c r="P8" s="115"/>
      <c r="Q8" s="115"/>
      <c r="R8" s="115"/>
      <c r="S8" s="115"/>
    </row>
    <row r="9" spans="1:19" ht="41.25" customHeight="1">
      <c r="A9" s="285" t="s">
        <v>147</v>
      </c>
      <c r="B9" s="169" t="s">
        <v>149</v>
      </c>
      <c r="C9" s="169" t="s">
        <v>150</v>
      </c>
      <c r="D9" s="170" t="s">
        <v>148</v>
      </c>
      <c r="E9" s="169" t="s">
        <v>186</v>
      </c>
      <c r="F9" s="169" t="s">
        <v>185</v>
      </c>
      <c r="G9" s="169" t="s">
        <v>187</v>
      </c>
      <c r="H9" s="169" t="s">
        <v>183</v>
      </c>
      <c r="I9" s="169" t="s">
        <v>184</v>
      </c>
      <c r="O9" s="115"/>
      <c r="P9" s="115"/>
      <c r="Q9" s="115"/>
      <c r="R9" s="115"/>
      <c r="S9" s="115"/>
    </row>
    <row r="10" spans="1:19" s="168" customFormat="1">
      <c r="A10" s="248"/>
      <c r="B10" s="248"/>
      <c r="C10" s="248"/>
      <c r="D10" s="249"/>
      <c r="E10" s="348"/>
      <c r="F10" s="348"/>
      <c r="G10" s="349"/>
      <c r="H10" s="291"/>
      <c r="I10" s="291"/>
    </row>
    <row r="11" spans="1:19" s="168" customFormat="1">
      <c r="A11" s="248"/>
      <c r="B11" s="248"/>
      <c r="C11" s="248"/>
      <c r="D11" s="249"/>
      <c r="E11" s="348"/>
      <c r="F11" s="348"/>
      <c r="G11" s="349"/>
      <c r="H11" s="291"/>
      <c r="I11" s="291"/>
    </row>
    <row r="12" spans="1:19" s="168" customFormat="1">
      <c r="A12" s="248"/>
      <c r="B12" s="248"/>
      <c r="C12" s="248"/>
      <c r="D12" s="249"/>
      <c r="E12" s="348"/>
      <c r="F12" s="348"/>
      <c r="G12" s="349"/>
      <c r="H12" s="291"/>
      <c r="I12" s="291"/>
    </row>
    <row r="13" spans="1:19" s="168" customFormat="1">
      <c r="A13" s="248"/>
      <c r="B13" s="248"/>
      <c r="C13" s="248"/>
      <c r="D13" s="249"/>
      <c r="E13" s="291"/>
      <c r="F13" s="291"/>
      <c r="G13" s="291"/>
      <c r="H13" s="248"/>
      <c r="I13" s="248"/>
    </row>
    <row r="14" spans="1:19" s="168" customFormat="1">
      <c r="A14" s="248"/>
      <c r="B14" s="248"/>
      <c r="C14" s="248"/>
      <c r="D14" s="249"/>
      <c r="E14" s="291"/>
      <c r="F14" s="291"/>
      <c r="G14" s="248"/>
      <c r="H14" s="248"/>
      <c r="I14" s="248"/>
    </row>
    <row r="15" spans="1:19" s="168" customFormat="1">
      <c r="A15" s="248"/>
      <c r="B15" s="248"/>
      <c r="C15" s="248"/>
      <c r="D15" s="249"/>
      <c r="E15" s="291"/>
      <c r="F15" s="291"/>
      <c r="G15" s="248"/>
      <c r="H15" s="248"/>
      <c r="I15" s="248"/>
    </row>
    <row r="16" spans="1:19" s="168" customFormat="1">
      <c r="A16" s="248"/>
      <c r="B16" s="248"/>
      <c r="C16" s="248"/>
      <c r="D16" s="249"/>
      <c r="E16" s="291"/>
      <c r="F16" s="291"/>
      <c r="G16" s="248"/>
      <c r="H16" s="248"/>
      <c r="I16" s="248"/>
    </row>
    <row r="17" spans="1:9" s="168" customFormat="1">
      <c r="A17" s="248"/>
      <c r="B17" s="248"/>
      <c r="C17" s="248"/>
      <c r="D17" s="249"/>
      <c r="E17" s="291"/>
      <c r="F17" s="291"/>
      <c r="G17" s="248"/>
      <c r="H17" s="248"/>
      <c r="I17" s="248"/>
    </row>
    <row r="18" spans="1:9" s="168" customFormat="1">
      <c r="A18" s="248"/>
      <c r="B18" s="248"/>
      <c r="C18" s="248"/>
      <c r="D18" s="249"/>
      <c r="E18" s="291"/>
      <c r="F18" s="291"/>
      <c r="G18" s="248"/>
      <c r="H18" s="248"/>
      <c r="I18" s="248"/>
    </row>
    <row r="19" spans="1:9" s="168" customFormat="1">
      <c r="A19" s="248"/>
      <c r="B19" s="248"/>
      <c r="C19" s="248"/>
      <c r="D19" s="249"/>
      <c r="E19" s="291"/>
      <c r="F19" s="291"/>
      <c r="G19" s="248"/>
      <c r="H19" s="248"/>
      <c r="I19" s="248"/>
    </row>
    <row r="20" spans="1:9" s="168" customFormat="1">
      <c r="A20" s="248"/>
      <c r="B20" s="248"/>
      <c r="C20" s="248"/>
      <c r="D20" s="249"/>
      <c r="E20" s="291"/>
      <c r="F20" s="291"/>
      <c r="G20" s="248"/>
      <c r="H20" s="248"/>
      <c r="I20" s="248"/>
    </row>
    <row r="21" spans="1:9" s="168" customFormat="1">
      <c r="A21" s="248"/>
      <c r="B21" s="248"/>
      <c r="C21" s="248"/>
      <c r="D21" s="249"/>
      <c r="E21" s="291"/>
      <c r="F21" s="291"/>
      <c r="G21" s="248"/>
      <c r="H21" s="248"/>
      <c r="I21" s="248"/>
    </row>
    <row r="22" spans="1:9" s="168" customFormat="1">
      <c r="A22" s="248"/>
      <c r="B22" s="248"/>
      <c r="C22" s="248"/>
      <c r="D22" s="249"/>
      <c r="E22" s="291"/>
      <c r="F22" s="291"/>
      <c r="G22" s="248"/>
      <c r="H22" s="248"/>
      <c r="I22" s="248"/>
    </row>
    <row r="23" spans="1:9" s="168" customFormat="1">
      <c r="A23" s="248"/>
      <c r="B23" s="248"/>
      <c r="C23" s="248"/>
      <c r="D23" s="249"/>
      <c r="E23" s="291"/>
      <c r="F23" s="291"/>
      <c r="G23" s="248"/>
      <c r="H23" s="248"/>
      <c r="I23" s="248"/>
    </row>
    <row r="24" spans="1:9" s="168" customFormat="1">
      <c r="A24" s="248"/>
      <c r="B24" s="248"/>
      <c r="C24" s="248"/>
      <c r="D24" s="249"/>
      <c r="E24" s="291"/>
      <c r="F24" s="291"/>
      <c r="G24" s="248"/>
      <c r="H24" s="248"/>
      <c r="I24" s="248"/>
    </row>
    <row r="25" spans="1:9" s="168" customFormat="1">
      <c r="A25" s="248"/>
      <c r="B25" s="248"/>
      <c r="C25" s="248"/>
      <c r="D25" s="249"/>
      <c r="E25" s="291"/>
      <c r="F25" s="291"/>
      <c r="G25" s="248"/>
      <c r="H25" s="248"/>
      <c r="I25" s="248"/>
    </row>
    <row r="26" spans="1:9" s="168" customFormat="1">
      <c r="A26" s="248"/>
      <c r="B26" s="248"/>
      <c r="C26" s="248"/>
      <c r="D26" s="249"/>
      <c r="E26" s="291"/>
      <c r="F26" s="291"/>
      <c r="G26" s="248"/>
      <c r="H26" s="248"/>
      <c r="I26" s="248"/>
    </row>
    <row r="27" spans="1:9" s="168" customFormat="1">
      <c r="A27" s="248"/>
      <c r="B27" s="248"/>
      <c r="C27" s="248"/>
      <c r="D27" s="249"/>
      <c r="E27" s="291"/>
      <c r="F27" s="291"/>
      <c r="G27" s="248"/>
      <c r="H27" s="248"/>
      <c r="I27" s="248"/>
    </row>
    <row r="28" spans="1:9" s="168" customFormat="1">
      <c r="A28" s="248"/>
      <c r="B28" s="248"/>
      <c r="C28" s="248"/>
      <c r="D28" s="249"/>
      <c r="E28" s="291"/>
      <c r="F28" s="291"/>
      <c r="G28" s="248"/>
      <c r="H28" s="248"/>
      <c r="I28" s="248"/>
    </row>
    <row r="29" spans="1:9" s="168" customFormat="1">
      <c r="A29" s="248"/>
      <c r="B29" s="248"/>
      <c r="C29" s="248"/>
      <c r="D29" s="249"/>
      <c r="E29" s="291"/>
      <c r="F29" s="291"/>
      <c r="G29" s="248"/>
      <c r="H29" s="248"/>
      <c r="I29" s="248"/>
    </row>
    <row r="30" spans="1:9" s="168" customFormat="1">
      <c r="A30" s="248"/>
      <c r="B30" s="248"/>
      <c r="C30" s="248"/>
      <c r="D30" s="249"/>
      <c r="E30" s="291"/>
      <c r="F30" s="291"/>
      <c r="G30" s="248"/>
      <c r="H30" s="248"/>
      <c r="I30" s="248"/>
    </row>
    <row r="31" spans="1:9" s="168" customFormat="1">
      <c r="A31" s="248"/>
      <c r="B31" s="248"/>
      <c r="C31" s="248"/>
      <c r="D31" s="249"/>
      <c r="E31" s="291"/>
      <c r="F31" s="291"/>
      <c r="G31" s="248"/>
      <c r="H31" s="248"/>
      <c r="I31" s="248"/>
    </row>
    <row r="32" spans="1:9" s="168" customFormat="1">
      <c r="A32" s="248"/>
      <c r="B32" s="248"/>
      <c r="C32" s="248"/>
      <c r="D32" s="249"/>
      <c r="E32" s="291"/>
      <c r="F32" s="291"/>
      <c r="G32" s="248"/>
      <c r="H32" s="248"/>
      <c r="I32" s="248"/>
    </row>
    <row r="33" spans="1:9" s="168" customFormat="1">
      <c r="A33" s="248"/>
      <c r="B33" s="248"/>
      <c r="C33" s="248"/>
      <c r="D33" s="249"/>
      <c r="E33" s="291"/>
      <c r="F33" s="291"/>
      <c r="G33" s="248"/>
      <c r="H33" s="248"/>
      <c r="I33" s="248"/>
    </row>
    <row r="34" spans="1:9" s="168" customFormat="1">
      <c r="A34" s="248"/>
      <c r="B34" s="248"/>
      <c r="C34" s="248"/>
      <c r="D34" s="249"/>
      <c r="E34" s="291"/>
      <c r="F34" s="291"/>
      <c r="G34" s="248"/>
      <c r="H34" s="248"/>
      <c r="I34" s="248"/>
    </row>
    <row r="35" spans="1:9" s="168" customFormat="1">
      <c r="A35" s="248"/>
      <c r="B35" s="248"/>
      <c r="C35" s="248"/>
      <c r="D35" s="249"/>
      <c r="E35" s="291"/>
      <c r="F35" s="291"/>
      <c r="G35" s="248"/>
      <c r="H35" s="248"/>
      <c r="I35" s="248"/>
    </row>
    <row r="36" spans="1:9" s="168" customFormat="1">
      <c r="A36" s="248"/>
      <c r="B36" s="248"/>
      <c r="C36" s="248"/>
      <c r="D36" s="249"/>
      <c r="E36" s="291"/>
      <c r="F36" s="291"/>
      <c r="G36" s="248"/>
      <c r="H36" s="248"/>
      <c r="I36" s="248"/>
    </row>
    <row r="37" spans="1:9" s="168" customFormat="1">
      <c r="A37" s="248"/>
      <c r="B37" s="248"/>
      <c r="C37" s="248"/>
      <c r="D37" s="249"/>
      <c r="E37" s="291"/>
      <c r="F37" s="291"/>
      <c r="G37" s="248"/>
      <c r="H37" s="248"/>
      <c r="I37" s="248"/>
    </row>
    <row r="38" spans="1:9" s="168" customFormat="1">
      <c r="A38" s="248"/>
      <c r="B38" s="248"/>
      <c r="C38" s="248"/>
      <c r="D38" s="249"/>
      <c r="E38" s="291"/>
      <c r="F38" s="291"/>
      <c r="G38" s="248"/>
      <c r="H38" s="248"/>
      <c r="I38" s="248"/>
    </row>
    <row r="39" spans="1:9" s="168" customFormat="1">
      <c r="A39" s="248"/>
      <c r="B39" s="248"/>
      <c r="C39" s="248"/>
      <c r="D39" s="249"/>
      <c r="E39" s="291"/>
      <c r="F39" s="291"/>
      <c r="G39" s="248"/>
      <c r="H39" s="248"/>
      <c r="I39" s="248"/>
    </row>
    <row r="40" spans="1:9" s="168" customFormat="1">
      <c r="A40" s="250"/>
      <c r="B40" s="250"/>
      <c r="C40" s="250"/>
      <c r="D40" s="250"/>
      <c r="E40" s="292"/>
      <c r="F40" s="292"/>
      <c r="G40" s="250"/>
      <c r="H40" s="250"/>
      <c r="I40" s="250"/>
    </row>
    <row r="41" spans="1:9" s="168" customFormat="1">
      <c r="A41" s="250"/>
      <c r="B41" s="250"/>
      <c r="C41" s="250"/>
      <c r="D41" s="250"/>
      <c r="E41" s="292"/>
      <c r="F41" s="292"/>
      <c r="G41" s="250"/>
      <c r="H41" s="250"/>
      <c r="I41" s="250"/>
    </row>
    <row r="42" spans="1:9" s="168" customFormat="1">
      <c r="A42" s="250"/>
      <c r="B42" s="250"/>
      <c r="C42" s="250"/>
      <c r="D42" s="250"/>
      <c r="E42" s="292"/>
      <c r="F42" s="292"/>
      <c r="G42" s="250"/>
      <c r="H42" s="250"/>
      <c r="I42" s="250"/>
    </row>
    <row r="43" spans="1:9" s="168" customFormat="1">
      <c r="A43" s="250"/>
      <c r="B43" s="250"/>
      <c r="C43" s="250"/>
      <c r="D43" s="250"/>
      <c r="E43" s="292"/>
      <c r="F43" s="292"/>
      <c r="G43" s="250"/>
      <c r="H43" s="250"/>
      <c r="I43" s="250"/>
    </row>
    <row r="44" spans="1:9" s="168" customFormat="1">
      <c r="A44" s="250"/>
      <c r="B44" s="250"/>
      <c r="C44" s="250"/>
      <c r="D44" s="250"/>
      <c r="E44" s="292"/>
      <c r="F44" s="292"/>
      <c r="G44" s="250"/>
      <c r="H44" s="250"/>
      <c r="I44" s="250"/>
    </row>
    <row r="45" spans="1:9" s="168" customFormat="1">
      <c r="A45" s="250"/>
      <c r="B45" s="250"/>
      <c r="C45" s="250"/>
      <c r="D45" s="250"/>
      <c r="E45" s="292"/>
      <c r="F45" s="292"/>
      <c r="G45" s="250"/>
      <c r="H45" s="250"/>
      <c r="I45" s="250"/>
    </row>
    <row r="46" spans="1:9" s="168" customFormat="1">
      <c r="A46" s="250"/>
      <c r="B46" s="250"/>
      <c r="C46" s="250"/>
      <c r="D46" s="250"/>
      <c r="E46" s="292"/>
      <c r="F46" s="292"/>
      <c r="G46" s="250"/>
      <c r="H46" s="250"/>
      <c r="I46" s="250"/>
    </row>
    <row r="47" spans="1:9" s="168" customFormat="1">
      <c r="A47" s="250"/>
      <c r="B47" s="250"/>
      <c r="C47" s="250"/>
      <c r="D47" s="250"/>
      <c r="E47" s="292"/>
      <c r="F47" s="292"/>
      <c r="G47" s="250"/>
      <c r="H47" s="250"/>
      <c r="I47" s="250"/>
    </row>
    <row r="48" spans="1:9" s="168" customFormat="1">
      <c r="A48" s="250"/>
      <c r="B48" s="250"/>
      <c r="C48" s="250"/>
      <c r="D48" s="250"/>
      <c r="E48" s="292"/>
      <c r="F48" s="292"/>
      <c r="G48" s="250"/>
      <c r="H48" s="250"/>
      <c r="I48" s="250"/>
    </row>
    <row r="49" spans="1:9" s="168" customFormat="1">
      <c r="A49" s="250"/>
      <c r="B49" s="250"/>
      <c r="C49" s="250"/>
      <c r="D49" s="250"/>
      <c r="E49" s="292"/>
      <c r="F49" s="292"/>
      <c r="G49" s="250"/>
      <c r="H49" s="250"/>
      <c r="I49" s="250"/>
    </row>
    <row r="50" spans="1:9" s="168" customFormat="1">
      <c r="A50" s="120"/>
      <c r="B50" s="120"/>
      <c r="C50" s="120"/>
      <c r="D50" s="120"/>
      <c r="E50" s="293"/>
      <c r="F50" s="293"/>
      <c r="G50" s="120"/>
      <c r="H50" s="120"/>
      <c r="I50" s="120"/>
    </row>
    <row r="51" spans="1:9" s="168" customFormat="1">
      <c r="A51" s="120"/>
      <c r="B51" s="120"/>
      <c r="C51" s="120"/>
      <c r="D51" s="120"/>
      <c r="E51" s="293"/>
      <c r="F51" s="293"/>
      <c r="G51" s="120"/>
      <c r="H51" s="120"/>
      <c r="I51" s="120"/>
    </row>
    <row r="52" spans="1:9" s="168" customFormat="1">
      <c r="A52" s="120"/>
      <c r="B52" s="120"/>
      <c r="C52" s="120"/>
      <c r="D52" s="120"/>
      <c r="E52" s="293"/>
      <c r="F52" s="293"/>
      <c r="G52" s="120"/>
      <c r="H52" s="120"/>
      <c r="I52" s="120"/>
    </row>
    <row r="53" spans="1:9" s="168" customFormat="1">
      <c r="A53" s="120"/>
      <c r="B53" s="120"/>
      <c r="C53" s="120"/>
      <c r="D53" s="120"/>
      <c r="E53" s="293"/>
      <c r="F53" s="293"/>
      <c r="G53" s="120"/>
      <c r="H53" s="120"/>
      <c r="I53" s="120"/>
    </row>
    <row r="54" spans="1:9" s="168" customFormat="1">
      <c r="A54" s="120"/>
      <c r="B54" s="120"/>
      <c r="C54" s="120"/>
      <c r="D54" s="120"/>
      <c r="E54" s="293"/>
      <c r="F54" s="293"/>
      <c r="G54" s="120"/>
      <c r="H54" s="120"/>
      <c r="I54" s="120"/>
    </row>
    <row r="55" spans="1:9" s="168" customFormat="1">
      <c r="A55" s="120"/>
      <c r="B55" s="120"/>
      <c r="C55" s="120"/>
      <c r="D55" s="120"/>
      <c r="E55" s="293"/>
      <c r="F55" s="293"/>
      <c r="G55" s="120"/>
      <c r="H55" s="120"/>
      <c r="I55" s="120"/>
    </row>
    <row r="56" spans="1:9" s="168" customFormat="1">
      <c r="A56" s="120"/>
      <c r="B56" s="120"/>
      <c r="C56" s="120"/>
      <c r="D56" s="120"/>
      <c r="E56" s="293"/>
      <c r="F56" s="293"/>
      <c r="G56" s="120"/>
      <c r="H56" s="120"/>
      <c r="I56" s="120"/>
    </row>
    <row r="57" spans="1:9">
      <c r="A57" s="120"/>
      <c r="B57" s="120"/>
      <c r="C57" s="120"/>
      <c r="D57" s="120"/>
      <c r="E57" s="293"/>
      <c r="F57" s="293"/>
      <c r="G57" s="98"/>
      <c r="H57" s="98"/>
      <c r="I57" s="98"/>
    </row>
    <row r="58" spans="1:9">
      <c r="A58" s="120"/>
      <c r="B58" s="120"/>
      <c r="C58" s="120"/>
      <c r="D58" s="120"/>
      <c r="E58" s="293"/>
      <c r="F58" s="293"/>
      <c r="G58" s="98"/>
      <c r="H58" s="98"/>
      <c r="I58" s="98"/>
    </row>
    <row r="59" spans="1:9">
      <c r="A59" s="120"/>
      <c r="B59" s="120"/>
      <c r="C59" s="120"/>
      <c r="D59" s="120"/>
      <c r="E59" s="293"/>
      <c r="F59" s="293"/>
      <c r="G59" s="98"/>
      <c r="H59" s="98"/>
      <c r="I59" s="98"/>
    </row>
    <row r="60" spans="1:9">
      <c r="A60" s="120"/>
      <c r="B60" s="120"/>
      <c r="C60" s="120"/>
      <c r="D60" s="120"/>
      <c r="E60" s="293"/>
      <c r="F60" s="293"/>
      <c r="G60" s="98"/>
      <c r="H60" s="98"/>
      <c r="I60" s="98"/>
    </row>
    <row r="61" spans="1:9">
      <c r="A61" s="120"/>
      <c r="B61" s="120"/>
      <c r="C61" s="120"/>
      <c r="D61" s="120"/>
      <c r="E61" s="293"/>
      <c r="F61" s="293"/>
      <c r="G61" s="98"/>
      <c r="H61" s="98"/>
      <c r="I61" s="98"/>
    </row>
    <row r="62" spans="1:9">
      <c r="A62" s="120"/>
      <c r="B62" s="120"/>
      <c r="C62" s="120"/>
      <c r="D62" s="120"/>
      <c r="E62" s="293"/>
      <c r="F62" s="293"/>
      <c r="G62" s="98"/>
      <c r="H62" s="98"/>
      <c r="I62" s="98"/>
    </row>
    <row r="63" spans="1:9">
      <c r="A63" s="120"/>
      <c r="B63" s="120"/>
      <c r="C63" s="120"/>
      <c r="D63" s="120"/>
      <c r="E63" s="98"/>
      <c r="F63" s="98"/>
      <c r="G63" s="98"/>
      <c r="H63" s="98"/>
      <c r="I63" s="98"/>
    </row>
    <row r="64" spans="1:9">
      <c r="A64" s="120"/>
      <c r="B64" s="120"/>
      <c r="C64" s="120"/>
      <c r="D64" s="120"/>
      <c r="E64" s="98"/>
      <c r="F64" s="98"/>
      <c r="G64" s="98"/>
      <c r="H64" s="98"/>
      <c r="I64" s="98"/>
    </row>
    <row r="65" spans="1:9">
      <c r="A65" s="120"/>
      <c r="B65" s="120"/>
      <c r="C65" s="120"/>
      <c r="D65" s="120"/>
      <c r="E65" s="98"/>
      <c r="F65" s="98"/>
      <c r="G65" s="98"/>
      <c r="H65" s="98"/>
      <c r="I65" s="98"/>
    </row>
    <row r="66" spans="1:9">
      <c r="A66" s="120"/>
      <c r="B66" s="120"/>
      <c r="C66" s="120"/>
      <c r="D66" s="120"/>
      <c r="E66" s="98"/>
      <c r="F66" s="98"/>
      <c r="G66" s="98"/>
      <c r="H66" s="98"/>
      <c r="I66" s="98"/>
    </row>
    <row r="67" spans="1:9">
      <c r="A67" s="120"/>
      <c r="B67" s="120"/>
      <c r="C67" s="120"/>
      <c r="D67" s="120"/>
      <c r="E67" s="98"/>
      <c r="F67" s="98"/>
      <c r="G67" s="98"/>
      <c r="H67" s="98"/>
      <c r="I67" s="98"/>
    </row>
    <row r="68" spans="1:9">
      <c r="A68" s="120"/>
      <c r="B68" s="120"/>
      <c r="C68" s="120"/>
      <c r="D68" s="120"/>
      <c r="E68" s="98"/>
      <c r="F68" s="98"/>
      <c r="G68" s="98"/>
      <c r="H68" s="98"/>
      <c r="I68" s="98"/>
    </row>
    <row r="69" spans="1:9">
      <c r="A69" s="120"/>
      <c r="B69" s="120"/>
      <c r="C69" s="120"/>
      <c r="D69" s="120"/>
      <c r="E69" s="98"/>
      <c r="F69" s="98"/>
      <c r="G69" s="98"/>
      <c r="H69" s="98"/>
      <c r="I69" s="98"/>
    </row>
    <row r="70" spans="1:9">
      <c r="A70" s="120"/>
      <c r="B70" s="120"/>
      <c r="C70" s="120"/>
      <c r="D70" s="120"/>
      <c r="E70" s="98"/>
      <c r="F70" s="98"/>
      <c r="G70" s="98"/>
      <c r="H70" s="98"/>
      <c r="I70" s="98"/>
    </row>
    <row r="71" spans="1:9">
      <c r="A71" s="120"/>
      <c r="B71" s="120"/>
      <c r="C71" s="120"/>
      <c r="D71" s="120"/>
      <c r="E71" s="98"/>
      <c r="F71" s="98"/>
      <c r="G71" s="98"/>
      <c r="H71" s="98"/>
      <c r="I71" s="98"/>
    </row>
    <row r="72" spans="1:9">
      <c r="A72" s="120"/>
      <c r="B72" s="120"/>
      <c r="C72" s="120"/>
      <c r="D72" s="120"/>
      <c r="E72" s="98"/>
      <c r="F72" s="98"/>
      <c r="G72" s="98"/>
      <c r="H72" s="98"/>
      <c r="I72" s="98"/>
    </row>
    <row r="73" spans="1:9">
      <c r="B73" s="168"/>
      <c r="C73" s="168"/>
      <c r="D73" s="168"/>
      <c r="E73" s="167"/>
      <c r="F73" s="167"/>
      <c r="G73" s="167"/>
      <c r="H73" s="167"/>
      <c r="I73" s="167"/>
    </row>
    <row r="74" spans="1:9">
      <c r="B74" s="168"/>
      <c r="C74" s="168"/>
      <c r="D74" s="168"/>
      <c r="E74" s="167"/>
      <c r="F74" s="167"/>
      <c r="G74" s="167"/>
      <c r="H74" s="167"/>
      <c r="I74" s="167"/>
    </row>
    <row r="75" spans="1:9">
      <c r="B75" s="168"/>
      <c r="C75" s="168"/>
      <c r="D75" s="168"/>
      <c r="E75" s="167"/>
      <c r="F75" s="167"/>
      <c r="G75" s="167"/>
      <c r="H75" s="167"/>
      <c r="I75" s="167"/>
    </row>
    <row r="76" spans="1:9">
      <c r="B76" s="168"/>
      <c r="C76" s="168"/>
      <c r="D76" s="168"/>
      <c r="E76" s="167"/>
      <c r="F76" s="167"/>
      <c r="G76" s="167"/>
      <c r="H76" s="167"/>
      <c r="I76" s="167"/>
    </row>
    <row r="77" spans="1:9">
      <c r="B77" s="168"/>
      <c r="C77" s="168"/>
      <c r="D77" s="168"/>
      <c r="E77" s="167"/>
      <c r="F77" s="167"/>
      <c r="G77" s="167"/>
      <c r="H77" s="167"/>
      <c r="I77" s="167"/>
    </row>
    <row r="78" spans="1:9">
      <c r="B78" s="168"/>
      <c r="C78" s="168"/>
      <c r="D78" s="168"/>
      <c r="E78" s="167"/>
      <c r="F78" s="167"/>
      <c r="G78" s="167"/>
      <c r="H78" s="167"/>
      <c r="I78" s="167"/>
    </row>
    <row r="79" spans="1:9">
      <c r="B79" s="168"/>
      <c r="C79" s="168"/>
      <c r="D79" s="168"/>
      <c r="E79" s="167"/>
      <c r="F79" s="167"/>
      <c r="G79" s="167"/>
      <c r="H79" s="167"/>
      <c r="I79" s="167"/>
    </row>
    <row r="80" spans="1:9">
      <c r="B80" s="168"/>
      <c r="C80" s="168"/>
      <c r="D80" s="168"/>
      <c r="E80" s="167"/>
      <c r="F80" s="167"/>
      <c r="G80" s="167"/>
      <c r="H80" s="167"/>
      <c r="I80" s="167"/>
    </row>
    <row r="81" spans="2:9">
      <c r="B81" s="168"/>
      <c r="C81" s="168"/>
      <c r="D81" s="168"/>
      <c r="E81" s="167"/>
      <c r="F81" s="167"/>
      <c r="G81" s="167"/>
      <c r="H81" s="167"/>
      <c r="I81" s="167"/>
    </row>
    <row r="82" spans="2:9">
      <c r="B82" s="168"/>
      <c r="C82" s="168"/>
      <c r="D82" s="168"/>
      <c r="E82" s="167"/>
      <c r="F82" s="167"/>
      <c r="G82" s="167"/>
      <c r="H82" s="167"/>
      <c r="I82" s="167"/>
    </row>
    <row r="83" spans="2:9">
      <c r="B83" s="168"/>
      <c r="C83" s="168"/>
      <c r="D83" s="168"/>
      <c r="E83" s="167"/>
      <c r="F83" s="167"/>
      <c r="G83" s="167"/>
      <c r="H83" s="167"/>
      <c r="I83" s="167"/>
    </row>
    <row r="84" spans="2:9">
      <c r="B84" s="168"/>
      <c r="C84" s="168"/>
      <c r="D84" s="168"/>
      <c r="E84" s="167"/>
      <c r="F84" s="167"/>
      <c r="G84" s="167"/>
      <c r="H84" s="167"/>
      <c r="I84" s="167"/>
    </row>
    <row r="85" spans="2:9">
      <c r="B85" s="168"/>
      <c r="C85" s="168"/>
      <c r="D85" s="168"/>
      <c r="E85" s="167"/>
      <c r="F85" s="167"/>
      <c r="G85" s="167"/>
      <c r="H85" s="167"/>
      <c r="I85" s="167"/>
    </row>
    <row r="86" spans="2:9">
      <c r="B86" s="168"/>
      <c r="C86" s="168"/>
      <c r="D86" s="168"/>
      <c r="E86" s="167"/>
      <c r="F86" s="167"/>
      <c r="G86" s="167"/>
      <c r="H86" s="167"/>
      <c r="I86" s="167"/>
    </row>
    <row r="87" spans="2:9">
      <c r="B87" s="168"/>
      <c r="C87" s="168"/>
      <c r="D87" s="168"/>
      <c r="E87" s="167"/>
      <c r="F87" s="167"/>
      <c r="G87" s="167"/>
      <c r="H87" s="167"/>
      <c r="I87" s="167"/>
    </row>
    <row r="88" spans="2:9">
      <c r="B88" s="168"/>
      <c r="C88" s="168"/>
      <c r="D88" s="168"/>
      <c r="E88" s="167"/>
      <c r="F88" s="167"/>
      <c r="G88" s="167"/>
      <c r="H88" s="167"/>
      <c r="I88" s="167"/>
    </row>
    <row r="89" spans="2:9">
      <c r="B89" s="168"/>
      <c r="C89" s="168"/>
      <c r="D89" s="168"/>
      <c r="E89" s="167"/>
      <c r="F89" s="167"/>
      <c r="G89" s="167"/>
      <c r="H89" s="167"/>
      <c r="I89" s="167"/>
    </row>
    <row r="90" spans="2:9">
      <c r="B90" s="168"/>
      <c r="C90" s="168"/>
      <c r="D90" s="168"/>
      <c r="E90" s="167"/>
      <c r="F90" s="167"/>
      <c r="G90" s="167"/>
      <c r="H90" s="167"/>
      <c r="I90" s="167"/>
    </row>
    <row r="91" spans="2:9">
      <c r="B91" s="168"/>
      <c r="C91" s="168"/>
      <c r="D91" s="168"/>
      <c r="E91" s="167"/>
      <c r="F91" s="167"/>
      <c r="G91" s="167"/>
      <c r="H91" s="167"/>
      <c r="I91" s="167"/>
    </row>
    <row r="92" spans="2:9">
      <c r="B92" s="168"/>
      <c r="C92" s="168"/>
      <c r="D92" s="168"/>
      <c r="E92" s="167"/>
      <c r="F92" s="167"/>
      <c r="G92" s="167"/>
      <c r="H92" s="167"/>
      <c r="I92" s="167"/>
    </row>
    <row r="93" spans="2:9">
      <c r="B93" s="168"/>
      <c r="C93" s="168"/>
      <c r="D93" s="168"/>
      <c r="E93" s="167"/>
      <c r="F93" s="167"/>
      <c r="G93" s="167"/>
      <c r="H93" s="167"/>
      <c r="I93" s="167"/>
    </row>
    <row r="94" spans="2:9">
      <c r="B94" s="168"/>
      <c r="C94" s="168"/>
      <c r="D94" s="168"/>
      <c r="E94" s="167"/>
      <c r="F94" s="167"/>
      <c r="G94" s="167"/>
      <c r="H94" s="167"/>
      <c r="I94" s="167"/>
    </row>
    <row r="95" spans="2:9">
      <c r="B95" s="168"/>
      <c r="C95" s="168"/>
      <c r="D95" s="168"/>
      <c r="E95" s="167"/>
      <c r="F95" s="167"/>
      <c r="G95" s="167"/>
      <c r="H95" s="167"/>
      <c r="I95" s="167"/>
    </row>
    <row r="96" spans="2:9">
      <c r="B96" s="168"/>
      <c r="C96" s="168"/>
      <c r="D96" s="168"/>
      <c r="E96" s="167"/>
      <c r="F96" s="167"/>
      <c r="G96" s="167"/>
      <c r="H96" s="167"/>
      <c r="I96" s="167"/>
    </row>
    <row r="97" spans="2:9">
      <c r="B97" s="168"/>
      <c r="C97" s="168"/>
      <c r="D97" s="168"/>
      <c r="E97" s="167"/>
      <c r="F97" s="167"/>
      <c r="G97" s="167"/>
      <c r="H97" s="167"/>
      <c r="I97" s="167"/>
    </row>
    <row r="98" spans="2:9">
      <c r="B98" s="168"/>
      <c r="C98" s="168"/>
      <c r="D98" s="168"/>
      <c r="E98" s="167"/>
      <c r="F98" s="167"/>
      <c r="G98" s="167"/>
      <c r="H98" s="167"/>
      <c r="I98" s="167"/>
    </row>
    <row r="99" spans="2:9">
      <c r="B99" s="168"/>
      <c r="C99" s="168"/>
      <c r="D99" s="168"/>
      <c r="E99" s="167"/>
      <c r="F99" s="167"/>
      <c r="G99" s="167"/>
      <c r="H99" s="167"/>
      <c r="I99" s="167"/>
    </row>
    <row r="100" spans="2:9">
      <c r="B100" s="168"/>
      <c r="C100" s="168"/>
      <c r="D100" s="168"/>
      <c r="E100" s="167"/>
      <c r="F100" s="167"/>
      <c r="G100" s="167"/>
      <c r="H100" s="167"/>
      <c r="I100" s="167"/>
    </row>
    <row r="101" spans="2:9">
      <c r="B101" s="168"/>
      <c r="C101" s="168"/>
      <c r="D101" s="168"/>
      <c r="E101" s="167"/>
      <c r="F101" s="167"/>
      <c r="G101" s="167"/>
      <c r="H101" s="167"/>
      <c r="I101" s="167"/>
    </row>
    <row r="102" spans="2:9">
      <c r="B102" s="168"/>
      <c r="C102" s="168"/>
      <c r="D102" s="168"/>
      <c r="E102" s="167"/>
      <c r="F102" s="167"/>
      <c r="G102" s="167"/>
      <c r="H102" s="167"/>
      <c r="I102" s="167"/>
    </row>
    <row r="103" spans="2:9">
      <c r="B103" s="168"/>
      <c r="C103" s="168"/>
      <c r="D103" s="168"/>
      <c r="E103" s="167"/>
      <c r="F103" s="167"/>
      <c r="G103" s="167"/>
      <c r="H103" s="167"/>
      <c r="I103" s="167"/>
    </row>
    <row r="104" spans="2:9">
      <c r="B104" s="168"/>
      <c r="C104" s="168"/>
      <c r="D104" s="168"/>
      <c r="E104" s="167"/>
      <c r="F104" s="167"/>
      <c r="G104" s="167"/>
      <c r="H104" s="167"/>
      <c r="I104" s="167"/>
    </row>
    <row r="105" spans="2:9">
      <c r="B105" s="168"/>
      <c r="C105" s="168"/>
      <c r="D105" s="168"/>
      <c r="E105" s="167"/>
      <c r="F105" s="167"/>
      <c r="G105" s="167"/>
      <c r="H105" s="167"/>
      <c r="I105" s="167"/>
    </row>
    <row r="106" spans="2:9">
      <c r="B106" s="168"/>
      <c r="C106" s="168"/>
      <c r="D106" s="168"/>
      <c r="E106" s="167"/>
      <c r="F106" s="167"/>
      <c r="G106" s="167"/>
      <c r="H106" s="167"/>
      <c r="I106" s="167"/>
    </row>
    <row r="107" spans="2:9">
      <c r="B107" s="168"/>
      <c r="C107" s="168"/>
      <c r="D107" s="168"/>
      <c r="E107" s="167"/>
      <c r="F107" s="167"/>
      <c r="G107" s="167"/>
      <c r="H107" s="167"/>
      <c r="I107" s="167"/>
    </row>
    <row r="108" spans="2:9">
      <c r="B108" s="168"/>
      <c r="C108" s="168"/>
      <c r="D108" s="168"/>
      <c r="E108" s="167"/>
      <c r="F108" s="167"/>
      <c r="G108" s="167"/>
      <c r="H108" s="167"/>
      <c r="I108" s="167"/>
    </row>
    <row r="109" spans="2:9">
      <c r="B109" s="168"/>
      <c r="C109" s="168"/>
      <c r="D109" s="168"/>
      <c r="E109" s="167"/>
      <c r="F109" s="167"/>
      <c r="G109" s="167"/>
      <c r="H109" s="167"/>
      <c r="I109" s="167"/>
    </row>
    <row r="110" spans="2:9">
      <c r="B110" s="168"/>
      <c r="C110" s="168"/>
      <c r="D110" s="168"/>
      <c r="E110" s="167"/>
      <c r="F110" s="167"/>
      <c r="G110" s="167"/>
      <c r="H110" s="167"/>
      <c r="I110" s="167"/>
    </row>
    <row r="111" spans="2:9">
      <c r="B111" s="168"/>
      <c r="C111" s="168"/>
      <c r="D111" s="168"/>
      <c r="E111" s="167"/>
      <c r="F111" s="167"/>
      <c r="G111" s="167"/>
      <c r="H111" s="167"/>
      <c r="I111" s="167"/>
    </row>
    <row r="112" spans="2:9">
      <c r="B112" s="168"/>
      <c r="C112" s="168"/>
      <c r="D112" s="168"/>
      <c r="E112" s="167"/>
      <c r="F112" s="167"/>
      <c r="G112" s="167"/>
      <c r="H112" s="167"/>
      <c r="I112" s="167"/>
    </row>
    <row r="113" spans="2:9">
      <c r="B113" s="168"/>
      <c r="C113" s="168"/>
      <c r="D113" s="168"/>
      <c r="E113" s="167"/>
      <c r="F113" s="167"/>
      <c r="G113" s="167"/>
      <c r="H113" s="167"/>
      <c r="I113" s="167"/>
    </row>
    <row r="114" spans="2:9">
      <c r="B114" s="168"/>
      <c r="C114" s="168"/>
      <c r="D114" s="168"/>
      <c r="E114" s="167"/>
      <c r="F114" s="167"/>
      <c r="G114" s="167"/>
      <c r="H114" s="167"/>
      <c r="I114" s="167"/>
    </row>
    <row r="115" spans="2:9">
      <c r="B115" s="168"/>
      <c r="C115" s="168"/>
      <c r="D115" s="168"/>
      <c r="E115" s="167"/>
      <c r="F115" s="167"/>
      <c r="G115" s="167"/>
      <c r="H115" s="167"/>
      <c r="I115" s="167"/>
    </row>
    <row r="116" spans="2:9">
      <c r="B116" s="168"/>
      <c r="C116" s="168"/>
      <c r="D116" s="168"/>
      <c r="E116" s="167"/>
      <c r="F116" s="167"/>
      <c r="G116" s="167"/>
      <c r="H116" s="167"/>
      <c r="I116" s="167"/>
    </row>
    <row r="117" spans="2:9">
      <c r="B117" s="168"/>
      <c r="C117" s="168"/>
      <c r="D117" s="168"/>
      <c r="E117" s="167"/>
      <c r="F117" s="167"/>
      <c r="G117" s="167"/>
      <c r="H117" s="167"/>
      <c r="I117" s="167"/>
    </row>
    <row r="118" spans="2:9">
      <c r="B118" s="168"/>
      <c r="C118" s="168"/>
      <c r="D118" s="168"/>
      <c r="E118" s="167"/>
      <c r="F118" s="167"/>
      <c r="G118" s="167"/>
      <c r="H118" s="167"/>
      <c r="I118" s="167"/>
    </row>
    <row r="119" spans="2:9">
      <c r="B119" s="168"/>
      <c r="C119" s="168"/>
      <c r="D119" s="168"/>
      <c r="E119" s="167"/>
      <c r="F119" s="167"/>
      <c r="G119" s="167"/>
      <c r="H119" s="167"/>
      <c r="I119" s="167"/>
    </row>
    <row r="120" spans="2:9">
      <c r="B120" s="168"/>
      <c r="C120" s="168"/>
      <c r="D120" s="168"/>
      <c r="E120" s="167"/>
      <c r="F120" s="167"/>
      <c r="G120" s="167"/>
      <c r="H120" s="167"/>
      <c r="I120" s="167"/>
    </row>
    <row r="121" spans="2:9">
      <c r="B121" s="168"/>
      <c r="C121" s="168"/>
      <c r="D121" s="168"/>
      <c r="E121" s="167"/>
      <c r="F121" s="167"/>
      <c r="G121" s="167"/>
      <c r="H121" s="167"/>
      <c r="I121" s="167"/>
    </row>
    <row r="122" spans="2:9">
      <c r="B122" s="168"/>
      <c r="C122" s="168"/>
      <c r="D122" s="168"/>
      <c r="E122" s="167"/>
      <c r="F122" s="167"/>
      <c r="G122" s="167"/>
      <c r="H122" s="167"/>
      <c r="I122" s="167"/>
    </row>
    <row r="123" spans="2:9">
      <c r="B123" s="168"/>
      <c r="C123" s="168"/>
      <c r="D123" s="168"/>
      <c r="E123" s="167"/>
      <c r="F123" s="167"/>
      <c r="G123" s="167"/>
      <c r="H123" s="167"/>
      <c r="I123" s="167"/>
    </row>
    <row r="124" spans="2:9">
      <c r="B124" s="168"/>
      <c r="C124" s="168"/>
      <c r="D124" s="168"/>
      <c r="E124" s="167"/>
      <c r="F124" s="167"/>
      <c r="G124" s="167"/>
      <c r="H124" s="167"/>
      <c r="I124" s="167"/>
    </row>
    <row r="125" spans="2:9">
      <c r="B125" s="168"/>
      <c r="C125" s="168"/>
      <c r="D125" s="168"/>
      <c r="E125" s="167"/>
      <c r="F125" s="167"/>
      <c r="G125" s="167"/>
      <c r="H125" s="167"/>
      <c r="I125" s="167"/>
    </row>
    <row r="126" spans="2:9">
      <c r="B126" s="168"/>
      <c r="C126" s="168"/>
      <c r="D126" s="168"/>
      <c r="E126" s="167"/>
      <c r="F126" s="167"/>
      <c r="G126" s="167"/>
      <c r="H126" s="167"/>
      <c r="I126" s="167"/>
    </row>
    <row r="127" spans="2:9">
      <c r="B127" s="168"/>
      <c r="C127" s="168"/>
      <c r="D127" s="168"/>
      <c r="E127" s="167"/>
      <c r="F127" s="167"/>
      <c r="G127" s="167"/>
      <c r="H127" s="167"/>
      <c r="I127" s="167"/>
    </row>
    <row r="128" spans="2:9">
      <c r="B128" s="168"/>
      <c r="C128" s="168"/>
      <c r="D128" s="168"/>
      <c r="E128" s="167"/>
      <c r="F128" s="167"/>
      <c r="G128" s="167"/>
      <c r="H128" s="167"/>
      <c r="I128" s="167"/>
    </row>
    <row r="129" spans="2:9">
      <c r="B129" s="168"/>
      <c r="C129" s="168"/>
      <c r="D129" s="168"/>
      <c r="E129" s="167"/>
      <c r="F129" s="167"/>
      <c r="G129" s="167"/>
      <c r="H129" s="167"/>
      <c r="I129" s="167"/>
    </row>
    <row r="130" spans="2:9">
      <c r="B130" s="168"/>
      <c r="C130" s="168"/>
      <c r="D130" s="168"/>
      <c r="E130" s="167"/>
      <c r="F130" s="167"/>
      <c r="G130" s="167"/>
      <c r="H130" s="167"/>
      <c r="I130" s="167"/>
    </row>
    <row r="131" spans="2:9">
      <c r="B131" s="168"/>
      <c r="C131" s="168"/>
      <c r="D131" s="168"/>
      <c r="E131" s="167"/>
      <c r="F131" s="167"/>
      <c r="G131" s="167"/>
      <c r="H131" s="167"/>
      <c r="I131" s="167"/>
    </row>
    <row r="132" spans="2:9">
      <c r="B132" s="168"/>
      <c r="C132" s="168"/>
      <c r="D132" s="168"/>
      <c r="E132" s="167"/>
      <c r="F132" s="167"/>
      <c r="G132" s="167"/>
      <c r="H132" s="167"/>
      <c r="I132" s="167"/>
    </row>
    <row r="133" spans="2:9">
      <c r="B133" s="168"/>
      <c r="C133" s="168"/>
      <c r="D133" s="168"/>
      <c r="E133" s="167"/>
      <c r="F133" s="167"/>
      <c r="G133" s="167"/>
      <c r="H133" s="167"/>
      <c r="I133" s="167"/>
    </row>
    <row r="134" spans="2:9">
      <c r="B134" s="168"/>
      <c r="C134" s="168"/>
      <c r="D134" s="168"/>
      <c r="E134" s="167"/>
      <c r="F134" s="167"/>
      <c r="G134" s="167"/>
      <c r="H134" s="167"/>
      <c r="I134" s="167"/>
    </row>
    <row r="135" spans="2:9">
      <c r="B135" s="168"/>
      <c r="C135" s="168"/>
      <c r="D135" s="168"/>
      <c r="E135" s="167"/>
      <c r="F135" s="167"/>
      <c r="G135" s="167"/>
      <c r="H135" s="167"/>
      <c r="I135" s="167"/>
    </row>
    <row r="136" spans="2:9">
      <c r="B136" s="168"/>
      <c r="C136" s="168"/>
      <c r="D136" s="168"/>
      <c r="E136" s="167"/>
      <c r="F136" s="167"/>
      <c r="G136" s="167"/>
      <c r="H136" s="167"/>
      <c r="I136" s="167"/>
    </row>
    <row r="137" spans="2:9">
      <c r="B137" s="168"/>
      <c r="C137" s="168"/>
      <c r="D137" s="168"/>
      <c r="E137" s="167"/>
      <c r="F137" s="167"/>
      <c r="G137" s="167"/>
      <c r="H137" s="167"/>
      <c r="I137" s="167"/>
    </row>
    <row r="138" spans="2:9">
      <c r="B138" s="168"/>
      <c r="C138" s="168"/>
      <c r="D138" s="168"/>
      <c r="E138" s="167"/>
      <c r="F138" s="167"/>
      <c r="G138" s="167"/>
      <c r="H138" s="167"/>
      <c r="I138" s="167"/>
    </row>
    <row r="139" spans="2:9">
      <c r="B139" s="168"/>
      <c r="C139" s="168"/>
      <c r="D139" s="168"/>
      <c r="E139" s="167"/>
      <c r="F139" s="167"/>
      <c r="G139" s="167"/>
      <c r="H139" s="167"/>
      <c r="I139" s="167"/>
    </row>
    <row r="140" spans="2:9">
      <c r="B140" s="168"/>
      <c r="C140" s="168"/>
      <c r="D140" s="168"/>
      <c r="E140" s="167"/>
      <c r="F140" s="167"/>
      <c r="G140" s="167"/>
      <c r="H140" s="167"/>
      <c r="I140" s="167"/>
    </row>
    <row r="141" spans="2:9">
      <c r="B141" s="168"/>
      <c r="C141" s="168"/>
      <c r="D141" s="168"/>
      <c r="E141" s="167"/>
      <c r="F141" s="167"/>
      <c r="G141" s="167"/>
      <c r="H141" s="167"/>
      <c r="I141" s="167"/>
    </row>
    <row r="142" spans="2:9">
      <c r="B142" s="168"/>
      <c r="C142" s="168"/>
      <c r="D142" s="168"/>
      <c r="E142" s="167"/>
      <c r="F142" s="167"/>
      <c r="G142" s="167"/>
      <c r="H142" s="167"/>
      <c r="I142" s="167"/>
    </row>
    <row r="143" spans="2:9">
      <c r="B143" s="168"/>
      <c r="C143" s="168"/>
      <c r="D143" s="168"/>
      <c r="E143" s="167"/>
      <c r="F143" s="167"/>
      <c r="G143" s="167"/>
      <c r="H143" s="167"/>
      <c r="I143" s="167"/>
    </row>
    <row r="144" spans="2:9">
      <c r="B144" s="168"/>
      <c r="C144" s="168"/>
      <c r="D144" s="168"/>
      <c r="E144" s="167"/>
      <c r="F144" s="167"/>
      <c r="G144" s="167"/>
      <c r="H144" s="167"/>
      <c r="I144" s="167"/>
    </row>
    <row r="145" spans="2:9">
      <c r="B145" s="168"/>
      <c r="C145" s="168"/>
      <c r="D145" s="168"/>
      <c r="E145" s="167"/>
      <c r="F145" s="167"/>
      <c r="G145" s="167"/>
      <c r="H145" s="167"/>
      <c r="I145" s="167"/>
    </row>
    <row r="146" spans="2:9">
      <c r="B146" s="168"/>
      <c r="C146" s="168"/>
      <c r="D146" s="168"/>
      <c r="E146" s="167"/>
      <c r="F146" s="167"/>
      <c r="G146" s="167"/>
      <c r="H146" s="167"/>
      <c r="I146" s="167"/>
    </row>
    <row r="147" spans="2:9">
      <c r="B147" s="168"/>
      <c r="C147" s="168"/>
      <c r="D147" s="168"/>
      <c r="E147" s="167"/>
      <c r="F147" s="167"/>
      <c r="G147" s="167"/>
      <c r="H147" s="167"/>
      <c r="I147" s="167"/>
    </row>
    <row r="148" spans="2:9">
      <c r="B148" s="168"/>
      <c r="C148" s="168"/>
      <c r="D148" s="168"/>
      <c r="E148" s="167"/>
      <c r="F148" s="167"/>
      <c r="G148" s="167"/>
      <c r="H148" s="167"/>
      <c r="I148" s="167"/>
    </row>
    <row r="149" spans="2:9">
      <c r="B149" s="168"/>
      <c r="C149" s="168"/>
      <c r="D149" s="168"/>
      <c r="E149" s="167"/>
      <c r="F149" s="167"/>
      <c r="G149" s="167"/>
      <c r="H149" s="167"/>
      <c r="I149" s="167"/>
    </row>
    <row r="150" spans="2:9">
      <c r="B150" s="168"/>
      <c r="C150" s="168"/>
      <c r="D150" s="168"/>
      <c r="E150" s="167"/>
      <c r="F150" s="167"/>
      <c r="G150" s="167"/>
      <c r="H150" s="167"/>
      <c r="I150" s="167"/>
    </row>
    <row r="151" spans="2:9">
      <c r="B151" s="168"/>
      <c r="C151" s="168"/>
      <c r="D151" s="168"/>
      <c r="E151" s="167"/>
      <c r="F151" s="167"/>
      <c r="G151" s="167"/>
      <c r="H151" s="167"/>
      <c r="I151" s="167"/>
    </row>
    <row r="152" spans="2:9">
      <c r="B152" s="168"/>
      <c r="C152" s="168"/>
      <c r="D152" s="168"/>
      <c r="E152" s="167"/>
      <c r="F152" s="167"/>
      <c r="G152" s="167"/>
      <c r="H152" s="167"/>
      <c r="I152" s="167"/>
    </row>
    <row r="153" spans="2:9">
      <c r="B153" s="168"/>
      <c r="C153" s="168"/>
      <c r="D153" s="168"/>
      <c r="E153" s="167"/>
      <c r="F153" s="167"/>
      <c r="G153" s="167"/>
      <c r="H153" s="167"/>
      <c r="I153" s="167"/>
    </row>
    <row r="154" spans="2:9">
      <c r="B154" s="168"/>
      <c r="C154" s="168"/>
      <c r="D154" s="168"/>
      <c r="E154" s="167"/>
      <c r="F154" s="167"/>
      <c r="G154" s="167"/>
      <c r="H154" s="167"/>
      <c r="I154" s="167"/>
    </row>
    <row r="155" spans="2:9">
      <c r="B155" s="168"/>
      <c r="C155" s="168"/>
      <c r="D155" s="168"/>
      <c r="E155" s="167"/>
      <c r="F155" s="167"/>
      <c r="G155" s="167"/>
      <c r="H155" s="167"/>
      <c r="I155" s="167"/>
    </row>
    <row r="156" spans="2:9">
      <c r="B156" s="168"/>
      <c r="C156" s="168"/>
      <c r="D156" s="168"/>
      <c r="E156" s="167"/>
      <c r="F156" s="167"/>
      <c r="G156" s="167"/>
      <c r="H156" s="167"/>
      <c r="I156" s="167"/>
    </row>
    <row r="157" spans="2:9">
      <c r="B157" s="168"/>
      <c r="C157" s="168"/>
      <c r="D157" s="168"/>
      <c r="E157" s="167"/>
      <c r="F157" s="167"/>
      <c r="G157" s="167"/>
      <c r="H157" s="167"/>
      <c r="I157" s="167"/>
    </row>
    <row r="158" spans="2:9">
      <c r="B158" s="168"/>
      <c r="C158" s="168"/>
      <c r="D158" s="168"/>
      <c r="E158" s="167"/>
      <c r="F158" s="167"/>
      <c r="G158" s="167"/>
      <c r="H158" s="167"/>
      <c r="I158" s="167"/>
    </row>
    <row r="159" spans="2:9">
      <c r="B159" s="168"/>
      <c r="C159" s="168"/>
      <c r="D159" s="168"/>
      <c r="E159" s="167"/>
      <c r="F159" s="167"/>
      <c r="G159" s="167"/>
      <c r="H159" s="167"/>
      <c r="I159" s="167"/>
    </row>
    <row r="160" spans="2:9">
      <c r="B160" s="168"/>
      <c r="C160" s="168"/>
      <c r="D160" s="168"/>
      <c r="E160" s="167"/>
      <c r="F160" s="167"/>
      <c r="G160" s="167"/>
      <c r="H160" s="167"/>
      <c r="I160" s="167"/>
    </row>
    <row r="161" spans="2:9">
      <c r="B161" s="168"/>
      <c r="C161" s="168"/>
      <c r="D161" s="168"/>
      <c r="E161" s="167"/>
      <c r="F161" s="167"/>
      <c r="G161" s="167"/>
      <c r="H161" s="167"/>
      <c r="I161" s="167"/>
    </row>
    <row r="162" spans="2:9">
      <c r="B162" s="168"/>
      <c r="C162" s="168"/>
      <c r="D162" s="168"/>
      <c r="E162" s="167"/>
      <c r="F162" s="167"/>
      <c r="G162" s="167"/>
      <c r="H162" s="167"/>
      <c r="I162" s="167"/>
    </row>
    <row r="163" spans="2:9">
      <c r="B163" s="168"/>
      <c r="C163" s="168"/>
      <c r="D163" s="168"/>
      <c r="E163" s="167"/>
      <c r="F163" s="167"/>
      <c r="G163" s="167"/>
      <c r="H163" s="167"/>
      <c r="I163" s="167"/>
    </row>
    <row r="164" spans="2:9">
      <c r="B164" s="168"/>
      <c r="C164" s="168"/>
      <c r="D164" s="168"/>
      <c r="E164" s="167"/>
      <c r="F164" s="167"/>
      <c r="G164" s="167"/>
      <c r="H164" s="167"/>
      <c r="I164" s="167"/>
    </row>
    <row r="165" spans="2:9">
      <c r="B165" s="168"/>
      <c r="C165" s="168"/>
      <c r="D165" s="168"/>
      <c r="E165" s="167"/>
      <c r="F165" s="167"/>
      <c r="G165" s="167"/>
      <c r="H165" s="167"/>
      <c r="I165" s="167"/>
    </row>
    <row r="166" spans="2:9">
      <c r="B166" s="168"/>
      <c r="C166" s="168"/>
      <c r="D166" s="168"/>
      <c r="E166" s="167"/>
      <c r="F166" s="167"/>
      <c r="G166" s="167"/>
      <c r="H166" s="167"/>
      <c r="I166" s="167"/>
    </row>
    <row r="167" spans="2:9">
      <c r="B167" s="168"/>
      <c r="C167" s="168"/>
      <c r="D167" s="168"/>
      <c r="E167" s="167"/>
      <c r="F167" s="167"/>
      <c r="G167" s="167"/>
      <c r="H167" s="167"/>
      <c r="I167" s="167"/>
    </row>
    <row r="168" spans="2:9">
      <c r="B168" s="168"/>
      <c r="C168" s="168"/>
      <c r="D168" s="168"/>
      <c r="E168" s="167"/>
      <c r="F168" s="167"/>
      <c r="G168" s="167"/>
      <c r="H168" s="167"/>
      <c r="I168" s="167"/>
    </row>
    <row r="169" spans="2:9">
      <c r="B169" s="168"/>
      <c r="C169" s="168"/>
      <c r="D169" s="168"/>
      <c r="E169" s="167"/>
      <c r="F169" s="167"/>
      <c r="G169" s="167"/>
      <c r="H169" s="167"/>
      <c r="I169" s="167"/>
    </row>
    <row r="170" spans="2:9">
      <c r="B170" s="168"/>
      <c r="C170" s="168"/>
      <c r="D170" s="168"/>
      <c r="E170" s="167"/>
      <c r="F170" s="167"/>
      <c r="G170" s="167"/>
      <c r="H170" s="167"/>
      <c r="I170" s="167"/>
    </row>
    <row r="171" spans="2:9">
      <c r="B171" s="168"/>
      <c r="C171" s="168"/>
      <c r="D171" s="168"/>
      <c r="E171" s="167"/>
      <c r="F171" s="167"/>
      <c r="G171" s="167"/>
      <c r="H171" s="167"/>
      <c r="I171" s="167"/>
    </row>
    <row r="172" spans="2:9">
      <c r="B172" s="168"/>
      <c r="C172" s="168"/>
      <c r="D172" s="168"/>
      <c r="E172" s="167"/>
      <c r="F172" s="167"/>
      <c r="G172" s="167"/>
      <c r="H172" s="167"/>
      <c r="I172" s="167"/>
    </row>
    <row r="173" spans="2:9">
      <c r="B173" s="168"/>
      <c r="C173" s="168"/>
      <c r="D173" s="168"/>
      <c r="E173" s="167"/>
      <c r="F173" s="167"/>
      <c r="G173" s="167"/>
      <c r="H173" s="167"/>
      <c r="I173" s="167"/>
    </row>
    <row r="174" spans="2:9">
      <c r="B174" s="168"/>
      <c r="C174" s="168"/>
      <c r="D174" s="168"/>
      <c r="E174" s="167"/>
      <c r="F174" s="167"/>
      <c r="G174" s="167"/>
      <c r="H174" s="167"/>
      <c r="I174" s="167"/>
    </row>
    <row r="175" spans="2:9">
      <c r="B175" s="168"/>
      <c r="C175" s="168"/>
      <c r="D175" s="168"/>
      <c r="E175" s="167"/>
      <c r="F175" s="167"/>
      <c r="G175" s="167"/>
      <c r="H175" s="167"/>
      <c r="I175" s="167"/>
    </row>
    <row r="176" spans="2:9">
      <c r="B176" s="168"/>
      <c r="C176" s="168"/>
      <c r="D176" s="168"/>
      <c r="E176" s="167"/>
      <c r="F176" s="167"/>
      <c r="G176" s="167"/>
      <c r="H176" s="167"/>
      <c r="I176" s="167"/>
    </row>
    <row r="177" spans="2:9">
      <c r="B177" s="168"/>
      <c r="C177" s="168"/>
      <c r="D177" s="168"/>
      <c r="E177" s="167"/>
      <c r="F177" s="167"/>
      <c r="G177" s="167"/>
      <c r="H177" s="167"/>
      <c r="I177" s="167"/>
    </row>
    <row r="178" spans="2:9">
      <c r="B178" s="168"/>
      <c r="C178" s="168"/>
      <c r="D178" s="168"/>
      <c r="E178" s="167"/>
      <c r="F178" s="167"/>
      <c r="G178" s="167"/>
      <c r="H178" s="167"/>
      <c r="I178" s="167"/>
    </row>
    <row r="179" spans="2:9">
      <c r="B179" s="168"/>
      <c r="C179" s="168"/>
      <c r="D179" s="168"/>
      <c r="E179" s="167"/>
      <c r="F179" s="167"/>
      <c r="G179" s="167"/>
      <c r="H179" s="167"/>
      <c r="I179" s="167"/>
    </row>
    <row r="180" spans="2:9">
      <c r="B180" s="168"/>
      <c r="C180" s="168"/>
      <c r="D180" s="168"/>
      <c r="E180" s="167"/>
      <c r="F180" s="167"/>
      <c r="G180" s="167"/>
      <c r="H180" s="167"/>
      <c r="I180" s="167"/>
    </row>
    <row r="181" spans="2:9">
      <c r="B181" s="168"/>
      <c r="C181" s="168"/>
      <c r="D181" s="168"/>
      <c r="E181" s="167"/>
      <c r="F181" s="167"/>
      <c r="G181" s="167"/>
      <c r="H181" s="167"/>
      <c r="I181" s="167"/>
    </row>
    <row r="182" spans="2:9">
      <c r="B182" s="168"/>
      <c r="C182" s="168"/>
      <c r="D182" s="168"/>
      <c r="E182" s="167"/>
      <c r="F182" s="167"/>
      <c r="G182" s="167"/>
      <c r="H182" s="167"/>
      <c r="I182" s="167"/>
    </row>
    <row r="183" spans="2:9">
      <c r="B183" s="168"/>
      <c r="C183" s="168"/>
      <c r="D183" s="168"/>
      <c r="E183" s="167"/>
      <c r="F183" s="167"/>
      <c r="G183" s="167"/>
      <c r="H183" s="167"/>
      <c r="I183" s="167"/>
    </row>
    <row r="184" spans="2:9">
      <c r="B184" s="168"/>
      <c r="C184" s="168"/>
      <c r="D184" s="168"/>
      <c r="E184" s="167"/>
      <c r="F184" s="167"/>
      <c r="G184" s="167"/>
      <c r="H184" s="167"/>
      <c r="I184" s="167"/>
    </row>
    <row r="185" spans="2:9">
      <c r="B185" s="168"/>
      <c r="C185" s="168"/>
      <c r="D185" s="168"/>
      <c r="E185" s="167"/>
      <c r="F185" s="167"/>
      <c r="G185" s="167"/>
      <c r="H185" s="167"/>
      <c r="I185" s="167"/>
    </row>
    <row r="186" spans="2:9">
      <c r="B186" s="168"/>
      <c r="C186" s="168"/>
      <c r="D186" s="168"/>
      <c r="E186" s="167"/>
      <c r="F186" s="167"/>
      <c r="G186" s="167"/>
      <c r="H186" s="167"/>
      <c r="I186" s="167"/>
    </row>
    <row r="187" spans="2:9">
      <c r="B187" s="168"/>
      <c r="C187" s="168"/>
      <c r="D187" s="168"/>
      <c r="E187" s="167"/>
      <c r="F187" s="167"/>
      <c r="G187" s="167"/>
      <c r="H187" s="167"/>
      <c r="I187" s="167"/>
    </row>
    <row r="188" spans="2:9">
      <c r="B188" s="168"/>
      <c r="C188" s="168"/>
      <c r="D188" s="168"/>
      <c r="E188" s="167"/>
      <c r="F188" s="167"/>
      <c r="G188" s="167"/>
      <c r="H188" s="167"/>
      <c r="I188" s="167"/>
    </row>
    <row r="189" spans="2:9">
      <c r="B189" s="168"/>
      <c r="C189" s="168"/>
      <c r="D189" s="168"/>
      <c r="E189" s="167"/>
      <c r="F189" s="167"/>
      <c r="G189" s="167"/>
      <c r="H189" s="167"/>
      <c r="I189" s="167"/>
    </row>
    <row r="190" spans="2:9">
      <c r="B190" s="168"/>
      <c r="C190" s="168"/>
      <c r="D190" s="168"/>
      <c r="E190" s="167"/>
      <c r="F190" s="167"/>
      <c r="G190" s="167"/>
      <c r="H190" s="167"/>
      <c r="I190" s="167"/>
    </row>
    <row r="191" spans="2:9">
      <c r="B191" s="168"/>
      <c r="C191" s="168"/>
      <c r="D191" s="168"/>
      <c r="E191" s="167"/>
      <c r="F191" s="167"/>
      <c r="G191" s="167"/>
      <c r="H191" s="167"/>
      <c r="I191" s="167"/>
    </row>
    <row r="192" spans="2:9">
      <c r="B192" s="168"/>
      <c r="C192" s="168"/>
      <c r="D192" s="168"/>
      <c r="E192" s="167"/>
      <c r="F192" s="167"/>
      <c r="G192" s="167"/>
      <c r="H192" s="167"/>
      <c r="I192" s="167"/>
    </row>
    <row r="193" spans="2:9">
      <c r="B193" s="168"/>
      <c r="C193" s="168"/>
      <c r="D193" s="168"/>
      <c r="E193" s="167"/>
      <c r="F193" s="167"/>
      <c r="G193" s="167"/>
      <c r="H193" s="167"/>
      <c r="I193" s="167"/>
    </row>
    <row r="194" spans="2:9">
      <c r="B194" s="168"/>
      <c r="C194" s="168"/>
      <c r="D194" s="168"/>
      <c r="E194" s="167"/>
      <c r="F194" s="167"/>
      <c r="G194" s="167"/>
      <c r="H194" s="167"/>
      <c r="I194" s="167"/>
    </row>
    <row r="195" spans="2:9">
      <c r="B195" s="168"/>
      <c r="C195" s="168"/>
      <c r="D195" s="168"/>
      <c r="E195" s="167"/>
      <c r="F195" s="167"/>
      <c r="G195" s="167"/>
      <c r="H195" s="167"/>
      <c r="I195" s="167"/>
    </row>
    <row r="196" spans="2:9">
      <c r="B196" s="168"/>
      <c r="C196" s="168"/>
      <c r="D196" s="168"/>
      <c r="E196" s="167"/>
      <c r="F196" s="167"/>
      <c r="G196" s="167"/>
      <c r="H196" s="167"/>
      <c r="I196" s="167"/>
    </row>
    <row r="197" spans="2:9">
      <c r="B197" s="168"/>
      <c r="C197" s="168"/>
      <c r="D197" s="168"/>
      <c r="E197" s="167"/>
      <c r="F197" s="167"/>
      <c r="G197" s="167"/>
      <c r="H197" s="167"/>
      <c r="I197" s="167"/>
    </row>
    <row r="198" spans="2:9">
      <c r="B198" s="168"/>
      <c r="C198" s="168"/>
      <c r="D198" s="168"/>
      <c r="E198" s="167"/>
      <c r="F198" s="167"/>
      <c r="G198" s="167"/>
      <c r="H198" s="167"/>
      <c r="I198" s="167"/>
    </row>
    <row r="199" spans="2:9">
      <c r="B199" s="168"/>
      <c r="C199" s="168"/>
      <c r="D199" s="168"/>
      <c r="E199" s="167"/>
      <c r="F199" s="167"/>
      <c r="G199" s="167"/>
      <c r="H199" s="167"/>
      <c r="I199" s="167"/>
    </row>
    <row r="200" spans="2:9">
      <c r="B200" s="168"/>
      <c r="C200" s="168"/>
      <c r="D200" s="168"/>
      <c r="E200" s="167"/>
      <c r="F200" s="167"/>
      <c r="G200" s="167"/>
      <c r="H200" s="167"/>
      <c r="I200" s="167"/>
    </row>
    <row r="201" spans="2:9">
      <c r="B201" s="168"/>
      <c r="C201" s="168"/>
      <c r="D201" s="168"/>
      <c r="E201" s="167"/>
      <c r="F201" s="167"/>
      <c r="G201" s="167"/>
      <c r="H201" s="167"/>
      <c r="I201" s="167"/>
    </row>
    <row r="202" spans="2:9">
      <c r="B202" s="168"/>
      <c r="C202" s="168"/>
      <c r="D202" s="168"/>
      <c r="E202" s="167"/>
      <c r="F202" s="167"/>
      <c r="G202" s="167"/>
      <c r="H202" s="167"/>
      <c r="I202" s="167"/>
    </row>
    <row r="203" spans="2:9">
      <c r="B203" s="168"/>
      <c r="C203" s="168"/>
      <c r="D203" s="168"/>
      <c r="E203" s="167"/>
      <c r="F203" s="167"/>
      <c r="G203" s="167"/>
      <c r="H203" s="167"/>
      <c r="I203" s="167"/>
    </row>
    <row r="204" spans="2:9">
      <c r="B204" s="168"/>
      <c r="C204" s="168"/>
      <c r="D204" s="168"/>
      <c r="E204" s="167"/>
      <c r="F204" s="167"/>
      <c r="G204" s="167"/>
      <c r="H204" s="167"/>
      <c r="I204" s="167"/>
    </row>
    <row r="205" spans="2:9">
      <c r="B205" s="168"/>
      <c r="C205" s="168"/>
      <c r="D205" s="168"/>
      <c r="E205" s="167"/>
      <c r="F205" s="167"/>
      <c r="G205" s="167"/>
      <c r="H205" s="167"/>
      <c r="I205" s="167"/>
    </row>
    <row r="206" spans="2:9">
      <c r="B206" s="168"/>
      <c r="C206" s="168"/>
      <c r="D206" s="168"/>
      <c r="E206" s="167"/>
      <c r="F206" s="167"/>
      <c r="G206" s="167"/>
      <c r="H206" s="167"/>
      <c r="I206" s="167"/>
    </row>
    <row r="207" spans="2:9">
      <c r="B207" s="168"/>
      <c r="C207" s="168"/>
      <c r="D207" s="168"/>
      <c r="E207" s="167"/>
      <c r="F207" s="167"/>
      <c r="G207" s="167"/>
      <c r="H207" s="167"/>
      <c r="I207" s="167"/>
    </row>
    <row r="208" spans="2:9">
      <c r="B208" s="168"/>
      <c r="C208" s="168"/>
      <c r="D208" s="168"/>
      <c r="E208" s="167"/>
      <c r="F208" s="167"/>
      <c r="G208" s="167"/>
      <c r="H208" s="167"/>
      <c r="I208" s="167"/>
    </row>
    <row r="209" spans="2:9">
      <c r="B209" s="168"/>
      <c r="C209" s="168"/>
      <c r="D209" s="168"/>
      <c r="E209" s="167"/>
      <c r="F209" s="167"/>
      <c r="G209" s="167"/>
      <c r="H209" s="167"/>
      <c r="I209" s="167"/>
    </row>
    <row r="210" spans="2:9">
      <c r="B210" s="168"/>
      <c r="C210" s="168"/>
      <c r="D210" s="168"/>
      <c r="E210" s="167"/>
      <c r="F210" s="167"/>
      <c r="G210" s="167"/>
      <c r="H210" s="167"/>
      <c r="I210" s="167"/>
    </row>
    <row r="211" spans="2:9">
      <c r="B211" s="168"/>
      <c r="C211" s="168"/>
      <c r="D211" s="168"/>
      <c r="E211" s="167"/>
      <c r="F211" s="167"/>
      <c r="G211" s="167"/>
      <c r="H211" s="167"/>
      <c r="I211" s="167"/>
    </row>
    <row r="212" spans="2:9">
      <c r="B212" s="168"/>
      <c r="C212" s="168"/>
      <c r="D212" s="168"/>
      <c r="E212" s="167"/>
      <c r="F212" s="167"/>
      <c r="G212" s="167"/>
      <c r="H212" s="167"/>
      <c r="I212" s="167"/>
    </row>
    <row r="213" spans="2:9">
      <c r="B213" s="168"/>
      <c r="C213" s="168"/>
      <c r="D213" s="168"/>
      <c r="E213" s="167"/>
      <c r="F213" s="167"/>
      <c r="G213" s="167"/>
      <c r="H213" s="167"/>
      <c r="I213" s="167"/>
    </row>
    <row r="214" spans="2:9">
      <c r="B214" s="168"/>
      <c r="C214" s="168"/>
      <c r="D214" s="168"/>
      <c r="E214" s="167"/>
      <c r="F214" s="167"/>
      <c r="G214" s="167"/>
      <c r="H214" s="167"/>
      <c r="I214" s="167"/>
    </row>
    <row r="215" spans="2:9">
      <c r="B215" s="168"/>
      <c r="C215" s="168"/>
      <c r="D215" s="168"/>
      <c r="E215" s="167"/>
      <c r="F215" s="167"/>
      <c r="G215" s="167"/>
      <c r="H215" s="167"/>
      <c r="I215" s="167"/>
    </row>
    <row r="216" spans="2:9">
      <c r="B216" s="168"/>
      <c r="C216" s="168"/>
      <c r="D216" s="168"/>
      <c r="E216" s="167"/>
      <c r="F216" s="167"/>
      <c r="G216" s="167"/>
      <c r="H216" s="167"/>
      <c r="I216" s="167"/>
    </row>
    <row r="217" spans="2:9">
      <c r="B217" s="168"/>
      <c r="C217" s="168"/>
      <c r="D217" s="168"/>
      <c r="E217" s="167"/>
      <c r="F217" s="167"/>
      <c r="G217" s="167"/>
      <c r="H217" s="167"/>
      <c r="I217" s="167"/>
    </row>
    <row r="218" spans="2:9">
      <c r="B218" s="168"/>
      <c r="C218" s="168"/>
      <c r="D218" s="168"/>
      <c r="E218" s="167"/>
      <c r="F218" s="167"/>
      <c r="G218" s="167"/>
      <c r="H218" s="167"/>
      <c r="I218" s="167"/>
    </row>
    <row r="219" spans="2:9">
      <c r="B219" s="168"/>
      <c r="C219" s="168"/>
      <c r="D219" s="168"/>
      <c r="E219" s="167"/>
      <c r="F219" s="167"/>
      <c r="G219" s="167"/>
      <c r="H219" s="167"/>
      <c r="I219" s="167"/>
    </row>
    <row r="220" spans="2:9">
      <c r="B220" s="168"/>
      <c r="C220" s="168"/>
      <c r="D220" s="168"/>
      <c r="E220" s="167"/>
      <c r="F220" s="167"/>
      <c r="G220" s="167"/>
      <c r="H220" s="167"/>
      <c r="I220" s="167"/>
    </row>
    <row r="221" spans="2:9">
      <c r="B221" s="168"/>
      <c r="C221" s="168"/>
      <c r="D221" s="168"/>
      <c r="E221" s="167"/>
      <c r="F221" s="167"/>
      <c r="G221" s="167"/>
      <c r="H221" s="167"/>
      <c r="I221" s="167"/>
    </row>
    <row r="222" spans="2:9">
      <c r="B222" s="168"/>
      <c r="C222" s="168"/>
      <c r="D222" s="168"/>
      <c r="E222" s="167"/>
      <c r="F222" s="167"/>
      <c r="G222" s="167"/>
      <c r="H222" s="167"/>
      <c r="I222" s="167"/>
    </row>
    <row r="223" spans="2:9">
      <c r="B223" s="168"/>
      <c r="C223" s="168"/>
      <c r="D223" s="168"/>
      <c r="E223" s="167"/>
      <c r="F223" s="167"/>
      <c r="G223" s="167"/>
      <c r="H223" s="167"/>
      <c r="I223" s="167"/>
    </row>
    <row r="224" spans="2:9">
      <c r="B224" s="168"/>
      <c r="C224" s="168"/>
      <c r="D224" s="168"/>
      <c r="E224" s="167"/>
      <c r="F224" s="167"/>
      <c r="G224" s="167"/>
      <c r="H224" s="167"/>
      <c r="I224" s="167"/>
    </row>
    <row r="225" spans="2:9">
      <c r="B225" s="168"/>
      <c r="C225" s="168"/>
      <c r="D225" s="168"/>
      <c r="E225" s="167"/>
      <c r="F225" s="167"/>
      <c r="G225" s="167"/>
      <c r="H225" s="167"/>
      <c r="I225" s="167"/>
    </row>
    <row r="226" spans="2:9">
      <c r="B226" s="168"/>
      <c r="C226" s="168"/>
      <c r="D226" s="168"/>
      <c r="E226" s="167"/>
      <c r="F226" s="167"/>
      <c r="G226" s="167"/>
      <c r="H226" s="167"/>
      <c r="I226" s="167"/>
    </row>
    <row r="227" spans="2:9">
      <c r="B227" s="168"/>
      <c r="C227" s="168"/>
      <c r="D227" s="168"/>
      <c r="E227" s="167"/>
      <c r="F227" s="167"/>
      <c r="G227" s="167"/>
      <c r="H227" s="167"/>
      <c r="I227" s="167"/>
    </row>
    <row r="228" spans="2:9">
      <c r="B228" s="168"/>
      <c r="C228" s="168"/>
      <c r="D228" s="168"/>
      <c r="E228" s="167"/>
      <c r="F228" s="167"/>
      <c r="G228" s="167"/>
      <c r="H228" s="167"/>
      <c r="I228" s="167"/>
    </row>
    <row r="229" spans="2:9">
      <c r="B229" s="168"/>
      <c r="C229" s="168"/>
      <c r="D229" s="168"/>
      <c r="E229" s="167"/>
      <c r="F229" s="167"/>
      <c r="G229" s="167"/>
      <c r="H229" s="167"/>
      <c r="I229" s="167"/>
    </row>
    <row r="230" spans="2:9">
      <c r="B230" s="168"/>
      <c r="C230" s="168"/>
      <c r="D230" s="168"/>
      <c r="E230" s="167"/>
      <c r="F230" s="167"/>
      <c r="G230" s="167"/>
      <c r="H230" s="167"/>
      <c r="I230" s="167"/>
    </row>
    <row r="231" spans="2:9">
      <c r="B231" s="168"/>
      <c r="C231" s="168"/>
      <c r="D231" s="168"/>
      <c r="E231" s="167"/>
      <c r="F231" s="167"/>
      <c r="G231" s="167"/>
      <c r="H231" s="167"/>
      <c r="I231" s="167"/>
    </row>
    <row r="232" spans="2:9">
      <c r="B232" s="168"/>
      <c r="C232" s="168"/>
      <c r="D232" s="168"/>
      <c r="E232" s="167"/>
      <c r="F232" s="167"/>
      <c r="G232" s="167"/>
      <c r="H232" s="167"/>
      <c r="I232" s="167"/>
    </row>
    <row r="233" spans="2:9">
      <c r="B233" s="168"/>
      <c r="C233" s="168"/>
      <c r="D233" s="168"/>
      <c r="E233" s="167"/>
      <c r="F233" s="167"/>
      <c r="G233" s="167"/>
      <c r="H233" s="167"/>
      <c r="I233" s="167"/>
    </row>
    <row r="234" spans="2:9">
      <c r="B234" s="168"/>
      <c r="C234" s="168"/>
      <c r="D234" s="168"/>
      <c r="E234" s="167"/>
      <c r="F234" s="167"/>
      <c r="G234" s="167"/>
      <c r="H234" s="167"/>
      <c r="I234" s="167"/>
    </row>
    <row r="235" spans="2:9">
      <c r="B235" s="168"/>
      <c r="C235" s="168"/>
      <c r="D235" s="168"/>
      <c r="E235" s="167"/>
      <c r="F235" s="167"/>
      <c r="G235" s="167"/>
      <c r="H235" s="167"/>
      <c r="I235" s="167"/>
    </row>
    <row r="236" spans="2:9">
      <c r="B236" s="168"/>
      <c r="C236" s="168"/>
      <c r="D236" s="168"/>
      <c r="E236" s="167"/>
      <c r="F236" s="167"/>
      <c r="G236" s="167"/>
      <c r="H236" s="167"/>
      <c r="I236" s="167"/>
    </row>
    <row r="237" spans="2:9">
      <c r="B237" s="168"/>
      <c r="C237" s="168"/>
      <c r="D237" s="168"/>
      <c r="E237" s="167"/>
      <c r="F237" s="167"/>
      <c r="G237" s="167"/>
      <c r="H237" s="167"/>
      <c r="I237" s="167"/>
    </row>
    <row r="238" spans="2:9">
      <c r="B238" s="168"/>
      <c r="C238" s="168"/>
      <c r="D238" s="168"/>
      <c r="E238" s="167"/>
      <c r="F238" s="167"/>
      <c r="G238" s="167"/>
      <c r="H238" s="167"/>
      <c r="I238" s="167"/>
    </row>
    <row r="239" spans="2:9">
      <c r="B239" s="168"/>
      <c r="C239" s="168"/>
      <c r="D239" s="168"/>
      <c r="E239" s="167"/>
      <c r="F239" s="167"/>
      <c r="G239" s="167"/>
      <c r="H239" s="167"/>
      <c r="I239" s="167"/>
    </row>
    <row r="240" spans="2:9">
      <c r="B240" s="168"/>
      <c r="C240" s="168"/>
      <c r="D240" s="168"/>
      <c r="E240" s="167"/>
      <c r="F240" s="167"/>
      <c r="G240" s="167"/>
      <c r="H240" s="167"/>
      <c r="I240" s="167"/>
    </row>
    <row r="241" spans="2:9">
      <c r="B241" s="168"/>
      <c r="C241" s="168"/>
      <c r="D241" s="168"/>
      <c r="E241" s="167"/>
      <c r="F241" s="167"/>
      <c r="G241" s="167"/>
      <c r="H241" s="167"/>
      <c r="I241" s="167"/>
    </row>
    <row r="242" spans="2:9">
      <c r="B242" s="168"/>
      <c r="C242" s="168"/>
      <c r="D242" s="168"/>
      <c r="E242" s="167"/>
      <c r="F242" s="167"/>
      <c r="G242" s="167"/>
      <c r="H242" s="167"/>
      <c r="I242" s="167"/>
    </row>
    <row r="243" spans="2:9">
      <c r="B243" s="168"/>
      <c r="C243" s="168"/>
      <c r="D243" s="168"/>
      <c r="E243" s="167"/>
      <c r="F243" s="167"/>
      <c r="G243" s="167"/>
      <c r="H243" s="167"/>
      <c r="I243" s="167"/>
    </row>
    <row r="244" spans="2:9">
      <c r="B244" s="168"/>
      <c r="C244" s="168"/>
      <c r="D244" s="168"/>
      <c r="E244" s="167"/>
      <c r="F244" s="167"/>
      <c r="G244" s="167"/>
      <c r="H244" s="167"/>
      <c r="I244" s="167"/>
    </row>
    <row r="245" spans="2:9">
      <c r="B245" s="168"/>
      <c r="C245" s="168"/>
      <c r="D245" s="168"/>
      <c r="E245" s="167"/>
      <c r="F245" s="167"/>
      <c r="G245" s="167"/>
      <c r="H245" s="167"/>
      <c r="I245" s="167"/>
    </row>
    <row r="246" spans="2:9">
      <c r="B246" s="168"/>
      <c r="C246" s="168"/>
      <c r="D246" s="168"/>
      <c r="E246" s="167"/>
      <c r="F246" s="167"/>
      <c r="G246" s="167"/>
      <c r="H246" s="167"/>
      <c r="I246" s="167"/>
    </row>
    <row r="247" spans="2:9">
      <c r="B247" s="168"/>
      <c r="C247" s="168"/>
      <c r="D247" s="168"/>
      <c r="E247" s="167"/>
      <c r="F247" s="167"/>
      <c r="G247" s="167"/>
      <c r="H247" s="167"/>
      <c r="I247" s="167"/>
    </row>
    <row r="248" spans="2:9">
      <c r="B248" s="168"/>
      <c r="C248" s="168"/>
      <c r="D248" s="168"/>
      <c r="E248" s="167"/>
      <c r="F248" s="167"/>
      <c r="G248" s="167"/>
      <c r="H248" s="167"/>
      <c r="I248" s="167"/>
    </row>
    <row r="249" spans="2:9">
      <c r="B249" s="168"/>
      <c r="C249" s="168"/>
      <c r="D249" s="168"/>
      <c r="E249" s="167"/>
      <c r="F249" s="167"/>
      <c r="G249" s="167"/>
      <c r="H249" s="167"/>
      <c r="I249" s="167"/>
    </row>
    <row r="250" spans="2:9">
      <c r="B250" s="168"/>
      <c r="C250" s="168"/>
      <c r="D250" s="168"/>
      <c r="E250" s="167"/>
      <c r="F250" s="167"/>
      <c r="G250" s="167"/>
      <c r="H250" s="167"/>
      <c r="I250" s="167"/>
    </row>
    <row r="251" spans="2:9">
      <c r="B251" s="168"/>
      <c r="C251" s="168"/>
      <c r="D251" s="168"/>
      <c r="E251" s="167"/>
      <c r="F251" s="167"/>
      <c r="G251" s="167"/>
      <c r="H251" s="167"/>
      <c r="I251" s="167"/>
    </row>
    <row r="252" spans="2:9">
      <c r="B252" s="168"/>
      <c r="C252" s="168"/>
      <c r="D252" s="168"/>
      <c r="E252" s="167"/>
      <c r="F252" s="167"/>
      <c r="G252" s="167"/>
      <c r="H252" s="167"/>
      <c r="I252" s="167"/>
    </row>
    <row r="253" spans="2:9">
      <c r="B253" s="168"/>
      <c r="C253" s="168"/>
      <c r="D253" s="168"/>
      <c r="E253" s="167"/>
      <c r="F253" s="167"/>
      <c r="G253" s="167"/>
      <c r="H253" s="167"/>
      <c r="I253" s="167"/>
    </row>
    <row r="254" spans="2:9">
      <c r="B254" s="168"/>
      <c r="C254" s="168"/>
      <c r="D254" s="168"/>
      <c r="E254" s="167"/>
      <c r="F254" s="167"/>
      <c r="G254" s="167"/>
      <c r="H254" s="167"/>
      <c r="I254" s="167"/>
    </row>
    <row r="255" spans="2:9">
      <c r="B255" s="168"/>
      <c r="C255" s="168"/>
      <c r="D255" s="168"/>
      <c r="E255" s="167"/>
      <c r="F255" s="167"/>
      <c r="G255" s="167"/>
      <c r="H255" s="167"/>
      <c r="I255" s="167"/>
    </row>
    <row r="256" spans="2:9">
      <c r="B256" s="168"/>
      <c r="C256" s="168"/>
      <c r="D256" s="168"/>
      <c r="E256" s="167"/>
      <c r="F256" s="167"/>
      <c r="G256" s="167"/>
      <c r="H256" s="167"/>
      <c r="I256" s="167"/>
    </row>
    <row r="257" spans="2:9">
      <c r="B257" s="168"/>
      <c r="C257" s="168"/>
      <c r="D257" s="168"/>
      <c r="E257" s="167"/>
      <c r="F257" s="167"/>
      <c r="G257" s="167"/>
      <c r="H257" s="167"/>
      <c r="I257" s="167"/>
    </row>
    <row r="258" spans="2:9">
      <c r="B258" s="168"/>
      <c r="C258" s="168"/>
      <c r="D258" s="168"/>
      <c r="E258" s="167"/>
      <c r="F258" s="167"/>
      <c r="G258" s="167"/>
      <c r="H258" s="167"/>
      <c r="I258" s="167"/>
    </row>
    <row r="259" spans="2:9">
      <c r="B259" s="168"/>
      <c r="C259" s="168"/>
      <c r="D259" s="168"/>
      <c r="E259" s="167"/>
      <c r="F259" s="167"/>
      <c r="G259" s="167"/>
      <c r="H259" s="167"/>
      <c r="I259" s="167"/>
    </row>
    <row r="260" spans="2:9">
      <c r="B260" s="168"/>
      <c r="C260" s="168"/>
      <c r="D260" s="168"/>
      <c r="E260" s="167"/>
      <c r="F260" s="167"/>
      <c r="G260" s="167"/>
      <c r="H260" s="167"/>
      <c r="I260" s="167"/>
    </row>
    <row r="261" spans="2:9">
      <c r="B261" s="168"/>
      <c r="C261" s="168"/>
      <c r="D261" s="168"/>
      <c r="E261" s="167"/>
      <c r="F261" s="167"/>
      <c r="G261" s="167"/>
      <c r="H261" s="167"/>
      <c r="I261" s="167"/>
    </row>
    <row r="262" spans="2:9">
      <c r="B262" s="168"/>
      <c r="C262" s="168"/>
      <c r="D262" s="168"/>
      <c r="E262" s="167"/>
      <c r="F262" s="167"/>
      <c r="G262" s="167"/>
      <c r="H262" s="167"/>
      <c r="I262" s="167"/>
    </row>
    <row r="263" spans="2:9">
      <c r="B263" s="168"/>
      <c r="C263" s="168"/>
      <c r="D263" s="168"/>
      <c r="E263" s="167"/>
      <c r="F263" s="167"/>
      <c r="G263" s="167"/>
      <c r="H263" s="167"/>
      <c r="I263" s="167"/>
    </row>
    <row r="264" spans="2:9">
      <c r="B264" s="168"/>
      <c r="C264" s="168"/>
      <c r="D264" s="168"/>
      <c r="E264" s="167"/>
      <c r="F264" s="167"/>
      <c r="G264" s="167"/>
      <c r="H264" s="167"/>
      <c r="I264" s="167"/>
    </row>
    <row r="265" spans="2:9">
      <c r="B265" s="168"/>
      <c r="C265" s="168"/>
      <c r="D265" s="168"/>
      <c r="E265" s="167"/>
      <c r="F265" s="167"/>
      <c r="G265" s="167"/>
      <c r="H265" s="167"/>
      <c r="I265" s="167"/>
    </row>
    <row r="266" spans="2:9">
      <c r="B266" s="168"/>
      <c r="C266" s="168"/>
      <c r="D266" s="168"/>
      <c r="E266" s="167"/>
      <c r="F266" s="167"/>
      <c r="G266" s="167"/>
      <c r="H266" s="167"/>
      <c r="I266" s="167"/>
    </row>
    <row r="267" spans="2:9">
      <c r="B267" s="168"/>
      <c r="C267" s="168"/>
      <c r="D267" s="168"/>
      <c r="E267" s="167"/>
      <c r="F267" s="167"/>
      <c r="G267" s="167"/>
      <c r="H267" s="167"/>
      <c r="I267" s="167"/>
    </row>
    <row r="268" spans="2:9">
      <c r="B268" s="168"/>
      <c r="C268" s="168"/>
      <c r="D268" s="168"/>
      <c r="E268" s="167"/>
      <c r="F268" s="167"/>
      <c r="G268" s="167"/>
      <c r="H268" s="167"/>
      <c r="I268" s="167"/>
    </row>
    <row r="269" spans="2:9">
      <c r="B269" s="168"/>
      <c r="C269" s="168"/>
      <c r="D269" s="168"/>
      <c r="E269" s="167"/>
      <c r="F269" s="167"/>
      <c r="G269" s="167"/>
      <c r="H269" s="167"/>
      <c r="I269" s="167"/>
    </row>
    <row r="270" spans="2:9">
      <c r="B270" s="168"/>
      <c r="C270" s="168"/>
      <c r="D270" s="168"/>
      <c r="E270" s="167"/>
      <c r="F270" s="167"/>
      <c r="G270" s="167"/>
      <c r="H270" s="167"/>
      <c r="I270" s="167"/>
    </row>
    <row r="271" spans="2:9">
      <c r="B271" s="168"/>
      <c r="C271" s="168"/>
      <c r="D271" s="168"/>
      <c r="E271" s="167"/>
      <c r="F271" s="167"/>
      <c r="G271" s="167"/>
      <c r="H271" s="167"/>
      <c r="I271" s="167"/>
    </row>
    <row r="272" spans="2:9">
      <c r="B272" s="168"/>
      <c r="C272" s="168"/>
      <c r="D272" s="168"/>
      <c r="E272" s="167"/>
      <c r="F272" s="167"/>
      <c r="G272" s="167"/>
      <c r="H272" s="167"/>
      <c r="I272" s="167"/>
    </row>
    <row r="273" spans="2:9">
      <c r="B273" s="168"/>
      <c r="C273" s="168"/>
      <c r="D273" s="168"/>
      <c r="E273" s="167"/>
      <c r="F273" s="167"/>
      <c r="G273" s="167"/>
      <c r="H273" s="167"/>
      <c r="I273" s="167"/>
    </row>
    <row r="274" spans="2:9">
      <c r="B274" s="168"/>
      <c r="C274" s="168"/>
      <c r="D274" s="168"/>
      <c r="E274" s="167"/>
      <c r="F274" s="167"/>
      <c r="G274" s="167"/>
      <c r="H274" s="167"/>
      <c r="I274" s="167"/>
    </row>
    <row r="275" spans="2:9">
      <c r="B275" s="168"/>
      <c r="C275" s="168"/>
      <c r="D275" s="168"/>
      <c r="E275" s="167"/>
      <c r="F275" s="167"/>
      <c r="G275" s="167"/>
      <c r="H275" s="167"/>
      <c r="I275" s="167"/>
    </row>
    <row r="276" spans="2:9">
      <c r="B276" s="168"/>
      <c r="C276" s="168"/>
      <c r="D276" s="168"/>
      <c r="E276" s="167"/>
      <c r="F276" s="167"/>
      <c r="G276" s="167"/>
      <c r="H276" s="167"/>
      <c r="I276" s="167"/>
    </row>
    <row r="277" spans="2:9">
      <c r="B277" s="168"/>
      <c r="C277" s="168"/>
      <c r="D277" s="168"/>
      <c r="E277" s="167"/>
      <c r="F277" s="167"/>
      <c r="G277" s="167"/>
      <c r="H277" s="167"/>
      <c r="I277" s="167"/>
    </row>
    <row r="278" spans="2:9">
      <c r="B278" s="168"/>
      <c r="C278" s="168"/>
      <c r="D278" s="168"/>
      <c r="E278" s="167"/>
      <c r="F278" s="167"/>
      <c r="G278" s="167"/>
      <c r="H278" s="167"/>
      <c r="I278" s="167"/>
    </row>
    <row r="279" spans="2:9">
      <c r="B279" s="168"/>
      <c r="C279" s="168"/>
      <c r="D279" s="168"/>
      <c r="E279" s="167"/>
      <c r="F279" s="167"/>
      <c r="G279" s="167"/>
      <c r="H279" s="167"/>
      <c r="I279" s="167"/>
    </row>
    <row r="280" spans="2:9">
      <c r="B280" s="168"/>
      <c r="C280" s="168"/>
      <c r="D280" s="168"/>
      <c r="E280" s="167"/>
      <c r="F280" s="167"/>
      <c r="G280" s="167"/>
      <c r="H280" s="167"/>
      <c r="I280" s="167"/>
    </row>
    <row r="281" spans="2:9">
      <c r="B281" s="168"/>
      <c r="C281" s="168"/>
      <c r="D281" s="168"/>
      <c r="E281" s="167"/>
      <c r="F281" s="167"/>
      <c r="G281" s="167"/>
      <c r="H281" s="167"/>
      <c r="I281" s="167"/>
    </row>
    <row r="282" spans="2:9">
      <c r="B282" s="168"/>
      <c r="C282" s="168"/>
      <c r="D282" s="168"/>
      <c r="E282" s="167"/>
      <c r="F282" s="167"/>
      <c r="G282" s="167"/>
      <c r="H282" s="167"/>
      <c r="I282" s="167"/>
    </row>
    <row r="283" spans="2:9">
      <c r="B283" s="168"/>
      <c r="C283" s="168"/>
      <c r="D283" s="168"/>
      <c r="E283" s="167"/>
      <c r="F283" s="167"/>
      <c r="G283" s="167"/>
      <c r="H283" s="167"/>
      <c r="I283" s="167"/>
    </row>
    <row r="284" spans="2:9">
      <c r="B284" s="168"/>
      <c r="C284" s="168"/>
      <c r="D284" s="168"/>
      <c r="E284" s="167"/>
      <c r="F284" s="167"/>
      <c r="G284" s="167"/>
      <c r="H284" s="167"/>
      <c r="I284" s="167"/>
    </row>
    <row r="285" spans="2:9">
      <c r="B285" s="168"/>
      <c r="C285" s="168"/>
      <c r="D285" s="168"/>
      <c r="E285" s="167"/>
      <c r="F285" s="167"/>
      <c r="G285" s="167"/>
      <c r="H285" s="167"/>
      <c r="I285" s="167"/>
    </row>
    <row r="286" spans="2:9">
      <c r="B286" s="168"/>
      <c r="C286" s="168"/>
      <c r="D286" s="168"/>
      <c r="E286" s="167"/>
      <c r="F286" s="167"/>
      <c r="G286" s="167"/>
      <c r="H286" s="167"/>
      <c r="I286" s="167"/>
    </row>
    <row r="287" spans="2:9">
      <c r="B287" s="168"/>
      <c r="C287" s="168"/>
      <c r="D287" s="168"/>
      <c r="E287" s="167"/>
      <c r="F287" s="167"/>
      <c r="G287" s="167"/>
      <c r="H287" s="167"/>
      <c r="I287" s="167"/>
    </row>
    <row r="288" spans="2:9">
      <c r="B288" s="168"/>
      <c r="C288" s="168"/>
      <c r="D288" s="168"/>
      <c r="E288" s="167"/>
      <c r="F288" s="167"/>
      <c r="G288" s="167"/>
      <c r="H288" s="167"/>
      <c r="I288" s="167"/>
    </row>
    <row r="289" spans="2:9">
      <c r="B289" s="168"/>
      <c r="C289" s="168"/>
      <c r="D289" s="168"/>
      <c r="E289" s="167"/>
      <c r="F289" s="167"/>
      <c r="G289" s="167"/>
      <c r="H289" s="167"/>
      <c r="I289" s="167"/>
    </row>
    <row r="290" spans="2:9">
      <c r="B290" s="168"/>
      <c r="C290" s="168"/>
      <c r="D290" s="168"/>
      <c r="E290" s="167"/>
      <c r="F290" s="167"/>
      <c r="G290" s="167"/>
      <c r="H290" s="167"/>
      <c r="I290" s="167"/>
    </row>
    <row r="291" spans="2:9">
      <c r="B291" s="168"/>
      <c r="C291" s="168"/>
      <c r="D291" s="168"/>
      <c r="E291" s="167"/>
      <c r="F291" s="167"/>
      <c r="G291" s="167"/>
      <c r="H291" s="167"/>
      <c r="I291" s="167"/>
    </row>
    <row r="292" spans="2:9">
      <c r="B292" s="168"/>
      <c r="C292" s="168"/>
      <c r="D292" s="168"/>
      <c r="E292" s="167"/>
      <c r="F292" s="167"/>
      <c r="G292" s="167"/>
      <c r="H292" s="167"/>
      <c r="I292" s="167"/>
    </row>
    <row r="293" spans="2:9">
      <c r="B293" s="168"/>
      <c r="C293" s="168"/>
      <c r="D293" s="168"/>
      <c r="E293" s="167"/>
      <c r="F293" s="167"/>
      <c r="G293" s="167"/>
      <c r="H293" s="167"/>
      <c r="I293" s="167"/>
    </row>
    <row r="294" spans="2:9">
      <c r="B294" s="168"/>
      <c r="C294" s="168"/>
      <c r="D294" s="168"/>
      <c r="E294" s="167"/>
      <c r="F294" s="167"/>
      <c r="G294" s="167"/>
      <c r="H294" s="167"/>
      <c r="I294" s="167"/>
    </row>
    <row r="295" spans="2:9">
      <c r="B295" s="168"/>
      <c r="C295" s="168"/>
      <c r="D295" s="168"/>
      <c r="E295" s="167"/>
      <c r="F295" s="167"/>
      <c r="G295" s="167"/>
      <c r="H295" s="167"/>
      <c r="I295" s="167"/>
    </row>
    <row r="296" spans="2:9">
      <c r="B296" s="168"/>
      <c r="C296" s="168"/>
      <c r="D296" s="168"/>
      <c r="E296" s="167"/>
      <c r="F296" s="167"/>
      <c r="G296" s="167"/>
      <c r="H296" s="167"/>
      <c r="I296" s="167"/>
    </row>
    <row r="297" spans="2:9">
      <c r="B297" s="168"/>
      <c r="C297" s="168"/>
      <c r="D297" s="168"/>
      <c r="E297" s="167"/>
      <c r="F297" s="167"/>
      <c r="G297" s="167"/>
      <c r="H297" s="167"/>
      <c r="I297" s="167"/>
    </row>
    <row r="298" spans="2:9">
      <c r="B298" s="168"/>
      <c r="C298" s="168"/>
      <c r="D298" s="168"/>
      <c r="E298" s="167"/>
      <c r="F298" s="167"/>
      <c r="G298" s="167"/>
      <c r="H298" s="167"/>
      <c r="I298" s="167"/>
    </row>
    <row r="299" spans="2:9">
      <c r="B299" s="168"/>
      <c r="C299" s="168"/>
      <c r="D299" s="168"/>
      <c r="E299" s="167"/>
      <c r="F299" s="167"/>
      <c r="G299" s="167"/>
      <c r="H299" s="167"/>
      <c r="I299" s="167"/>
    </row>
    <row r="300" spans="2:9">
      <c r="B300" s="168"/>
      <c r="C300" s="168"/>
      <c r="D300" s="168"/>
      <c r="E300" s="167"/>
      <c r="F300" s="167"/>
      <c r="G300" s="167"/>
      <c r="H300" s="167"/>
      <c r="I300" s="167"/>
    </row>
    <row r="301" spans="2:9">
      <c r="B301" s="168"/>
      <c r="C301" s="168"/>
      <c r="D301" s="168"/>
      <c r="E301" s="167"/>
      <c r="F301" s="167"/>
      <c r="G301" s="167"/>
      <c r="H301" s="167"/>
      <c r="I301" s="167"/>
    </row>
    <row r="302" spans="2:9">
      <c r="B302" s="168"/>
      <c r="C302" s="168"/>
      <c r="D302" s="168"/>
      <c r="E302" s="167"/>
      <c r="F302" s="167"/>
      <c r="G302" s="167"/>
      <c r="H302" s="167"/>
      <c r="I302" s="167"/>
    </row>
    <row r="303" spans="2:9">
      <c r="B303" s="168"/>
      <c r="C303" s="168"/>
      <c r="D303" s="168"/>
      <c r="E303" s="167"/>
      <c r="F303" s="167"/>
      <c r="G303" s="167"/>
      <c r="H303" s="167"/>
      <c r="I303" s="167"/>
    </row>
    <row r="304" spans="2:9">
      <c r="B304" s="168"/>
      <c r="C304" s="168"/>
      <c r="D304" s="168"/>
      <c r="E304" s="167"/>
      <c r="F304" s="167"/>
      <c r="G304" s="167"/>
      <c r="H304" s="167"/>
      <c r="I304" s="167"/>
    </row>
    <row r="305" spans="2:9">
      <c r="B305" s="168"/>
      <c r="C305" s="168"/>
      <c r="D305" s="168"/>
      <c r="E305" s="167"/>
      <c r="F305" s="167"/>
      <c r="G305" s="167"/>
      <c r="H305" s="167"/>
      <c r="I305" s="167"/>
    </row>
    <row r="306" spans="2:9">
      <c r="B306" s="168"/>
      <c r="C306" s="168"/>
      <c r="D306" s="168"/>
      <c r="E306" s="167"/>
      <c r="F306" s="167"/>
      <c r="G306" s="167"/>
      <c r="H306" s="167"/>
      <c r="I306" s="167"/>
    </row>
    <row r="307" spans="2:9">
      <c r="B307" s="168"/>
      <c r="C307" s="168"/>
      <c r="D307" s="168"/>
      <c r="E307" s="167"/>
      <c r="F307" s="167"/>
      <c r="G307" s="167"/>
      <c r="H307" s="167"/>
      <c r="I307" s="167"/>
    </row>
    <row r="308" spans="2:9">
      <c r="B308" s="168"/>
      <c r="C308" s="168"/>
      <c r="D308" s="168"/>
      <c r="E308" s="167"/>
      <c r="F308" s="167"/>
      <c r="G308" s="167"/>
      <c r="H308" s="167"/>
      <c r="I308" s="167"/>
    </row>
    <row r="309" spans="2:9">
      <c r="B309" s="168"/>
      <c r="C309" s="168"/>
      <c r="D309" s="168"/>
      <c r="E309" s="167"/>
      <c r="F309" s="167"/>
      <c r="G309" s="167"/>
      <c r="H309" s="167"/>
      <c r="I309" s="167"/>
    </row>
    <row r="310" spans="2:9">
      <c r="B310" s="168"/>
      <c r="C310" s="168"/>
      <c r="D310" s="168"/>
      <c r="E310" s="167"/>
      <c r="F310" s="167"/>
      <c r="G310" s="167"/>
      <c r="H310" s="167"/>
      <c r="I310" s="167"/>
    </row>
    <row r="311" spans="2:9">
      <c r="B311" s="168"/>
      <c r="C311" s="168"/>
      <c r="D311" s="168"/>
      <c r="E311" s="167"/>
      <c r="F311" s="167"/>
      <c r="G311" s="167"/>
      <c r="H311" s="167"/>
      <c r="I311" s="167"/>
    </row>
    <row r="312" spans="2:9">
      <c r="B312" s="168"/>
      <c r="C312" s="168"/>
      <c r="D312" s="168"/>
      <c r="E312" s="167"/>
      <c r="F312" s="167"/>
      <c r="G312" s="167"/>
      <c r="H312" s="167"/>
      <c r="I312" s="167"/>
    </row>
    <row r="313" spans="2:9">
      <c r="B313" s="168"/>
      <c r="C313" s="168"/>
      <c r="D313" s="168"/>
      <c r="E313" s="167"/>
      <c r="F313" s="167"/>
      <c r="G313" s="167"/>
      <c r="H313" s="167"/>
      <c r="I313" s="167"/>
    </row>
    <row r="314" spans="2:9">
      <c r="B314" s="168"/>
      <c r="C314" s="168"/>
      <c r="D314" s="168"/>
      <c r="E314" s="167"/>
      <c r="F314" s="167"/>
      <c r="G314" s="167"/>
      <c r="H314" s="167"/>
      <c r="I314" s="167"/>
    </row>
    <row r="315" spans="2:9">
      <c r="B315" s="168"/>
      <c r="C315" s="168"/>
      <c r="D315" s="168"/>
      <c r="E315" s="167"/>
      <c r="F315" s="167"/>
      <c r="G315" s="167"/>
      <c r="H315" s="167"/>
      <c r="I315" s="167"/>
    </row>
    <row r="316" spans="2:9">
      <c r="B316" s="168"/>
      <c r="C316" s="168"/>
      <c r="D316" s="168"/>
      <c r="E316" s="167"/>
      <c r="F316" s="167"/>
      <c r="G316" s="167"/>
      <c r="H316" s="167"/>
      <c r="I316" s="167"/>
    </row>
    <row r="317" spans="2:9">
      <c r="B317" s="168"/>
      <c r="C317" s="168"/>
      <c r="D317" s="168"/>
      <c r="E317" s="167"/>
      <c r="F317" s="167"/>
      <c r="G317" s="167"/>
      <c r="H317" s="167"/>
      <c r="I317" s="167"/>
    </row>
    <row r="318" spans="2:9">
      <c r="B318" s="168"/>
      <c r="C318" s="168"/>
      <c r="D318" s="168"/>
      <c r="E318" s="167"/>
      <c r="F318" s="167"/>
      <c r="G318" s="167"/>
      <c r="H318" s="167"/>
      <c r="I318" s="167"/>
    </row>
    <row r="319" spans="2:9">
      <c r="B319" s="168"/>
      <c r="C319" s="168"/>
      <c r="D319" s="168"/>
      <c r="E319" s="167"/>
      <c r="F319" s="167"/>
      <c r="G319" s="167"/>
      <c r="H319" s="167"/>
      <c r="I319" s="167"/>
    </row>
    <row r="320" spans="2:9">
      <c r="B320" s="168"/>
      <c r="C320" s="168"/>
      <c r="D320" s="168"/>
      <c r="E320" s="167"/>
      <c r="F320" s="167"/>
      <c r="G320" s="167"/>
      <c r="H320" s="167"/>
      <c r="I320" s="167"/>
    </row>
    <row r="321" spans="2:9">
      <c r="B321" s="168"/>
      <c r="C321" s="168"/>
      <c r="D321" s="168"/>
      <c r="E321" s="167"/>
      <c r="F321" s="167"/>
      <c r="G321" s="167"/>
      <c r="H321" s="167"/>
      <c r="I321" s="167"/>
    </row>
    <row r="322" spans="2:9">
      <c r="B322" s="168"/>
      <c r="C322" s="168"/>
      <c r="D322" s="168"/>
      <c r="E322" s="167"/>
      <c r="F322" s="167"/>
      <c r="G322" s="167"/>
      <c r="H322" s="167"/>
      <c r="I322" s="167"/>
    </row>
    <row r="323" spans="2:9">
      <c r="B323" s="168"/>
      <c r="C323" s="168"/>
      <c r="D323" s="168"/>
      <c r="E323" s="167"/>
      <c r="F323" s="167"/>
      <c r="G323" s="167"/>
      <c r="H323" s="167"/>
      <c r="I323" s="167"/>
    </row>
    <row r="324" spans="2:9">
      <c r="B324" s="168"/>
      <c r="C324" s="168"/>
      <c r="D324" s="168"/>
      <c r="E324" s="167"/>
      <c r="F324" s="167"/>
      <c r="G324" s="167"/>
      <c r="H324" s="167"/>
      <c r="I324" s="167"/>
    </row>
    <row r="325" spans="2:9">
      <c r="B325" s="168"/>
      <c r="C325" s="168"/>
      <c r="D325" s="168"/>
      <c r="E325" s="167"/>
      <c r="F325" s="167"/>
      <c r="G325" s="167"/>
      <c r="H325" s="167"/>
      <c r="I325" s="167"/>
    </row>
    <row r="326" spans="2:9">
      <c r="B326" s="168"/>
      <c r="C326" s="168"/>
      <c r="D326" s="168"/>
      <c r="E326" s="167"/>
      <c r="F326" s="167"/>
      <c r="G326" s="167"/>
      <c r="H326" s="167"/>
      <c r="I326" s="167"/>
    </row>
    <row r="327" spans="2:9">
      <c r="B327" s="168"/>
      <c r="C327" s="168"/>
      <c r="D327" s="168"/>
      <c r="E327" s="167"/>
      <c r="F327" s="167"/>
      <c r="G327" s="167"/>
      <c r="H327" s="167"/>
      <c r="I327" s="167"/>
    </row>
    <row r="328" spans="2:9">
      <c r="B328" s="168"/>
      <c r="C328" s="168"/>
      <c r="D328" s="168"/>
      <c r="E328" s="167"/>
      <c r="F328" s="167"/>
      <c r="G328" s="167"/>
      <c r="H328" s="167"/>
      <c r="I328" s="167"/>
    </row>
    <row r="329" spans="2:9">
      <c r="B329" s="168"/>
      <c r="C329" s="168"/>
      <c r="D329" s="168"/>
      <c r="E329" s="167"/>
      <c r="F329" s="167"/>
      <c r="G329" s="167"/>
      <c r="H329" s="167"/>
      <c r="I329" s="167"/>
    </row>
    <row r="330" spans="2:9">
      <c r="B330" s="168"/>
      <c r="C330" s="168"/>
      <c r="D330" s="168"/>
      <c r="E330" s="167"/>
      <c r="F330" s="167"/>
      <c r="G330" s="167"/>
      <c r="H330" s="167"/>
      <c r="I330" s="167"/>
    </row>
    <row r="331" spans="2:9">
      <c r="B331" s="168"/>
      <c r="C331" s="168"/>
      <c r="D331" s="168"/>
      <c r="E331" s="167"/>
      <c r="F331" s="167"/>
      <c r="G331" s="167"/>
      <c r="H331" s="167"/>
      <c r="I331" s="167"/>
    </row>
    <row r="332" spans="2:9">
      <c r="B332" s="168"/>
      <c r="C332" s="168"/>
      <c r="D332" s="168"/>
      <c r="E332" s="167"/>
      <c r="F332" s="167"/>
      <c r="G332" s="167"/>
      <c r="H332" s="167"/>
      <c r="I332" s="167"/>
    </row>
    <row r="333" spans="2:9">
      <c r="B333" s="168"/>
      <c r="C333" s="168"/>
      <c r="D333" s="168"/>
      <c r="E333" s="167"/>
      <c r="F333" s="167"/>
      <c r="G333" s="167"/>
      <c r="H333" s="167"/>
      <c r="I333" s="167"/>
    </row>
    <row r="334" spans="2:9">
      <c r="B334" s="168"/>
      <c r="C334" s="168"/>
      <c r="D334" s="168"/>
      <c r="E334" s="167"/>
      <c r="F334" s="167"/>
      <c r="G334" s="167"/>
      <c r="H334" s="167"/>
      <c r="I334" s="167"/>
    </row>
    <row r="335" spans="2:9">
      <c r="B335" s="168"/>
      <c r="C335" s="168"/>
      <c r="D335" s="168"/>
      <c r="E335" s="167"/>
      <c r="F335" s="167"/>
      <c r="G335" s="167"/>
      <c r="H335" s="167"/>
      <c r="I335" s="167"/>
    </row>
    <row r="336" spans="2:9">
      <c r="B336" s="168"/>
      <c r="C336" s="168"/>
      <c r="D336" s="168"/>
      <c r="E336" s="167"/>
      <c r="F336" s="167"/>
      <c r="G336" s="167"/>
      <c r="H336" s="167"/>
      <c r="I336" s="167"/>
    </row>
    <row r="337" spans="2:9">
      <c r="B337" s="168"/>
      <c r="C337" s="168"/>
      <c r="D337" s="168"/>
      <c r="E337" s="167"/>
      <c r="F337" s="167"/>
      <c r="G337" s="167"/>
      <c r="H337" s="167"/>
      <c r="I337" s="167"/>
    </row>
    <row r="338" spans="2:9">
      <c r="B338" s="168"/>
      <c r="C338" s="168"/>
      <c r="D338" s="168"/>
      <c r="E338" s="167"/>
      <c r="F338" s="167"/>
      <c r="G338" s="167"/>
      <c r="H338" s="167"/>
      <c r="I338" s="167"/>
    </row>
    <row r="339" spans="2:9">
      <c r="B339" s="168"/>
      <c r="C339" s="168"/>
      <c r="D339" s="168"/>
      <c r="E339" s="167"/>
      <c r="F339" s="167"/>
      <c r="G339" s="167"/>
      <c r="H339" s="167"/>
      <c r="I339" s="167"/>
    </row>
    <row r="340" spans="2:9">
      <c r="B340" s="168"/>
      <c r="C340" s="168"/>
      <c r="D340" s="168"/>
      <c r="E340" s="167"/>
      <c r="F340" s="167"/>
      <c r="G340" s="167"/>
      <c r="H340" s="167"/>
      <c r="I340" s="167"/>
    </row>
    <row r="341" spans="2:9">
      <c r="B341" s="168"/>
      <c r="C341" s="168"/>
      <c r="D341" s="168"/>
      <c r="E341" s="167"/>
      <c r="F341" s="167"/>
      <c r="G341" s="167"/>
      <c r="H341" s="167"/>
      <c r="I341" s="167"/>
    </row>
    <row r="342" spans="2:9">
      <c r="B342" s="168"/>
      <c r="C342" s="168"/>
      <c r="D342" s="168"/>
      <c r="E342" s="167"/>
      <c r="F342" s="167"/>
      <c r="G342" s="167"/>
      <c r="H342" s="167"/>
      <c r="I342" s="167"/>
    </row>
    <row r="343" spans="2:9">
      <c r="B343" s="168"/>
      <c r="C343" s="168"/>
      <c r="D343" s="168"/>
      <c r="E343" s="167"/>
      <c r="F343" s="167"/>
      <c r="G343" s="167"/>
      <c r="H343" s="167"/>
      <c r="I343" s="167"/>
    </row>
    <row r="344" spans="2:9">
      <c r="B344" s="168"/>
      <c r="C344" s="168"/>
      <c r="D344" s="168"/>
      <c r="E344" s="167"/>
      <c r="F344" s="167"/>
      <c r="G344" s="167"/>
      <c r="H344" s="167"/>
      <c r="I344" s="167"/>
    </row>
    <row r="345" spans="2:9">
      <c r="B345" s="168"/>
      <c r="C345" s="168"/>
      <c r="D345" s="168"/>
      <c r="E345" s="167"/>
      <c r="F345" s="167"/>
      <c r="G345" s="167"/>
      <c r="H345" s="167"/>
      <c r="I345" s="167"/>
    </row>
    <row r="346" spans="2:9">
      <c r="B346" s="168"/>
      <c r="C346" s="168"/>
      <c r="D346" s="168"/>
      <c r="E346" s="167"/>
      <c r="F346" s="167"/>
      <c r="G346" s="167"/>
      <c r="H346" s="167"/>
      <c r="I346" s="167"/>
    </row>
    <row r="347" spans="2:9">
      <c r="B347" s="168"/>
      <c r="C347" s="168"/>
      <c r="D347" s="168"/>
      <c r="E347" s="167"/>
      <c r="F347" s="167"/>
      <c r="G347" s="167"/>
      <c r="H347" s="167"/>
      <c r="I347" s="167"/>
    </row>
    <row r="348" spans="2:9">
      <c r="B348" s="168"/>
      <c r="C348" s="168"/>
      <c r="D348" s="168"/>
      <c r="E348" s="167"/>
      <c r="F348" s="167"/>
      <c r="G348" s="167"/>
      <c r="H348" s="167"/>
      <c r="I348" s="167"/>
    </row>
    <row r="349" spans="2:9">
      <c r="B349" s="168"/>
      <c r="C349" s="168"/>
      <c r="D349" s="168"/>
      <c r="E349" s="167"/>
      <c r="F349" s="167"/>
      <c r="G349" s="167"/>
      <c r="H349" s="167"/>
      <c r="I349" s="167"/>
    </row>
    <row r="350" spans="2:9">
      <c r="B350" s="168"/>
      <c r="C350" s="168"/>
      <c r="D350" s="168"/>
      <c r="E350" s="167"/>
      <c r="F350" s="167"/>
      <c r="G350" s="167"/>
      <c r="H350" s="167"/>
      <c r="I350" s="167"/>
    </row>
    <row r="351" spans="2:9">
      <c r="B351" s="168"/>
      <c r="C351" s="168"/>
      <c r="D351" s="168"/>
      <c r="E351" s="167"/>
      <c r="F351" s="167"/>
      <c r="G351" s="167"/>
      <c r="H351" s="167"/>
      <c r="I351" s="167"/>
    </row>
    <row r="352" spans="2:9">
      <c r="B352" s="168"/>
      <c r="C352" s="168"/>
      <c r="D352" s="168"/>
      <c r="E352" s="167"/>
      <c r="F352" s="167"/>
      <c r="G352" s="167"/>
      <c r="H352" s="167"/>
      <c r="I352" s="167"/>
    </row>
    <row r="353" spans="2:9">
      <c r="B353" s="168"/>
      <c r="C353" s="168"/>
      <c r="D353" s="168"/>
      <c r="E353" s="167"/>
      <c r="F353" s="167"/>
      <c r="G353" s="167"/>
      <c r="H353" s="167"/>
      <c r="I353" s="167"/>
    </row>
    <row r="354" spans="2:9">
      <c r="B354" s="168"/>
      <c r="C354" s="168"/>
      <c r="D354" s="168"/>
      <c r="E354" s="167"/>
      <c r="F354" s="167"/>
      <c r="G354" s="167"/>
      <c r="H354" s="167"/>
      <c r="I354" s="167"/>
    </row>
    <row r="355" spans="2:9">
      <c r="B355" s="168"/>
      <c r="C355" s="168"/>
      <c r="D355" s="168"/>
      <c r="E355" s="167"/>
      <c r="F355" s="167"/>
      <c r="G355" s="167"/>
      <c r="H355" s="167"/>
      <c r="I355" s="167"/>
    </row>
    <row r="356" spans="2:9">
      <c r="B356" s="168"/>
      <c r="C356" s="168"/>
      <c r="D356" s="168"/>
      <c r="E356" s="167"/>
      <c r="F356" s="167"/>
      <c r="G356" s="167"/>
      <c r="H356" s="167"/>
      <c r="I356" s="167"/>
    </row>
    <row r="357" spans="2:9">
      <c r="B357" s="168"/>
      <c r="C357" s="168"/>
      <c r="D357" s="168"/>
      <c r="E357" s="167"/>
      <c r="F357" s="167"/>
      <c r="G357" s="167"/>
      <c r="H357" s="167"/>
      <c r="I357" s="167"/>
    </row>
    <row r="358" spans="2:9">
      <c r="B358" s="168"/>
      <c r="C358" s="168"/>
      <c r="D358" s="168"/>
      <c r="E358" s="167"/>
      <c r="F358" s="167"/>
      <c r="G358" s="167"/>
      <c r="H358" s="167"/>
      <c r="I358" s="167"/>
    </row>
    <row r="359" spans="2:9">
      <c r="B359" s="168"/>
      <c r="C359" s="168"/>
      <c r="D359" s="168"/>
      <c r="E359" s="167"/>
      <c r="F359" s="167"/>
      <c r="G359" s="167"/>
      <c r="H359" s="167"/>
      <c r="I359" s="167"/>
    </row>
    <row r="360" spans="2:9">
      <c r="B360" s="168"/>
      <c r="C360" s="168"/>
      <c r="D360" s="168"/>
      <c r="E360" s="167"/>
      <c r="F360" s="167"/>
      <c r="G360" s="167"/>
      <c r="H360" s="167"/>
      <c r="I360" s="167"/>
    </row>
    <row r="361" spans="2:9">
      <c r="B361" s="168"/>
      <c r="C361" s="168"/>
      <c r="D361" s="168"/>
      <c r="E361" s="167"/>
      <c r="F361" s="167"/>
      <c r="G361" s="167"/>
      <c r="H361" s="167"/>
      <c r="I361" s="167"/>
    </row>
    <row r="362" spans="2:9">
      <c r="B362" s="168"/>
      <c r="C362" s="168"/>
      <c r="D362" s="168"/>
      <c r="E362" s="167"/>
      <c r="F362" s="167"/>
      <c r="G362" s="167"/>
      <c r="H362" s="167"/>
      <c r="I362" s="167"/>
    </row>
    <row r="363" spans="2:9">
      <c r="B363" s="168"/>
      <c r="C363" s="168"/>
      <c r="D363" s="168"/>
      <c r="E363" s="167"/>
      <c r="F363" s="167"/>
      <c r="G363" s="167"/>
      <c r="H363" s="167"/>
      <c r="I363" s="167"/>
    </row>
    <row r="364" spans="2:9">
      <c r="B364" s="168"/>
      <c r="C364" s="168"/>
      <c r="D364" s="168"/>
      <c r="E364" s="167"/>
      <c r="F364" s="167"/>
      <c r="G364" s="167"/>
      <c r="H364" s="167"/>
      <c r="I364" s="167"/>
    </row>
    <row r="365" spans="2:9">
      <c r="B365" s="168"/>
      <c r="C365" s="168"/>
      <c r="D365" s="168"/>
      <c r="E365" s="167"/>
      <c r="F365" s="167"/>
      <c r="G365" s="167"/>
      <c r="H365" s="167"/>
      <c r="I365" s="167"/>
    </row>
    <row r="366" spans="2:9">
      <c r="B366" s="168"/>
      <c r="C366" s="168"/>
      <c r="D366" s="168"/>
      <c r="E366" s="167"/>
      <c r="F366" s="167"/>
      <c r="G366" s="167"/>
      <c r="H366" s="167"/>
      <c r="I366" s="167"/>
    </row>
    <row r="367" spans="2:9">
      <c r="B367" s="168"/>
      <c r="C367" s="168"/>
      <c r="D367" s="168"/>
      <c r="E367" s="167"/>
      <c r="F367" s="167"/>
      <c r="G367" s="167"/>
      <c r="H367" s="167"/>
      <c r="I367" s="167"/>
    </row>
    <row r="368" spans="2:9">
      <c r="B368" s="168"/>
      <c r="C368" s="168"/>
      <c r="D368" s="168"/>
      <c r="E368" s="167"/>
      <c r="F368" s="167"/>
      <c r="G368" s="167"/>
      <c r="H368" s="167"/>
      <c r="I368" s="167"/>
    </row>
    <row r="369" spans="2:9">
      <c r="B369" s="168"/>
      <c r="C369" s="168"/>
      <c r="D369" s="168"/>
      <c r="E369" s="167"/>
      <c r="F369" s="167"/>
      <c r="G369" s="167"/>
      <c r="H369" s="167"/>
      <c r="I369" s="167"/>
    </row>
    <row r="370" spans="2:9">
      <c r="B370" s="168"/>
      <c r="C370" s="168"/>
      <c r="D370" s="168"/>
      <c r="E370" s="167"/>
      <c r="F370" s="167"/>
      <c r="G370" s="167"/>
      <c r="H370" s="167"/>
      <c r="I370" s="167"/>
    </row>
    <row r="371" spans="2:9">
      <c r="B371" s="168"/>
      <c r="C371" s="168"/>
      <c r="D371" s="168"/>
      <c r="E371" s="167"/>
      <c r="F371" s="167"/>
      <c r="G371" s="167"/>
      <c r="H371" s="167"/>
      <c r="I371" s="167"/>
    </row>
    <row r="372" spans="2:9">
      <c r="B372" s="168"/>
      <c r="C372" s="168"/>
      <c r="D372" s="168"/>
      <c r="E372" s="167"/>
      <c r="F372" s="167"/>
      <c r="G372" s="167"/>
      <c r="H372" s="167"/>
      <c r="I372" s="167"/>
    </row>
    <row r="373" spans="2:9">
      <c r="B373" s="168"/>
      <c r="C373" s="168"/>
      <c r="D373" s="168"/>
      <c r="E373" s="167"/>
      <c r="F373" s="167"/>
      <c r="G373" s="167"/>
      <c r="H373" s="167"/>
      <c r="I373" s="167"/>
    </row>
    <row r="374" spans="2:9">
      <c r="B374" s="168"/>
      <c r="C374" s="168"/>
      <c r="D374" s="168"/>
      <c r="E374" s="167"/>
      <c r="F374" s="167"/>
      <c r="G374" s="167"/>
      <c r="H374" s="167"/>
      <c r="I374" s="167"/>
    </row>
    <row r="375" spans="2:9">
      <c r="B375" s="168"/>
      <c r="C375" s="168"/>
      <c r="D375" s="168"/>
      <c r="E375" s="167"/>
      <c r="F375" s="167"/>
      <c r="G375" s="167"/>
      <c r="H375" s="167"/>
      <c r="I375" s="167"/>
    </row>
    <row r="376" spans="2:9">
      <c r="B376" s="168"/>
      <c r="C376" s="168"/>
      <c r="D376" s="168"/>
      <c r="E376" s="167"/>
      <c r="F376" s="167"/>
      <c r="G376" s="167"/>
      <c r="H376" s="167"/>
      <c r="I376" s="167"/>
    </row>
    <row r="377" spans="2:9">
      <c r="B377" s="168"/>
      <c r="C377" s="168"/>
      <c r="D377" s="168"/>
      <c r="E377" s="167"/>
      <c r="F377" s="167"/>
      <c r="G377" s="167"/>
      <c r="H377" s="167"/>
      <c r="I377" s="167"/>
    </row>
    <row r="378" spans="2:9">
      <c r="B378" s="168"/>
      <c r="C378" s="168"/>
      <c r="D378" s="168"/>
      <c r="E378" s="167"/>
      <c r="F378" s="167"/>
      <c r="G378" s="167"/>
      <c r="H378" s="167"/>
      <c r="I378" s="167"/>
    </row>
    <row r="379" spans="2:9">
      <c r="B379" s="168"/>
      <c r="C379" s="168"/>
      <c r="D379" s="168"/>
      <c r="E379" s="167"/>
      <c r="F379" s="167"/>
      <c r="G379" s="167"/>
      <c r="H379" s="167"/>
      <c r="I379" s="167"/>
    </row>
    <row r="380" spans="2:9">
      <c r="B380" s="168"/>
      <c r="C380" s="168"/>
      <c r="D380" s="168"/>
      <c r="E380" s="167"/>
      <c r="F380" s="167"/>
      <c r="G380" s="167"/>
      <c r="H380" s="167"/>
      <c r="I380" s="167"/>
    </row>
    <row r="381" spans="2:9">
      <c r="B381" s="168"/>
      <c r="C381" s="168"/>
      <c r="D381" s="168"/>
      <c r="E381" s="167"/>
      <c r="F381" s="167"/>
      <c r="G381" s="167"/>
      <c r="H381" s="167"/>
      <c r="I381" s="167"/>
    </row>
    <row r="382" spans="2:9">
      <c r="B382" s="168"/>
      <c r="C382" s="168"/>
      <c r="D382" s="168"/>
      <c r="E382" s="167"/>
      <c r="F382" s="167"/>
      <c r="G382" s="167"/>
      <c r="H382" s="167"/>
      <c r="I382" s="167"/>
    </row>
    <row r="383" spans="2:9">
      <c r="B383" s="168"/>
      <c r="C383" s="168"/>
      <c r="D383" s="168"/>
      <c r="E383" s="167"/>
      <c r="F383" s="167"/>
      <c r="G383" s="167"/>
      <c r="H383" s="167"/>
      <c r="I383" s="167"/>
    </row>
    <row r="384" spans="2:9">
      <c r="B384" s="168"/>
      <c r="C384" s="168"/>
      <c r="D384" s="168"/>
      <c r="E384" s="167"/>
      <c r="F384" s="167"/>
      <c r="G384" s="167"/>
      <c r="H384" s="167"/>
      <c r="I384" s="167"/>
    </row>
    <row r="385" spans="2:9">
      <c r="B385" s="168"/>
      <c r="C385" s="168"/>
      <c r="D385" s="168"/>
      <c r="E385" s="167"/>
      <c r="F385" s="167"/>
      <c r="G385" s="167"/>
      <c r="H385" s="167"/>
      <c r="I385" s="167"/>
    </row>
    <row r="386" spans="2:9">
      <c r="B386" s="168"/>
      <c r="C386" s="168"/>
      <c r="D386" s="168"/>
      <c r="E386" s="167"/>
      <c r="F386" s="167"/>
      <c r="G386" s="167"/>
      <c r="H386" s="167"/>
      <c r="I386" s="167"/>
    </row>
    <row r="387" spans="2:9">
      <c r="B387" s="168"/>
      <c r="C387" s="168"/>
      <c r="D387" s="168"/>
      <c r="E387" s="167"/>
      <c r="F387" s="167"/>
      <c r="G387" s="167"/>
      <c r="H387" s="167"/>
      <c r="I387" s="167"/>
    </row>
    <row r="388" spans="2:9">
      <c r="B388" s="168"/>
      <c r="C388" s="168"/>
      <c r="D388" s="168"/>
      <c r="E388" s="167"/>
      <c r="F388" s="167"/>
      <c r="G388" s="167"/>
      <c r="H388" s="167"/>
      <c r="I388" s="167"/>
    </row>
    <row r="389" spans="2:9">
      <c r="B389" s="168"/>
      <c r="C389" s="168"/>
      <c r="D389" s="168"/>
      <c r="E389" s="167"/>
      <c r="F389" s="167"/>
      <c r="G389" s="167"/>
      <c r="H389" s="167"/>
      <c r="I389" s="167"/>
    </row>
    <row r="390" spans="2:9">
      <c r="B390" s="168"/>
      <c r="C390" s="168"/>
      <c r="D390" s="168"/>
      <c r="E390" s="167"/>
      <c r="F390" s="167"/>
      <c r="G390" s="167"/>
      <c r="H390" s="167"/>
      <c r="I390" s="167"/>
    </row>
    <row r="391" spans="2:9">
      <c r="B391" s="168"/>
      <c r="C391" s="168"/>
      <c r="D391" s="168"/>
      <c r="E391" s="167"/>
      <c r="F391" s="167"/>
      <c r="G391" s="167"/>
      <c r="H391" s="167"/>
      <c r="I391" s="167"/>
    </row>
    <row r="392" spans="2:9">
      <c r="B392" s="168"/>
      <c r="C392" s="168"/>
      <c r="D392" s="168"/>
      <c r="E392" s="167"/>
      <c r="F392" s="167"/>
      <c r="G392" s="167"/>
      <c r="H392" s="167"/>
      <c r="I392" s="167"/>
    </row>
    <row r="393" spans="2:9">
      <c r="B393" s="168"/>
      <c r="C393" s="168"/>
      <c r="D393" s="168"/>
      <c r="E393" s="167"/>
      <c r="F393" s="167"/>
      <c r="G393" s="167"/>
      <c r="H393" s="167"/>
      <c r="I393" s="167"/>
    </row>
    <row r="394" spans="2:9">
      <c r="B394" s="168"/>
      <c r="C394" s="168"/>
      <c r="D394" s="168"/>
      <c r="E394" s="167"/>
      <c r="F394" s="167"/>
      <c r="G394" s="167"/>
      <c r="H394" s="167"/>
      <c r="I394" s="167"/>
    </row>
    <row r="395" spans="2:9">
      <c r="B395" s="168"/>
      <c r="C395" s="168"/>
      <c r="D395" s="168"/>
      <c r="E395" s="167"/>
      <c r="F395" s="167"/>
      <c r="G395" s="167"/>
      <c r="H395" s="167"/>
      <c r="I395" s="167"/>
    </row>
    <row r="396" spans="2:9">
      <c r="B396" s="168"/>
      <c r="C396" s="168"/>
      <c r="D396" s="168"/>
      <c r="E396" s="167"/>
      <c r="F396" s="167"/>
      <c r="G396" s="167"/>
      <c r="H396" s="167"/>
      <c r="I396" s="167"/>
    </row>
    <row r="397" spans="2:9">
      <c r="B397" s="168"/>
      <c r="C397" s="168"/>
      <c r="D397" s="168"/>
      <c r="E397" s="167"/>
      <c r="F397" s="167"/>
      <c r="G397" s="167"/>
      <c r="H397" s="167"/>
      <c r="I397" s="167"/>
    </row>
    <row r="398" spans="2:9">
      <c r="B398" s="168"/>
      <c r="C398" s="168"/>
      <c r="D398" s="168"/>
      <c r="E398" s="167"/>
      <c r="F398" s="167"/>
      <c r="G398" s="167"/>
      <c r="H398" s="167"/>
      <c r="I398" s="167"/>
    </row>
    <row r="399" spans="2:9">
      <c r="B399" s="168"/>
      <c r="C399" s="168"/>
      <c r="D399" s="168"/>
      <c r="E399" s="167"/>
      <c r="F399" s="167"/>
      <c r="G399" s="167"/>
      <c r="H399" s="167"/>
      <c r="I399" s="167"/>
    </row>
    <row r="400" spans="2:9">
      <c r="B400" s="168"/>
      <c r="C400" s="168"/>
      <c r="D400" s="168"/>
      <c r="E400" s="167"/>
      <c r="F400" s="167"/>
      <c r="G400" s="167"/>
      <c r="H400" s="167"/>
      <c r="I400" s="167"/>
    </row>
    <row r="401" spans="2:9">
      <c r="B401" s="168"/>
      <c r="C401" s="168"/>
      <c r="D401" s="168"/>
      <c r="E401" s="167"/>
      <c r="F401" s="167"/>
      <c r="G401" s="167"/>
      <c r="H401" s="167"/>
      <c r="I401" s="167"/>
    </row>
    <row r="402" spans="2:9">
      <c r="B402" s="168"/>
      <c r="C402" s="168"/>
      <c r="D402" s="168"/>
      <c r="E402" s="167"/>
      <c r="F402" s="167"/>
      <c r="G402" s="167"/>
      <c r="H402" s="167"/>
      <c r="I402" s="167"/>
    </row>
    <row r="403" spans="2:9">
      <c r="B403" s="168"/>
      <c r="C403" s="168"/>
      <c r="D403" s="168"/>
      <c r="E403" s="167"/>
      <c r="F403" s="167"/>
      <c r="G403" s="167"/>
      <c r="H403" s="167"/>
      <c r="I403" s="167"/>
    </row>
    <row r="404" spans="2:9">
      <c r="B404" s="168"/>
      <c r="C404" s="168"/>
      <c r="D404" s="168"/>
      <c r="E404" s="167"/>
      <c r="F404" s="167"/>
      <c r="G404" s="167"/>
      <c r="H404" s="167"/>
      <c r="I404" s="167"/>
    </row>
    <row r="405" spans="2:9">
      <c r="B405" s="168"/>
      <c r="C405" s="168"/>
      <c r="D405" s="168"/>
      <c r="E405" s="167"/>
      <c r="F405" s="167"/>
      <c r="G405" s="167"/>
      <c r="H405" s="167"/>
      <c r="I405" s="167"/>
    </row>
    <row r="406" spans="2:9">
      <c r="B406" s="168"/>
      <c r="C406" s="168"/>
      <c r="D406" s="168"/>
      <c r="E406" s="167"/>
      <c r="F406" s="167"/>
      <c r="G406" s="167"/>
      <c r="H406" s="167"/>
      <c r="I406" s="167"/>
    </row>
    <row r="407" spans="2:9">
      <c r="B407" s="168"/>
      <c r="C407" s="168"/>
      <c r="D407" s="168"/>
      <c r="E407" s="167"/>
      <c r="F407" s="167"/>
      <c r="G407" s="167"/>
      <c r="H407" s="167"/>
      <c r="I407" s="167"/>
    </row>
    <row r="408" spans="2:9">
      <c r="B408" s="168"/>
      <c r="C408" s="168"/>
      <c r="D408" s="168"/>
      <c r="E408" s="167"/>
      <c r="F408" s="167"/>
      <c r="G408" s="167"/>
      <c r="H408" s="167"/>
      <c r="I408" s="167"/>
    </row>
    <row r="409" spans="2:9">
      <c r="B409" s="168"/>
      <c r="C409" s="168"/>
      <c r="D409" s="168"/>
      <c r="E409" s="167"/>
      <c r="F409" s="167"/>
      <c r="G409" s="167"/>
      <c r="H409" s="167"/>
      <c r="I409" s="167"/>
    </row>
    <row r="410" spans="2:9">
      <c r="B410" s="168"/>
      <c r="C410" s="168"/>
      <c r="D410" s="168"/>
      <c r="E410" s="167"/>
      <c r="F410" s="167"/>
      <c r="G410" s="167"/>
      <c r="H410" s="167"/>
      <c r="I410" s="167"/>
    </row>
    <row r="411" spans="2:9">
      <c r="B411" s="168"/>
      <c r="C411" s="168"/>
      <c r="D411" s="168"/>
      <c r="E411" s="167"/>
      <c r="F411" s="167"/>
      <c r="G411" s="167"/>
      <c r="H411" s="167"/>
      <c r="I411" s="167"/>
    </row>
    <row r="412" spans="2:9">
      <c r="B412" s="168"/>
      <c r="C412" s="168"/>
      <c r="D412" s="168"/>
      <c r="E412" s="167"/>
      <c r="F412" s="167"/>
      <c r="G412" s="167"/>
      <c r="H412" s="167"/>
      <c r="I412" s="167"/>
    </row>
    <row r="413" spans="2:9">
      <c r="B413" s="168"/>
      <c r="C413" s="168"/>
      <c r="D413" s="168"/>
      <c r="E413" s="167"/>
      <c r="F413" s="167"/>
      <c r="G413" s="167"/>
      <c r="H413" s="167"/>
      <c r="I413" s="167"/>
    </row>
    <row r="414" spans="2:9">
      <c r="B414" s="168"/>
      <c r="C414" s="168"/>
      <c r="D414" s="168"/>
      <c r="E414" s="167"/>
      <c r="F414" s="167"/>
      <c r="G414" s="167"/>
      <c r="H414" s="167"/>
      <c r="I414" s="167"/>
    </row>
    <row r="415" spans="2:9">
      <c r="B415" s="168"/>
      <c r="C415" s="168"/>
      <c r="D415" s="168"/>
      <c r="E415" s="167"/>
      <c r="F415" s="167"/>
      <c r="G415" s="167"/>
      <c r="H415" s="167"/>
      <c r="I415" s="167"/>
    </row>
    <row r="416" spans="2:9">
      <c r="B416" s="168"/>
      <c r="C416" s="168"/>
      <c r="D416" s="168"/>
      <c r="E416" s="167"/>
      <c r="F416" s="167"/>
      <c r="G416" s="167"/>
      <c r="H416" s="167"/>
      <c r="I416" s="167"/>
    </row>
    <row r="417" spans="2:9">
      <c r="B417" s="168"/>
      <c r="C417" s="168"/>
      <c r="D417" s="168"/>
      <c r="E417" s="167"/>
      <c r="F417" s="167"/>
      <c r="G417" s="167"/>
      <c r="H417" s="167"/>
      <c r="I417" s="167"/>
    </row>
    <row r="418" spans="2:9">
      <c r="B418" s="168"/>
      <c r="C418" s="168"/>
      <c r="D418" s="168"/>
      <c r="E418" s="167"/>
      <c r="F418" s="167"/>
      <c r="G418" s="167"/>
      <c r="H418" s="167"/>
      <c r="I418" s="167"/>
    </row>
    <row r="419" spans="2:9">
      <c r="B419" s="168"/>
      <c r="C419" s="168"/>
      <c r="D419" s="168"/>
      <c r="E419" s="167"/>
      <c r="F419" s="167"/>
      <c r="G419" s="167"/>
      <c r="H419" s="167"/>
      <c r="I419" s="167"/>
    </row>
    <row r="420" spans="2:9">
      <c r="B420" s="168"/>
      <c r="C420" s="168"/>
      <c r="D420" s="168"/>
      <c r="E420" s="167"/>
      <c r="F420" s="167"/>
      <c r="G420" s="167"/>
      <c r="H420" s="167"/>
      <c r="I420" s="167"/>
    </row>
    <row r="421" spans="2:9">
      <c r="B421" s="168"/>
      <c r="C421" s="168"/>
      <c r="D421" s="168"/>
      <c r="E421" s="167"/>
      <c r="F421" s="167"/>
      <c r="G421" s="167"/>
      <c r="H421" s="167"/>
      <c r="I421" s="167"/>
    </row>
    <row r="422" spans="2:9">
      <c r="B422" s="168"/>
      <c r="C422" s="168"/>
      <c r="D422" s="168"/>
      <c r="E422" s="167"/>
      <c r="F422" s="167"/>
      <c r="G422" s="167"/>
      <c r="H422" s="167"/>
      <c r="I422" s="167"/>
    </row>
    <row r="423" spans="2:9">
      <c r="B423" s="168"/>
      <c r="C423" s="168"/>
      <c r="D423" s="168"/>
      <c r="E423" s="167"/>
      <c r="F423" s="167"/>
      <c r="G423" s="167"/>
      <c r="H423" s="167"/>
      <c r="I423" s="167"/>
    </row>
    <row r="424" spans="2:9">
      <c r="B424" s="168"/>
      <c r="C424" s="168"/>
      <c r="D424" s="168"/>
      <c r="E424" s="167"/>
      <c r="F424" s="167"/>
      <c r="G424" s="167"/>
      <c r="H424" s="167"/>
      <c r="I424" s="167"/>
    </row>
    <row r="425" spans="2:9">
      <c r="B425" s="168"/>
      <c r="C425" s="168"/>
      <c r="D425" s="168"/>
      <c r="E425" s="167"/>
      <c r="F425" s="167"/>
      <c r="G425" s="167"/>
      <c r="H425" s="167"/>
      <c r="I425" s="167"/>
    </row>
    <row r="426" spans="2:9">
      <c r="B426" s="168"/>
      <c r="C426" s="168"/>
      <c r="D426" s="168"/>
      <c r="E426" s="167"/>
      <c r="F426" s="167"/>
      <c r="G426" s="167"/>
      <c r="H426" s="167"/>
      <c r="I426" s="167"/>
    </row>
    <row r="427" spans="2:9">
      <c r="B427" s="168"/>
      <c r="C427" s="168"/>
      <c r="D427" s="168"/>
      <c r="E427" s="167"/>
      <c r="F427" s="167"/>
      <c r="G427" s="167"/>
      <c r="H427" s="167"/>
      <c r="I427" s="167"/>
    </row>
    <row r="428" spans="2:9">
      <c r="B428" s="168"/>
      <c r="C428" s="168"/>
      <c r="D428" s="168"/>
      <c r="E428" s="167"/>
      <c r="F428" s="167"/>
      <c r="G428" s="167"/>
      <c r="H428" s="167"/>
      <c r="I428" s="167"/>
    </row>
    <row r="429" spans="2:9">
      <c r="B429" s="168"/>
      <c r="C429" s="168"/>
      <c r="D429" s="168"/>
      <c r="E429" s="167"/>
      <c r="F429" s="167"/>
      <c r="G429" s="167"/>
      <c r="H429" s="167"/>
      <c r="I429" s="167"/>
    </row>
    <row r="430" spans="2:9">
      <c r="B430" s="168"/>
      <c r="C430" s="168"/>
      <c r="D430" s="168"/>
      <c r="E430" s="167"/>
      <c r="F430" s="167"/>
      <c r="G430" s="167"/>
      <c r="H430" s="167"/>
      <c r="I430" s="167"/>
    </row>
    <row r="431" spans="2:9">
      <c r="B431" s="167"/>
      <c r="C431" s="167"/>
      <c r="D431" s="167"/>
      <c r="E431" s="167"/>
      <c r="F431" s="167"/>
      <c r="G431" s="167"/>
      <c r="H431" s="167"/>
      <c r="I431" s="167"/>
    </row>
    <row r="432" spans="2:9">
      <c r="B432" s="167"/>
      <c r="C432" s="167"/>
      <c r="D432" s="167"/>
      <c r="E432" s="167"/>
      <c r="F432" s="167"/>
      <c r="G432" s="167"/>
      <c r="H432" s="167"/>
      <c r="I432" s="167"/>
    </row>
    <row r="433" spans="2:9">
      <c r="B433" s="167"/>
      <c r="C433" s="167"/>
      <c r="D433" s="167"/>
      <c r="E433" s="167"/>
      <c r="F433" s="167"/>
      <c r="G433" s="167"/>
      <c r="H433" s="167"/>
      <c r="I433" s="167"/>
    </row>
    <row r="434" spans="2:9">
      <c r="B434" s="167"/>
      <c r="C434" s="167"/>
      <c r="D434" s="167"/>
      <c r="E434" s="167"/>
      <c r="F434" s="167"/>
      <c r="G434" s="167"/>
      <c r="H434" s="167"/>
      <c r="I434" s="16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63" r:id="rId4" name="DropDown1">
              <controlPr defaultSize="0" autoLine="0" autoPict="0" macro="[0]!DropDown.DropDown">
                <anchor moveWithCells="1">
                  <from>
                    <xdr:col>2</xdr:col>
                    <xdr:colOff>28575</xdr:colOff>
                    <xdr:row>2</xdr:row>
                    <xdr:rowOff>85725</xdr:rowOff>
                  </from>
                  <to>
                    <xdr:col>4</xdr:col>
                    <xdr:colOff>657225</xdr:colOff>
                    <xdr:row>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87" r:id="rId5" name="Button 63">
              <controlPr defaultSize="0" print="0" autoFill="0" autoPict="0" macro="[0]!ImportVLT.ResetData">
                <anchor moveWithCells="1" sizeWithCells="1">
                  <from>
                    <xdr:col>3</xdr:col>
                    <xdr:colOff>161925</xdr:colOff>
                    <xdr:row>0</xdr:row>
                    <xdr:rowOff>38100</xdr:rowOff>
                  </from>
                  <to>
                    <xdr:col>4</xdr:col>
                    <xdr:colOff>485775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94" r:id="rId6" name="Button 70">
              <controlPr defaultSize="0" print="0" autoFill="0" autoPict="0" macro="[0]!ImportData2">
                <anchor moveWithCells="1" sizeWithCells="1">
                  <from>
                    <xdr:col>2</xdr:col>
                    <xdr:colOff>19050</xdr:colOff>
                    <xdr:row>0</xdr:row>
                    <xdr:rowOff>38100</xdr:rowOff>
                  </from>
                  <to>
                    <xdr:col>3</xdr:col>
                    <xdr:colOff>142875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23" r:id="rId7" name="Button 199">
              <controlPr defaultSize="0" print="0" autoFill="0" autoPict="0" macro="[0]!UploadData">
                <anchor moveWithCells="1" sizeWithCells="1">
                  <from>
                    <xdr:col>4</xdr:col>
                    <xdr:colOff>504825</xdr:colOff>
                    <xdr:row>0</xdr:row>
                    <xdr:rowOff>38100</xdr:rowOff>
                  </from>
                  <to>
                    <xdr:col>5</xdr:col>
                    <xdr:colOff>581025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</sheetPr>
  <dimension ref="A1:H19"/>
  <sheetViews>
    <sheetView workbookViewId="0">
      <selection activeCell="F159" sqref="F159"/>
    </sheetView>
  </sheetViews>
  <sheetFormatPr defaultRowHeight="12.75"/>
  <cols>
    <col min="4" max="4" width="14.42578125" customWidth="1"/>
  </cols>
  <sheetData>
    <row r="1" spans="1:8" ht="16.5" thickBot="1">
      <c r="A1" s="144" t="s">
        <v>99</v>
      </c>
      <c r="B1" s="106"/>
      <c r="C1" s="106"/>
      <c r="D1" s="106"/>
      <c r="E1" s="145" t="s">
        <v>111</v>
      </c>
      <c r="F1" s="106"/>
      <c r="G1" s="106"/>
      <c r="H1" s="107"/>
    </row>
    <row r="2" spans="1:8" ht="13.5" thickBot="1"/>
    <row r="3" spans="1:8" ht="13.5" thickBot="1">
      <c r="A3" s="323" t="s">
        <v>100</v>
      </c>
      <c r="B3" s="324"/>
      <c r="C3" s="324"/>
      <c r="D3" s="324"/>
      <c r="E3" s="324"/>
      <c r="F3" s="325"/>
    </row>
    <row r="4" spans="1:8" ht="13.5" thickBot="1">
      <c r="A4" s="91"/>
      <c r="B4" s="40"/>
      <c r="C4" s="40"/>
      <c r="D4" s="40"/>
      <c r="E4" s="40"/>
      <c r="F4" s="92"/>
    </row>
    <row r="5" spans="1:8" ht="13.5" thickBot="1">
      <c r="A5" s="44" t="s">
        <v>101</v>
      </c>
      <c r="B5" s="44" t="s">
        <v>102</v>
      </c>
      <c r="C5" s="44" t="s">
        <v>103</v>
      </c>
      <c r="D5" s="137" t="s">
        <v>104</v>
      </c>
      <c r="E5" s="44" t="s">
        <v>105</v>
      </c>
      <c r="F5" s="44" t="s">
        <v>106</v>
      </c>
    </row>
    <row r="6" spans="1:8">
      <c r="A6" s="85">
        <f>('Transmission Calculations'!$L$75/2+'Transmission Calculations'!$L$80+'Transmission Calculations'!$L$85+'Transmission Calculations'!$L$90+'Transmission Calculations'!$L$95+'Transmission Calculations'!$L$100+'Transmission Calculations'!$L$105/2)/6/100</f>
        <v>0.47467618583333343</v>
      </c>
      <c r="B6" s="85">
        <v>1</v>
      </c>
      <c r="C6" s="85">
        <f>('Transmission Calculations'!L30/2+'Transmission Calculations'!L35+'Transmission Calculations'!L40+'Transmission Calculations'!L45+'Transmission Calculations'!L50+'Transmission Calculations'!L55+'Transmission Calculations'!L60/2)/6/100</f>
        <v>0.24436471333333334</v>
      </c>
      <c r="D6" s="91">
        <f>ABS(100*(1-(C6/A6)))</f>
        <v>48.519702351545021</v>
      </c>
      <c r="E6" s="85">
        <v>5</v>
      </c>
      <c r="F6" s="85">
        <f>E6*D6</f>
        <v>242.59851175772511</v>
      </c>
    </row>
    <row r="7" spans="1:8">
      <c r="A7" s="85">
        <f>('Transmission Calculations'!$L$75/2+'Transmission Calculations'!$L$80+'Transmission Calculations'!$L$85+'Transmission Calculations'!$L$90+'Transmission Calculations'!$L$95+'Transmission Calculations'!$L$100+'Transmission Calculations'!$L$105/2)/6/100</f>
        <v>0.47467618583333343</v>
      </c>
      <c r="B7" s="85">
        <v>2</v>
      </c>
      <c r="C7" s="85">
        <f>('Transmission Calculations'!L45/2+'Transmission Calculations'!L50+'Transmission Calculations'!L55+'Transmission Calculations'!L60+'Transmission Calculations'!L65+'Transmission Calculations'!L70+'Transmission Calculations'!L75/2)/6/100</f>
        <v>0.25037928666666665</v>
      </c>
      <c r="D7" s="91">
        <f t="shared" ref="D7:D14" si="0">ABS(100*(1-(C7/A7)))</f>
        <v>47.252612593761143</v>
      </c>
      <c r="E7" s="85">
        <v>10</v>
      </c>
      <c r="F7" s="85">
        <f t="shared" ref="F7:F14" si="1">E7*D7</f>
        <v>472.52612593761143</v>
      </c>
    </row>
    <row r="8" spans="1:8">
      <c r="A8" s="85">
        <f>('Transmission Calculations'!$L$75/2+'Transmission Calculations'!$L$80+'Transmission Calculations'!$L$85+'Transmission Calculations'!$L$90+'Transmission Calculations'!$L$95+'Transmission Calculations'!$L$100+'Transmission Calculations'!$L$105/2)/6/100</f>
        <v>0.47467618583333343</v>
      </c>
      <c r="B8" s="85">
        <v>3</v>
      </c>
      <c r="C8" s="85">
        <f>('Transmission Calculations'!L60/2+'Transmission Calculations'!L65+'Transmission Calculations'!L70+'Transmission Calculations'!L75+'Transmission Calculations'!L80+'Transmission Calculations'!L85+'Transmission Calculations'!L90/2)/6/100</f>
        <v>0.31454093083333334</v>
      </c>
      <c r="D8" s="91">
        <f t="shared" si="0"/>
        <v>33.735683351982225</v>
      </c>
      <c r="E8" s="85">
        <v>10</v>
      </c>
      <c r="F8" s="85">
        <f t="shared" si="1"/>
        <v>337.35683351982226</v>
      </c>
    </row>
    <row r="9" spans="1:8">
      <c r="A9" s="85">
        <f>('Transmission Calculations'!$L$75/2+'Transmission Calculations'!$L$80+'Transmission Calculations'!$L$85+'Transmission Calculations'!$L$90+'Transmission Calculations'!$L$95+'Transmission Calculations'!$L$100+'Transmission Calculations'!$L$105/2)/6/100</f>
        <v>0.47467618583333343</v>
      </c>
      <c r="B9" s="85">
        <v>4</v>
      </c>
      <c r="C9" s="85">
        <f>('Transmission Calculations'!L75/2+'Transmission Calculations'!L80+'Transmission Calculations'!L85+'Transmission Calculations'!L90+'Transmission Calculations'!L95+'Transmission Calculations'!L100+'Transmission Calculations'!L105/2)/6/100</f>
        <v>0.47467618583333343</v>
      </c>
      <c r="D9" s="91">
        <f t="shared" si="0"/>
        <v>0</v>
      </c>
      <c r="E9" s="85">
        <v>10</v>
      </c>
      <c r="F9" s="85">
        <f t="shared" si="1"/>
        <v>0</v>
      </c>
    </row>
    <row r="10" spans="1:8">
      <c r="A10" s="85">
        <f>('Transmission Calculations'!$L$75/2+'Transmission Calculations'!$L$80+'Transmission Calculations'!$L$85+'Transmission Calculations'!$L$90+'Transmission Calculations'!$L$95+'Transmission Calculations'!$L$100+'Transmission Calculations'!$L$105/2)/6/100</f>
        <v>0.47467618583333343</v>
      </c>
      <c r="B10" s="85">
        <v>5</v>
      </c>
      <c r="C10" s="85">
        <f>('Transmission Calculations'!L90/2+'Transmission Calculations'!L95+'Transmission Calculations'!L100+'Transmission Calculations'!L105+'Transmission Calculations'!L110+'Transmission Calculations'!L115+'Transmission Calculations'!L120/2)/6/100</f>
        <v>0.72033147833333322</v>
      </c>
      <c r="D10" s="91">
        <f t="shared" si="0"/>
        <v>51.752183874304023</v>
      </c>
      <c r="E10" s="85">
        <v>10</v>
      </c>
      <c r="F10" s="85">
        <f t="shared" si="1"/>
        <v>517.52183874304023</v>
      </c>
    </row>
    <row r="11" spans="1:8">
      <c r="A11" s="85">
        <f>('Transmission Calculations'!$L$75/2+'Transmission Calculations'!$L$80+'Transmission Calculations'!$L$85+'Transmission Calculations'!$L$90+'Transmission Calculations'!$L$95+'Transmission Calculations'!$L$100+'Transmission Calculations'!$L$105/2)/6/100</f>
        <v>0.47467618583333343</v>
      </c>
      <c r="B11" s="85">
        <v>6</v>
      </c>
      <c r="C11" s="85">
        <f>('Transmission Calculations'!L105/2+'Transmission Calculations'!L110+'Transmission Calculations'!L115+'Transmission Calculations'!L120+'Transmission Calculations'!L125+'Transmission Calculations'!L130+'Transmission Calculations'!L135/2)/6/100</f>
        <v>0.89713800083333339</v>
      </c>
      <c r="D11" s="91">
        <f t="shared" si="0"/>
        <v>89.000002024186898</v>
      </c>
      <c r="E11" s="85">
        <v>10</v>
      </c>
      <c r="F11" s="85">
        <f t="shared" si="1"/>
        <v>890.00002024186892</v>
      </c>
    </row>
    <row r="12" spans="1:8">
      <c r="A12" s="85">
        <f>('Transmission Calculations'!$L$75/2+'Transmission Calculations'!$L$80+'Transmission Calculations'!$L$85+'Transmission Calculations'!$L$90+'Transmission Calculations'!$L$95+'Transmission Calculations'!$L$100+'Transmission Calculations'!$L$105/2)/6/100</f>
        <v>0.47467618583333343</v>
      </c>
      <c r="B12" s="85">
        <v>7</v>
      </c>
      <c r="C12" s="85">
        <f>('Transmission Calculations'!L120/2+'Transmission Calculations'!L125+'Transmission Calculations'!L130+'Transmission Calculations'!L135+'Transmission Calculations'!L140+'Transmission Calculations'!L145+'Transmission Calculations'!L150/2)/6/100</f>
        <v>0.93557966166666673</v>
      </c>
      <c r="D12" s="91">
        <f t="shared" si="0"/>
        <v>97.098504114795432</v>
      </c>
      <c r="E12" s="85">
        <v>10</v>
      </c>
      <c r="F12" s="85">
        <f t="shared" si="1"/>
        <v>970.98504114795435</v>
      </c>
    </row>
    <row r="13" spans="1:8">
      <c r="A13" s="85">
        <f>('Transmission Calculations'!$L$75/2+'Transmission Calculations'!$L$80+'Transmission Calculations'!$L$85+'Transmission Calculations'!$L$90+'Transmission Calculations'!$L$95+'Transmission Calculations'!$L$100+'Transmission Calculations'!$L$105/2)/6/100</f>
        <v>0.47467618583333343</v>
      </c>
      <c r="B13" s="85">
        <v>8</v>
      </c>
      <c r="C13" s="85">
        <f>('Transmission Calculations'!L135/2+'Transmission Calculations'!L140+'Transmission Calculations'!L145+'Transmission Calculations'!L150+'Transmission Calculations'!L155+'Transmission Calculations'!L160+'Transmission Calculations'!L165/2)/6/100</f>
        <v>0.94061046166666662</v>
      </c>
      <c r="D13" s="91">
        <f t="shared" si="0"/>
        <v>98.158342410910478</v>
      </c>
      <c r="E13" s="85">
        <v>5</v>
      </c>
      <c r="F13" s="85">
        <f t="shared" si="1"/>
        <v>490.79171205455236</v>
      </c>
    </row>
    <row r="14" spans="1:8" ht="13.5" thickBot="1">
      <c r="A14" s="85">
        <f>('Transmission Calculations'!$L$75/2+'Transmission Calculations'!$L$80+'Transmission Calculations'!$L$85+'Transmission Calculations'!$L$90+'Transmission Calculations'!$L$95+'Transmission Calculations'!$L$100+'Transmission Calculations'!$L$105/2)/6/100</f>
        <v>0.47467618583333343</v>
      </c>
      <c r="B14" s="86">
        <v>9</v>
      </c>
      <c r="C14" s="86">
        <f>('Transmission Calculations'!L150/2+'Transmission Calculations'!L155+'Transmission Calculations'!L160+'Transmission Calculations'!L165+'Transmission Calculations'!L170+'Transmission Calculations'!L175+'Transmission Calculations'!L180/2)/6/100</f>
        <v>0.94437315166666669</v>
      </c>
      <c r="D14" s="94">
        <f t="shared" si="0"/>
        <v>98.951028059000109</v>
      </c>
      <c r="E14" s="85">
        <v>1</v>
      </c>
      <c r="F14" s="85">
        <f t="shared" si="1"/>
        <v>98.951028059000109</v>
      </c>
    </row>
    <row r="15" spans="1:8">
      <c r="A15" s="91"/>
      <c r="B15" s="40"/>
      <c r="C15" s="40"/>
      <c r="D15" s="40"/>
      <c r="E15" s="85"/>
      <c r="F15" s="85"/>
    </row>
    <row r="16" spans="1:8" ht="13.5" thickBot="1">
      <c r="A16" s="91"/>
      <c r="B16" s="40"/>
      <c r="C16" s="40"/>
      <c r="D16" s="101" t="s">
        <v>107</v>
      </c>
      <c r="E16" s="86">
        <f>SUM(E6:E14)</f>
        <v>71</v>
      </c>
      <c r="F16" s="86">
        <f>SUM(F6:F14)</f>
        <v>4020.731111461575</v>
      </c>
    </row>
    <row r="17" spans="1:6" ht="13.5" thickBot="1">
      <c r="A17" s="91"/>
      <c r="B17" s="40"/>
      <c r="C17" s="40"/>
      <c r="D17" s="40"/>
      <c r="E17" s="40"/>
      <c r="F17" s="92"/>
    </row>
    <row r="18" spans="1:6" ht="13.5" thickBot="1">
      <c r="A18" s="91"/>
      <c r="B18" s="40"/>
      <c r="C18" s="40"/>
      <c r="D18" s="326" t="s">
        <v>108</v>
      </c>
      <c r="E18" s="327"/>
      <c r="F18" s="138">
        <f>F16/E16</f>
        <v>56.63001565438838</v>
      </c>
    </row>
    <row r="19" spans="1:6" ht="13.5" thickBot="1">
      <c r="A19" s="94"/>
      <c r="B19" s="70"/>
      <c r="C19" s="70"/>
      <c r="D19" s="70"/>
      <c r="E19" s="70"/>
      <c r="F19" s="95"/>
    </row>
  </sheetData>
  <sheetProtection selectLockedCells="1" selectUnlockedCells="1"/>
  <mergeCells count="2">
    <mergeCell ref="A3:F3"/>
    <mergeCell ref="D18:E18"/>
  </mergeCells>
  <phoneticPr fontId="6" type="noConversion"/>
  <pageMargins left="0.7" right="0.7" top="0.75" bottom="0.75" header="0.3" footer="0.3"/>
  <pageSetup orientation="portrait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 tint="-0.34998626667073579"/>
  </sheetPr>
  <dimension ref="A1:AG206"/>
  <sheetViews>
    <sheetView topLeftCell="R5" workbookViewId="0">
      <selection activeCell="I5" sqref="I5:I205"/>
    </sheetView>
  </sheetViews>
  <sheetFormatPr defaultRowHeight="12.75"/>
  <cols>
    <col min="1" max="1" width="20.7109375" customWidth="1"/>
    <col min="2" max="2" width="2.7109375" customWidth="1"/>
    <col min="3" max="3" width="9.5703125" customWidth="1"/>
    <col min="4" max="4" width="10.7109375" customWidth="1"/>
    <col min="5" max="5" width="2.7109375" customWidth="1"/>
    <col min="6" max="6" width="9.5703125" customWidth="1"/>
    <col min="7" max="7" width="10.7109375" customWidth="1"/>
    <col min="8" max="8" width="2.7109375" customWidth="1"/>
    <col min="9" max="9" width="9.5703125" customWidth="1"/>
    <col min="10" max="10" width="10.7109375" customWidth="1"/>
    <col min="11" max="11" width="2.7109375" customWidth="1"/>
    <col min="12" max="12" width="14.140625" customWidth="1"/>
    <col min="13" max="13" width="2.7109375" customWidth="1"/>
    <col min="14" max="14" width="14.7109375" customWidth="1"/>
    <col min="15" max="15" width="15.7109375" customWidth="1"/>
    <col min="16" max="16" width="12.7109375" customWidth="1"/>
    <col min="17" max="17" width="15.7109375" customWidth="1"/>
    <col min="18" max="18" width="2.7109375" customWidth="1"/>
    <col min="19" max="19" width="12.7109375" customWidth="1"/>
    <col min="20" max="20" width="15.7109375" customWidth="1"/>
    <col min="21" max="21" width="12.7109375" customWidth="1"/>
    <col min="22" max="22" width="15.7109375" customWidth="1"/>
    <col min="23" max="23" width="2.7109375" customWidth="1"/>
    <col min="24" max="24" width="12.7109375" customWidth="1"/>
    <col min="25" max="25" width="15.7109375" customWidth="1"/>
    <col min="26" max="26" width="12.7109375" customWidth="1"/>
    <col min="27" max="27" width="15.7109375" customWidth="1"/>
    <col min="28" max="28" width="2.7109375" customWidth="1"/>
    <col min="29" max="29" width="12.7109375" customWidth="1"/>
    <col min="30" max="30" width="15.7109375" customWidth="1"/>
    <col min="31" max="31" width="12.7109375" customWidth="1"/>
    <col min="32" max="32" width="15.7109375" customWidth="1"/>
    <col min="33" max="33" width="2.7109375" customWidth="1"/>
  </cols>
  <sheetData>
    <row r="1" spans="1:33" ht="15.75" customHeight="1" thickBot="1">
      <c r="A1" s="1" t="s">
        <v>17</v>
      </c>
      <c r="B1" s="29"/>
      <c r="C1" s="45"/>
      <c r="D1" s="333" t="s">
        <v>11</v>
      </c>
      <c r="E1" s="29"/>
      <c r="F1" s="45"/>
      <c r="G1" s="333" t="s">
        <v>12</v>
      </c>
      <c r="H1" s="29"/>
      <c r="I1" s="45"/>
      <c r="J1" s="333" t="s">
        <v>13</v>
      </c>
      <c r="K1" s="29"/>
      <c r="L1" s="331" t="s">
        <v>14</v>
      </c>
      <c r="M1" s="52"/>
      <c r="N1" s="328" t="s">
        <v>19</v>
      </c>
      <c r="O1" s="329"/>
      <c r="P1" s="329"/>
      <c r="Q1" s="330"/>
      <c r="R1" s="29"/>
      <c r="S1" s="328" t="s">
        <v>26</v>
      </c>
      <c r="T1" s="329"/>
      <c r="U1" s="329"/>
      <c r="V1" s="330"/>
      <c r="W1" s="29"/>
      <c r="X1" s="328" t="s">
        <v>27</v>
      </c>
      <c r="Y1" s="329"/>
      <c r="Z1" s="329"/>
      <c r="AA1" s="330"/>
      <c r="AB1" s="29"/>
      <c r="AC1" s="328" t="s">
        <v>28</v>
      </c>
      <c r="AD1" s="329"/>
      <c r="AE1" s="329"/>
      <c r="AF1" s="330"/>
      <c r="AG1" s="29"/>
    </row>
    <row r="2" spans="1:33" ht="13.5" thickBot="1">
      <c r="A2" s="135"/>
      <c r="B2" s="49"/>
      <c r="C2" s="45"/>
      <c r="D2" s="334"/>
      <c r="E2" s="31"/>
      <c r="F2" s="45"/>
      <c r="G2" s="334"/>
      <c r="H2" s="31"/>
      <c r="I2" s="45"/>
      <c r="J2" s="334"/>
      <c r="K2" s="31"/>
      <c r="L2" s="332"/>
      <c r="M2" s="54"/>
      <c r="N2" s="56" t="s">
        <v>22</v>
      </c>
      <c r="O2" s="40"/>
      <c r="P2" s="40"/>
      <c r="Q2" s="57">
        <f>N206/O206</f>
        <v>55.097637470189774</v>
      </c>
      <c r="R2" s="31"/>
      <c r="S2" s="56" t="s">
        <v>22</v>
      </c>
      <c r="T2" s="40"/>
      <c r="U2" s="40"/>
      <c r="V2" s="57">
        <f>S206/T206</f>
        <v>50.504546264799799</v>
      </c>
      <c r="W2" s="31"/>
      <c r="X2" s="56" t="s">
        <v>22</v>
      </c>
      <c r="Y2" s="40"/>
      <c r="Z2" s="40"/>
      <c r="AA2" s="57">
        <f>X206/Y206</f>
        <v>63.892795991472241</v>
      </c>
      <c r="AB2" s="31"/>
      <c r="AC2" s="56" t="s">
        <v>22</v>
      </c>
      <c r="AD2" s="40"/>
      <c r="AE2" s="40"/>
      <c r="AF2" s="57">
        <f>AC206/AD206</f>
        <v>55.559349806000867</v>
      </c>
      <c r="AG2" s="31"/>
    </row>
    <row r="3" spans="1:33" ht="13.5" customHeight="1" thickBot="1">
      <c r="A3" s="51"/>
      <c r="B3" s="50"/>
      <c r="C3" s="45"/>
      <c r="D3" s="45"/>
      <c r="E3" s="30"/>
      <c r="F3" s="45"/>
      <c r="G3" s="45"/>
      <c r="H3" s="30"/>
      <c r="I3" s="45"/>
      <c r="J3" s="45"/>
      <c r="K3" s="30"/>
      <c r="L3" s="332"/>
      <c r="M3" s="55"/>
      <c r="N3" s="56" t="s">
        <v>23</v>
      </c>
      <c r="O3" s="40"/>
      <c r="P3" s="40"/>
      <c r="Q3" s="57">
        <f>P206/Q206</f>
        <v>30.586988304258586</v>
      </c>
      <c r="R3" s="30"/>
      <c r="S3" s="56" t="s">
        <v>23</v>
      </c>
      <c r="T3" s="40"/>
      <c r="U3" s="40"/>
      <c r="V3" s="57">
        <f>U206/V206</f>
        <v>37.227020523326402</v>
      </c>
      <c r="W3" s="30"/>
      <c r="X3" s="56" t="s">
        <v>23</v>
      </c>
      <c r="Y3" s="40"/>
      <c r="Z3" s="40"/>
      <c r="AA3" s="57">
        <f>Z206/AA206</f>
        <v>34.762722436946554</v>
      </c>
      <c r="AB3" s="30"/>
      <c r="AC3" s="56" t="s">
        <v>23</v>
      </c>
      <c r="AD3" s="40"/>
      <c r="AE3" s="40"/>
      <c r="AF3" s="57">
        <f>AE206/AF206</f>
        <v>30.447606026319495</v>
      </c>
      <c r="AG3" s="30"/>
    </row>
    <row r="4" spans="1:33" ht="13.5" thickBot="1">
      <c r="A4" s="2" t="s">
        <v>18</v>
      </c>
      <c r="B4" s="29"/>
      <c r="C4" s="136" t="s">
        <v>15</v>
      </c>
      <c r="D4" s="44" t="s">
        <v>16</v>
      </c>
      <c r="E4" s="29"/>
      <c r="F4" s="136" t="s">
        <v>15</v>
      </c>
      <c r="G4" s="44" t="s">
        <v>16</v>
      </c>
      <c r="H4" s="29"/>
      <c r="I4" s="136" t="s">
        <v>15</v>
      </c>
      <c r="J4" s="44" t="s">
        <v>16</v>
      </c>
      <c r="K4" s="29"/>
      <c r="L4" s="332"/>
      <c r="M4" s="52"/>
      <c r="N4" s="58" t="s">
        <v>20</v>
      </c>
      <c r="O4" s="53" t="s">
        <v>21</v>
      </c>
      <c r="P4" s="53" t="s">
        <v>24</v>
      </c>
      <c r="Q4" s="59" t="s">
        <v>25</v>
      </c>
      <c r="R4" s="29"/>
      <c r="S4" s="58" t="s">
        <v>20</v>
      </c>
      <c r="T4" s="53" t="s">
        <v>21</v>
      </c>
      <c r="U4" s="53" t="s">
        <v>24</v>
      </c>
      <c r="V4" s="59" t="s">
        <v>25</v>
      </c>
      <c r="W4" s="29"/>
      <c r="X4" s="58" t="s">
        <v>20</v>
      </c>
      <c r="Y4" s="53" t="s">
        <v>21</v>
      </c>
      <c r="Z4" s="53" t="s">
        <v>24</v>
      </c>
      <c r="AA4" s="59" t="s">
        <v>25</v>
      </c>
      <c r="AB4" s="29"/>
      <c r="AC4" s="58" t="s">
        <v>20</v>
      </c>
      <c r="AD4" s="53" t="s">
        <v>21</v>
      </c>
      <c r="AE4" s="53" t="s">
        <v>24</v>
      </c>
      <c r="AF4" s="59" t="s">
        <v>25</v>
      </c>
      <c r="AG4" s="29"/>
    </row>
    <row r="5" spans="1:33">
      <c r="A5" s="42">
        <v>380</v>
      </c>
      <c r="B5" s="31"/>
      <c r="C5" s="157">
        <v>2.4899999999999998E-4</v>
      </c>
      <c r="D5" s="46">
        <f>IF(C5&lt;0,0,IF(C5&gt;100,100,C5))</f>
        <v>2.4899999999999998E-4</v>
      </c>
      <c r="E5" s="31"/>
      <c r="F5" s="157">
        <v>2.4899999999999998E-4</v>
      </c>
      <c r="G5" s="46">
        <f>IF(F5&lt;0,0,IF(F5&gt;100,100,F5))</f>
        <v>2.4899999999999998E-4</v>
      </c>
      <c r="H5" s="31"/>
      <c r="I5" s="157">
        <v>2.4899999999999998E-4</v>
      </c>
      <c r="J5" s="46">
        <f>IF(I5&lt;0,0,IF(I5&gt;100,100,I5))</f>
        <v>2.4899999999999998E-4</v>
      </c>
      <c r="K5" s="54"/>
      <c r="L5" s="46">
        <f>(D5+G5+J5)/3</f>
        <v>2.4899999999999998E-4</v>
      </c>
      <c r="M5" s="133"/>
      <c r="N5" s="60">
        <f>L5*'Spectral Functions'!H3*'Spectral Functions'!D3</f>
        <v>4.8531208049999987E-7</v>
      </c>
      <c r="O5" s="61">
        <f>'Spectral Functions'!H3*'Spectral Functions'!D3</f>
        <v>1.9490444999999998E-3</v>
      </c>
      <c r="P5" s="61">
        <f>L5*'Spectral Functions'!H3*'Spectral Functions'!F3</f>
        <v>7.3419007049999986E-6</v>
      </c>
      <c r="Q5" s="62">
        <f>'Spectral Functions'!H3*'Spectral Functions'!F3</f>
        <v>2.9485544999999998E-2</v>
      </c>
      <c r="R5" s="31"/>
      <c r="S5" s="60">
        <f>L5*'Spectral Functions'!I3*'Spectral Functions'!D3</f>
        <v>8.0601299999999993E-7</v>
      </c>
      <c r="T5" s="61">
        <f>'Spectral Functions'!I3*'Spectral Functions'!D3</f>
        <v>3.2369999999999999E-3</v>
      </c>
      <c r="U5" s="61">
        <f>L5*'Spectral Functions'!I3*'Spectral Functions'!F3</f>
        <v>1.219353E-5</v>
      </c>
      <c r="V5" s="62">
        <f>'Spectral Functions'!I3*'Spectral Functions'!F3</f>
        <v>4.897E-2</v>
      </c>
      <c r="W5" s="31"/>
      <c r="X5" s="60">
        <f>L5*'Spectral Functions'!J3*'Spectral Functions'!D3</f>
        <v>9.5120216099999992E-8</v>
      </c>
      <c r="Y5" s="61">
        <f>'Spectral Functions'!J3*'Spectral Functions'!D3</f>
        <v>3.8200889999999996E-4</v>
      </c>
      <c r="Z5" s="61">
        <f>L5*'Spectral Functions'!J3*'Spectral Functions'!F3</f>
        <v>1.438998141E-6</v>
      </c>
      <c r="AA5" s="62">
        <f>'Spectral Functions'!J3*'Spectral Functions'!F3</f>
        <v>5.7791090000000002E-3</v>
      </c>
      <c r="AB5" s="31"/>
      <c r="AC5" s="60">
        <f>L5*'Spectral Functions'!K3*'Spectral Functions'!D3</f>
        <v>3.2046299999999992E-7</v>
      </c>
      <c r="AD5" s="61">
        <f>'Spectral Functions'!K3*'Spectral Functions'!D3</f>
        <v>1.2869999999999999E-3</v>
      </c>
      <c r="AE5" s="61">
        <f>L5*'Spectral Functions'!K3*'Spectral Functions'!F3</f>
        <v>4.8480299999999996E-6</v>
      </c>
      <c r="AF5" s="62">
        <f>'Spectral Functions'!K3*'Spectral Functions'!F3</f>
        <v>1.9470000000000001E-2</v>
      </c>
      <c r="AG5" s="31"/>
    </row>
    <row r="6" spans="1:33">
      <c r="A6" s="42">
        <v>382</v>
      </c>
      <c r="B6" s="31"/>
      <c r="C6" s="157">
        <v>3.6000000000000001E-5</v>
      </c>
      <c r="D6" s="47">
        <f t="shared" ref="D6:D69" si="0">IF(C6&lt;0,0,IF(C6&gt;100,100,C6))</f>
        <v>3.6000000000000001E-5</v>
      </c>
      <c r="E6" s="31"/>
      <c r="F6" s="157">
        <v>3.6000000000000001E-5</v>
      </c>
      <c r="G6" s="47">
        <f t="shared" ref="G6:G69" si="1">IF(F6&lt;0,0,IF(F6&gt;100,100,F6))</f>
        <v>3.6000000000000001E-5</v>
      </c>
      <c r="H6" s="31"/>
      <c r="I6" s="157">
        <v>3.6000000000000001E-5</v>
      </c>
      <c r="J6" s="47">
        <f t="shared" ref="J6:J69" si="2">IF(I6&lt;0,0,IF(I6&gt;100,100,I6))</f>
        <v>3.6000000000000001E-5</v>
      </c>
      <c r="K6" s="54"/>
      <c r="L6" s="47">
        <f t="shared" ref="L6:L69" si="3">(D6+G6+J6)/3</f>
        <v>3.6000000000000001E-5</v>
      </c>
      <c r="M6" s="133"/>
      <c r="N6" s="60">
        <f>L6*'Spectral Functions'!H4*'Spectral Functions'!D4</f>
        <v>8.6139719999999993E-8</v>
      </c>
      <c r="O6" s="61">
        <f>'Spectral Functions'!H4*'Spectral Functions'!D4</f>
        <v>2.3927699999999998E-3</v>
      </c>
      <c r="P6" s="61">
        <f>L6*'Spectral Functions'!H4*'Spectral Functions'!F4</f>
        <v>1.4478804E-6</v>
      </c>
      <c r="Q6" s="62">
        <f>'Spectral Functions'!H4*'Spectral Functions'!F4</f>
        <v>4.0218899999999995E-2</v>
      </c>
      <c r="R6" s="31"/>
      <c r="S6" s="60">
        <f>L6*'Spectral Functions'!I4*'Spectral Functions'!D4</f>
        <v>2.1150000000000001E-7</v>
      </c>
      <c r="T6" s="61">
        <f>'Spectral Functions'!I4*'Spectral Functions'!D4</f>
        <v>5.875E-3</v>
      </c>
      <c r="U6" s="61">
        <f>L6*'Spectral Functions'!I4*'Spectral Functions'!F4</f>
        <v>3.5550000000000003E-6</v>
      </c>
      <c r="V6" s="62">
        <f>'Spectral Functions'!I4*'Spectral Functions'!F4</f>
        <v>9.8750000000000004E-2</v>
      </c>
      <c r="W6" s="31"/>
      <c r="X6" s="60">
        <f>L6*'Spectral Functions'!J4*'Spectral Functions'!D4</f>
        <v>1.7304591599999997E-8</v>
      </c>
      <c r="Y6" s="61">
        <f>'Spectral Functions'!J4*'Spectral Functions'!D4</f>
        <v>4.8068309999999996E-4</v>
      </c>
      <c r="Z6" s="61">
        <f>L6*'Spectral Functions'!J4*'Spectral Functions'!F4</f>
        <v>2.9086441200000002E-7</v>
      </c>
      <c r="AA6" s="62">
        <f>'Spectral Functions'!J4*'Spectral Functions'!F4</f>
        <v>8.0795669999999993E-3</v>
      </c>
      <c r="AB6" s="31"/>
      <c r="AC6" s="60">
        <f>L6*'Spectral Functions'!K4*'Spectral Functions'!D4</f>
        <v>6.0522840000000007E-8</v>
      </c>
      <c r="AD6" s="61">
        <f>'Spectral Functions'!K4*'Spectral Functions'!D4</f>
        <v>1.6811899999999999E-3</v>
      </c>
      <c r="AE6" s="61">
        <f>L6*'Spectral Functions'!K4*'Spectral Functions'!F4</f>
        <v>1.0172988000000003E-6</v>
      </c>
      <c r="AF6" s="62">
        <f>'Spectral Functions'!K4*'Spectral Functions'!F4</f>
        <v>2.8258300000000004E-2</v>
      </c>
      <c r="AG6" s="31"/>
    </row>
    <row r="7" spans="1:33">
      <c r="A7" s="42">
        <v>384</v>
      </c>
      <c r="B7" s="31"/>
      <c r="C7" s="157">
        <v>2.9E-5</v>
      </c>
      <c r="D7" s="47">
        <f t="shared" si="0"/>
        <v>2.9E-5</v>
      </c>
      <c r="E7" s="31"/>
      <c r="F7" s="157">
        <v>2.9E-5</v>
      </c>
      <c r="G7" s="47">
        <f t="shared" si="1"/>
        <v>2.9E-5</v>
      </c>
      <c r="H7" s="31"/>
      <c r="I7" s="157">
        <v>2.9E-5</v>
      </c>
      <c r="J7" s="47">
        <f t="shared" si="2"/>
        <v>2.9E-5</v>
      </c>
      <c r="K7" s="54"/>
      <c r="L7" s="47">
        <f t="shared" si="3"/>
        <v>2.9E-5</v>
      </c>
      <c r="M7" s="133"/>
      <c r="N7" s="60">
        <f>L7*'Spectral Functions'!H5*'Spectral Functions'!D5</f>
        <v>8.5699123800000002E-8</v>
      </c>
      <c r="O7" s="61">
        <f>'Spectral Functions'!H5*'Spectral Functions'!D5</f>
        <v>2.9551422000000001E-3</v>
      </c>
      <c r="P7" s="61">
        <f>L7*'Spectral Functions'!H5*'Spectral Functions'!F5</f>
        <v>1.5125143604E-6</v>
      </c>
      <c r="Q7" s="62">
        <f>'Spectral Functions'!H5*'Spectral Functions'!F5</f>
        <v>5.2155667599999997E-2</v>
      </c>
      <c r="R7" s="31"/>
      <c r="S7" s="60">
        <f>L7*'Spectral Functions'!I5*'Spectral Functions'!D5</f>
        <v>2.29767E-7</v>
      </c>
      <c r="T7" s="61">
        <f>'Spectral Functions'!I5*'Spectral Functions'!D5</f>
        <v>7.9230000000000012E-3</v>
      </c>
      <c r="U7" s="61">
        <f>L7*'Spectral Functions'!I5*'Spectral Functions'!F5</f>
        <v>4.0551859999999998E-6</v>
      </c>
      <c r="V7" s="62">
        <f>'Spectral Functions'!I5*'Spectral Functions'!F5</f>
        <v>0.13983399999999999</v>
      </c>
      <c r="W7" s="31"/>
      <c r="X7" s="60">
        <f>L7*'Spectral Functions'!J5*'Spectral Functions'!D5</f>
        <v>1.7641146599999999E-8</v>
      </c>
      <c r="Y7" s="61">
        <f>'Spectral Functions'!J5*'Spectral Functions'!D5</f>
        <v>6.0831540000000003E-4</v>
      </c>
      <c r="Z7" s="61">
        <f>L7*'Spectral Functions'!J5*'Spectral Functions'!F5</f>
        <v>3.1135076279999996E-7</v>
      </c>
      <c r="AA7" s="62">
        <f>'Spectral Functions'!J5*'Spectral Functions'!F5</f>
        <v>1.0736233199999999E-2</v>
      </c>
      <c r="AB7" s="31"/>
      <c r="AC7" s="60">
        <f>L7*'Spectral Functions'!K5*'Spectral Functions'!D5</f>
        <v>6.3706620000000001E-8</v>
      </c>
      <c r="AD7" s="61">
        <f>'Spectral Functions'!K5*'Spectral Functions'!D5</f>
        <v>2.1967800000000002E-3</v>
      </c>
      <c r="AE7" s="61">
        <f>L7*'Spectral Functions'!K5*'Spectral Functions'!F5</f>
        <v>1.12436596E-6</v>
      </c>
      <c r="AF7" s="62">
        <f>'Spectral Functions'!K5*'Spectral Functions'!F5</f>
        <v>3.8771239999999998E-2</v>
      </c>
      <c r="AG7" s="31"/>
    </row>
    <row r="8" spans="1:33">
      <c r="A8" s="42">
        <v>386</v>
      </c>
      <c r="B8" s="31"/>
      <c r="C8" s="157">
        <v>1.12E-4</v>
      </c>
      <c r="D8" s="47">
        <f t="shared" si="0"/>
        <v>1.12E-4</v>
      </c>
      <c r="E8" s="31"/>
      <c r="F8" s="157">
        <v>1.12E-4</v>
      </c>
      <c r="G8" s="47">
        <f t="shared" si="1"/>
        <v>1.12E-4</v>
      </c>
      <c r="H8" s="31"/>
      <c r="I8" s="157">
        <v>1.12E-4</v>
      </c>
      <c r="J8" s="47">
        <f t="shared" si="2"/>
        <v>1.12E-4</v>
      </c>
      <c r="K8" s="54"/>
      <c r="L8" s="47">
        <f t="shared" si="3"/>
        <v>1.12E-4</v>
      </c>
      <c r="M8" s="133"/>
      <c r="N8" s="60">
        <f>L8*'Spectral Functions'!H6*'Spectral Functions'!D6</f>
        <v>4.2561066239999996E-7</v>
      </c>
      <c r="O8" s="61">
        <f>'Spectral Functions'!H6*'Spectral Functions'!D6</f>
        <v>3.8000951999999999E-3</v>
      </c>
      <c r="P8" s="61">
        <f>L8*'Spectral Functions'!H6*'Spectral Functions'!F6</f>
        <v>7.8619747360000001E-6</v>
      </c>
      <c r="Q8" s="62">
        <f>'Spectral Functions'!H6*'Spectral Functions'!F6</f>
        <v>7.0196202999999999E-2</v>
      </c>
      <c r="R8" s="31"/>
      <c r="S8" s="60">
        <f>L8*'Spectral Functions'!I6*'Spectral Functions'!D6</f>
        <v>8.7897600000000005E-7</v>
      </c>
      <c r="T8" s="61">
        <f>'Spectral Functions'!I6*'Spectral Functions'!D6</f>
        <v>7.8480000000000008E-3</v>
      </c>
      <c r="U8" s="61">
        <f>L8*'Spectral Functions'!I6*'Spectral Functions'!F6</f>
        <v>1.6236639999999999E-5</v>
      </c>
      <c r="V8" s="62">
        <f>'Spectral Functions'!I6*'Spectral Functions'!F6</f>
        <v>0.14497000000000002</v>
      </c>
      <c r="W8" s="31"/>
      <c r="X8" s="60">
        <f>L8*'Spectral Functions'!J6*'Spectral Functions'!D6</f>
        <v>8.9753932800000016E-8</v>
      </c>
      <c r="Y8" s="61">
        <f>'Spectral Functions'!J6*'Spectral Functions'!D6</f>
        <v>8.0137440000000002E-4</v>
      </c>
      <c r="Z8" s="61">
        <f>L8*'Spectral Functions'!J6*'Spectral Functions'!F6</f>
        <v>1.6579545920000001E-6</v>
      </c>
      <c r="AA8" s="62">
        <f>'Spectral Functions'!J6*'Spectral Functions'!F6</f>
        <v>1.4803166000000001E-2</v>
      </c>
      <c r="AB8" s="31"/>
      <c r="AC8" s="60">
        <f>L8*'Spectral Functions'!K6*'Spectral Functions'!D6</f>
        <v>3.3401088000000003E-7</v>
      </c>
      <c r="AD8" s="61">
        <f>'Spectral Functions'!K6*'Spectral Functions'!D6</f>
        <v>2.9822400000000002E-3</v>
      </c>
      <c r="AE8" s="61">
        <f>L8*'Spectral Functions'!K6*'Spectral Functions'!F6</f>
        <v>6.1699232000000011E-6</v>
      </c>
      <c r="AF8" s="62">
        <f>'Spectral Functions'!K6*'Spectral Functions'!F6</f>
        <v>5.5088600000000001E-2</v>
      </c>
      <c r="AG8" s="31"/>
    </row>
    <row r="9" spans="1:33">
      <c r="A9" s="42">
        <v>388</v>
      </c>
      <c r="B9" s="31"/>
      <c r="C9" s="157">
        <v>1.9000000000000001E-4</v>
      </c>
      <c r="D9" s="47">
        <f t="shared" si="0"/>
        <v>1.9000000000000001E-4</v>
      </c>
      <c r="E9" s="31"/>
      <c r="F9" s="157">
        <v>1.9000000000000001E-4</v>
      </c>
      <c r="G9" s="47">
        <f t="shared" si="1"/>
        <v>1.9000000000000001E-4</v>
      </c>
      <c r="H9" s="31"/>
      <c r="I9" s="157">
        <v>1.9000000000000001E-4</v>
      </c>
      <c r="J9" s="47">
        <f t="shared" si="2"/>
        <v>1.9000000000000001E-4</v>
      </c>
      <c r="K9" s="54"/>
      <c r="L9" s="47">
        <f t="shared" si="3"/>
        <v>1.8999999999999998E-4</v>
      </c>
      <c r="M9" s="133"/>
      <c r="N9" s="60">
        <f>L9*'Spectral Functions'!H7*'Spectral Functions'!D7</f>
        <v>9.5932668199999988E-7</v>
      </c>
      <c r="O9" s="61">
        <f>'Spectral Functions'!H7*'Spectral Functions'!D7</f>
        <v>5.0490878000000001E-3</v>
      </c>
      <c r="P9" s="61">
        <f>L9*'Spectral Functions'!H7*'Spectral Functions'!F7</f>
        <v>1.8063917309999999E-5</v>
      </c>
      <c r="Q9" s="62">
        <f>'Spectral Functions'!H7*'Spectral Functions'!F7</f>
        <v>9.5073249000000012E-2</v>
      </c>
      <c r="R9" s="31"/>
      <c r="S9" s="60">
        <f>L9*'Spectral Functions'!I7*'Spectral Functions'!D7</f>
        <v>9.1085999999999989E-7</v>
      </c>
      <c r="T9" s="61">
        <f>'Spectral Functions'!I7*'Spectral Functions'!D7</f>
        <v>4.7939999999999997E-3</v>
      </c>
      <c r="U9" s="61">
        <f>L9*'Spectral Functions'!I7*'Spectral Functions'!F7</f>
        <v>1.71513E-5</v>
      </c>
      <c r="V9" s="62">
        <f>'Spectral Functions'!I7*'Spectral Functions'!F7</f>
        <v>9.0270000000000003E-2</v>
      </c>
      <c r="W9" s="31"/>
      <c r="X9" s="60">
        <f>L9*'Spectral Functions'!J7*'Spectral Functions'!D7</f>
        <v>2.0719743199999998E-7</v>
      </c>
      <c r="Y9" s="61">
        <f>'Spectral Functions'!J7*'Spectral Functions'!D7</f>
        <v>1.0905127999999999E-3</v>
      </c>
      <c r="Z9" s="61">
        <f>L9*'Spectral Functions'!J7*'Spectral Functions'!F7</f>
        <v>3.9014835600000003E-6</v>
      </c>
      <c r="AA9" s="62">
        <f>'Spectral Functions'!J7*'Spectral Functions'!F7</f>
        <v>2.0534124000000001E-2</v>
      </c>
      <c r="AB9" s="31"/>
      <c r="AC9" s="60">
        <f>L9*'Spectral Functions'!K7*'Spectral Functions'!D7</f>
        <v>7.3225999999999991E-7</v>
      </c>
      <c r="AD9" s="61">
        <f>'Spectral Functions'!K7*'Spectral Functions'!D7</f>
        <v>3.8539999999999998E-3</v>
      </c>
      <c r="AE9" s="61">
        <f>L9*'Spectral Functions'!K7*'Spectral Functions'!F7</f>
        <v>1.37883E-5</v>
      </c>
      <c r="AF9" s="62">
        <f>'Spectral Functions'!K7*'Spectral Functions'!F7</f>
        <v>7.2570000000000009E-2</v>
      </c>
      <c r="AG9" s="31"/>
    </row>
    <row r="10" spans="1:33">
      <c r="A10" s="42">
        <v>390</v>
      </c>
      <c r="B10" s="31"/>
      <c r="C10" s="157">
        <v>3.59E-4</v>
      </c>
      <c r="D10" s="47">
        <f t="shared" si="0"/>
        <v>3.59E-4</v>
      </c>
      <c r="E10" s="31"/>
      <c r="F10" s="157">
        <v>3.59E-4</v>
      </c>
      <c r="G10" s="47">
        <f t="shared" si="1"/>
        <v>3.59E-4</v>
      </c>
      <c r="H10" s="31"/>
      <c r="I10" s="157">
        <v>3.59E-4</v>
      </c>
      <c r="J10" s="47">
        <f t="shared" si="2"/>
        <v>3.59E-4</v>
      </c>
      <c r="K10" s="54"/>
      <c r="L10" s="47">
        <f t="shared" si="3"/>
        <v>3.59E-4</v>
      </c>
      <c r="M10" s="133"/>
      <c r="N10" s="60">
        <f>L10*'Spectral Functions'!H8*'Spectral Functions'!D8</f>
        <v>2.3542444560000002E-6</v>
      </c>
      <c r="O10" s="61">
        <f>'Spectral Functions'!H8*'Spectral Functions'!D8</f>
        <v>6.5577840000000005E-3</v>
      </c>
      <c r="P10" s="61">
        <f>L10*'Spectral Functions'!H8*'Spectral Functions'!F8</f>
        <v>4.3357335398000007E-5</v>
      </c>
      <c r="Q10" s="62">
        <f>'Spectral Functions'!H8*'Spectral Functions'!F8</f>
        <v>0.12077252200000002</v>
      </c>
      <c r="R10" s="31"/>
      <c r="S10" s="60">
        <f>L10*'Spectral Functions'!I8*'Spectral Functions'!D8</f>
        <v>9.0467999999999997E-7</v>
      </c>
      <c r="T10" s="61">
        <f>'Spectral Functions'!I8*'Spectral Functions'!D8</f>
        <v>2.5200000000000001E-3</v>
      </c>
      <c r="U10" s="61">
        <f>L10*'Spectral Functions'!I8*'Spectral Functions'!F8</f>
        <v>1.6661190000000002E-5</v>
      </c>
      <c r="V10" s="62">
        <f>'Spectral Functions'!I8*'Spectral Functions'!F8</f>
        <v>4.6410000000000007E-2</v>
      </c>
      <c r="W10" s="31"/>
      <c r="X10" s="60">
        <f>L10*'Spectral Functions'!J8*'Spectral Functions'!D8</f>
        <v>5.2063472400000001E-7</v>
      </c>
      <c r="Y10" s="61">
        <f>'Spectral Functions'!J8*'Spectral Functions'!D8</f>
        <v>1.4502360000000001E-3</v>
      </c>
      <c r="Z10" s="61">
        <f>L10*'Spectral Functions'!J8*'Spectral Functions'!F8</f>
        <v>9.5883561670000003E-6</v>
      </c>
      <c r="AA10" s="62">
        <f>'Spectral Functions'!J8*'Spectral Functions'!F8</f>
        <v>2.6708513000000003E-2</v>
      </c>
      <c r="AB10" s="31"/>
      <c r="AC10" s="60">
        <f>L10*'Spectral Functions'!K8*'Spectral Functions'!D8</f>
        <v>2.0419919999999999E-6</v>
      </c>
      <c r="AD10" s="61">
        <f>'Spectral Functions'!K8*'Spectral Functions'!D8</f>
        <v>5.6880000000000003E-3</v>
      </c>
      <c r="AE10" s="61">
        <f>L10*'Spectral Functions'!K8*'Spectral Functions'!F8</f>
        <v>3.7606686000000002E-5</v>
      </c>
      <c r="AF10" s="62">
        <f>'Spectral Functions'!K8*'Spectral Functions'!F8</f>
        <v>0.104754</v>
      </c>
      <c r="AG10" s="31"/>
    </row>
    <row r="11" spans="1:33">
      <c r="A11" s="42">
        <v>392</v>
      </c>
      <c r="B11" s="31"/>
      <c r="C11" s="157">
        <v>7.0699999999999995E-4</v>
      </c>
      <c r="D11" s="47">
        <f t="shared" si="0"/>
        <v>7.0699999999999995E-4</v>
      </c>
      <c r="E11" s="31"/>
      <c r="F11" s="157">
        <v>7.0699999999999995E-4</v>
      </c>
      <c r="G11" s="47">
        <f t="shared" si="1"/>
        <v>7.0699999999999995E-4</v>
      </c>
      <c r="H11" s="31"/>
      <c r="I11" s="157">
        <v>7.0699999999999995E-4</v>
      </c>
      <c r="J11" s="47">
        <f t="shared" si="2"/>
        <v>7.0699999999999995E-4</v>
      </c>
      <c r="K11" s="54"/>
      <c r="L11" s="47">
        <f t="shared" si="3"/>
        <v>7.0699999999999984E-4</v>
      </c>
      <c r="M11" s="133"/>
      <c r="N11" s="60">
        <f>L11*'Spectral Functions'!H9*'Spectral Functions'!D9</f>
        <v>6.4341910114999992E-6</v>
      </c>
      <c r="O11" s="61">
        <f>'Spectral Functions'!H9*'Spectral Functions'!D9</f>
        <v>9.1006945000000009E-3</v>
      </c>
      <c r="P11" s="61">
        <f>L11*'Spectral Functions'!H9*'Spectral Functions'!F9</f>
        <v>1.3371186353699997E-4</v>
      </c>
      <c r="Q11" s="62">
        <f>'Spectral Functions'!H9*'Spectral Functions'!F9</f>
        <v>0.18912569100000001</v>
      </c>
      <c r="R11" s="31"/>
      <c r="S11" s="60">
        <f>L11*'Spectral Functions'!I9*'Spectral Functions'!D9</f>
        <v>1.3878409999999997E-6</v>
      </c>
      <c r="T11" s="61">
        <f>'Spectral Functions'!I9*'Spectral Functions'!D9</f>
        <v>1.9630000000000003E-3</v>
      </c>
      <c r="U11" s="61">
        <f>L11*'Spectral Functions'!I9*'Spectral Functions'!F9</f>
        <v>2.8841357999999993E-5</v>
      </c>
      <c r="V11" s="62">
        <f>'Spectral Functions'!I9*'Spectral Functions'!F9</f>
        <v>4.0794000000000004E-2</v>
      </c>
      <c r="W11" s="31"/>
      <c r="X11" s="60">
        <f>L11*'Spectral Functions'!J9*'Spectral Functions'!D9</f>
        <v>1.3433019796E-6</v>
      </c>
      <c r="Y11" s="61">
        <f>'Spectral Functions'!J9*'Spectral Functions'!D9</f>
        <v>1.9000028000000003E-3</v>
      </c>
      <c r="Z11" s="61">
        <f>L11*'Spectral Functions'!J9*'Spectral Functions'!F9</f>
        <v>2.7915772264799997E-5</v>
      </c>
      <c r="AA11" s="62">
        <f>'Spectral Functions'!J9*'Spectral Functions'!F9</f>
        <v>3.9484826400000006E-2</v>
      </c>
      <c r="AB11" s="31"/>
      <c r="AC11" s="60">
        <f>L11*'Spectral Functions'!K9*'Spectral Functions'!D9</f>
        <v>5.3922960699999987E-6</v>
      </c>
      <c r="AD11" s="61">
        <f>'Spectral Functions'!K9*'Spectral Functions'!D9</f>
        <v>7.62701E-3</v>
      </c>
      <c r="AE11" s="61">
        <f>L11*'Spectral Functions'!K9*'Spectral Functions'!F9</f>
        <v>1.1205976865999998E-4</v>
      </c>
      <c r="AF11" s="62">
        <f>'Spectral Functions'!K9*'Spectral Functions'!F9</f>
        <v>0.15850038</v>
      </c>
      <c r="AG11" s="31"/>
    </row>
    <row r="12" spans="1:33">
      <c r="A12" s="42">
        <v>394</v>
      </c>
      <c r="B12" s="31"/>
      <c r="C12" s="157">
        <v>9.5299999999999996E-4</v>
      </c>
      <c r="D12" s="47">
        <f t="shared" si="0"/>
        <v>9.5299999999999996E-4</v>
      </c>
      <c r="E12" s="31"/>
      <c r="F12" s="157">
        <v>9.5299999999999996E-4</v>
      </c>
      <c r="G12" s="47">
        <f t="shared" si="1"/>
        <v>9.5299999999999996E-4</v>
      </c>
      <c r="H12" s="31"/>
      <c r="I12" s="157">
        <v>9.5299999999999996E-4</v>
      </c>
      <c r="J12" s="47">
        <f t="shared" si="2"/>
        <v>9.5299999999999996E-4</v>
      </c>
      <c r="K12" s="54"/>
      <c r="L12" s="47">
        <f t="shared" si="3"/>
        <v>9.5299999999999996E-4</v>
      </c>
      <c r="M12" s="133"/>
      <c r="N12" s="60">
        <f>L12*'Spectral Functions'!H10*'Spectral Functions'!D10</f>
        <v>1.2056453318400002E-5</v>
      </c>
      <c r="O12" s="61">
        <f>'Spectral Functions'!H10*'Spectral Functions'!D10</f>
        <v>1.2651052800000001E-2</v>
      </c>
      <c r="P12" s="61">
        <f>L12*'Spectral Functions'!H10*'Spectral Functions'!F10</f>
        <v>2.5532051662820003E-4</v>
      </c>
      <c r="Q12" s="62">
        <f>'Spectral Functions'!H10*'Spectral Functions'!F10</f>
        <v>0.2679123994</v>
      </c>
      <c r="R12" s="31"/>
      <c r="S12" s="60">
        <f>L12*'Spectral Functions'!I10*'Spectral Functions'!D10</f>
        <v>7.3190400000000004E-7</v>
      </c>
      <c r="T12" s="61">
        <f>'Spectral Functions'!I10*'Spectral Functions'!D10</f>
        <v>7.6800000000000002E-4</v>
      </c>
      <c r="U12" s="61">
        <f>L12*'Spectral Functions'!I10*'Spectral Functions'!F10</f>
        <v>1.5499592000000001E-5</v>
      </c>
      <c r="V12" s="62">
        <f>'Spectral Functions'!I10*'Spectral Functions'!F10</f>
        <v>1.6264000000000001E-2</v>
      </c>
      <c r="W12" s="31"/>
      <c r="X12" s="60">
        <f>L12*'Spectral Functions'!J10*'Spectral Functions'!D10</f>
        <v>2.3958511487999998E-6</v>
      </c>
      <c r="Y12" s="61">
        <f>'Spectral Functions'!J10*'Spectral Functions'!D10</f>
        <v>2.5140096E-3</v>
      </c>
      <c r="Z12" s="61">
        <f>L12*'Spectral Functions'!J10*'Spectral Functions'!F10</f>
        <v>5.0737139432399998E-5</v>
      </c>
      <c r="AA12" s="62">
        <f>'Spectral Functions'!J10*'Spectral Functions'!F10</f>
        <v>5.3239390800000001E-2</v>
      </c>
      <c r="AB12" s="31"/>
      <c r="AC12" s="60">
        <f>L12*'Spectral Functions'!K10*'Spectral Functions'!D10</f>
        <v>9.8111731199999992E-6</v>
      </c>
      <c r="AD12" s="61">
        <f>'Spectral Functions'!K10*'Spectral Functions'!D10</f>
        <v>1.029504E-2</v>
      </c>
      <c r="AE12" s="61">
        <f>L12*'Spectral Functions'!K10*'Spectral Functions'!F10</f>
        <v>2.0777203075999999E-4</v>
      </c>
      <c r="AF12" s="62">
        <f>'Spectral Functions'!K10*'Spectral Functions'!F10</f>
        <v>0.21801892</v>
      </c>
      <c r="AG12" s="31"/>
    </row>
    <row r="13" spans="1:33">
      <c r="A13" s="42">
        <v>396</v>
      </c>
      <c r="B13" s="31"/>
      <c r="C13" s="157">
        <v>2.3670000000000002E-3</v>
      </c>
      <c r="D13" s="47">
        <f t="shared" si="0"/>
        <v>2.3670000000000002E-3</v>
      </c>
      <c r="E13" s="31"/>
      <c r="F13" s="157">
        <v>2.3670000000000002E-3</v>
      </c>
      <c r="G13" s="47">
        <f t="shared" si="1"/>
        <v>2.3670000000000002E-3</v>
      </c>
      <c r="H13" s="31"/>
      <c r="I13" s="157">
        <v>2.3670000000000002E-3</v>
      </c>
      <c r="J13" s="47">
        <f t="shared" si="2"/>
        <v>2.3670000000000002E-3</v>
      </c>
      <c r="K13" s="54"/>
      <c r="L13" s="47">
        <f t="shared" si="3"/>
        <v>2.3670000000000002E-3</v>
      </c>
      <c r="M13" s="133"/>
      <c r="N13" s="60">
        <f>L13*'Spectral Functions'!H11*'Spectral Functions'!D11</f>
        <v>4.1809536217800006E-5</v>
      </c>
      <c r="O13" s="61">
        <f>'Spectral Functions'!H11*'Spectral Functions'!D11</f>
        <v>1.7663513400000001E-2</v>
      </c>
      <c r="P13" s="61">
        <f>L13*'Spectral Functions'!H11*'Spectral Functions'!F11</f>
        <v>9.279347269068001E-4</v>
      </c>
      <c r="Q13" s="62">
        <f>'Spectral Functions'!H11*'Spectral Functions'!F11</f>
        <v>0.39202988040000003</v>
      </c>
      <c r="R13" s="31"/>
      <c r="S13" s="60">
        <f>L13*'Spectral Functions'!I11*'Spectral Functions'!D11</f>
        <v>0</v>
      </c>
      <c r="T13" s="61">
        <f>'Spectral Functions'!I11*'Spectral Functions'!D11</f>
        <v>0</v>
      </c>
      <c r="U13" s="61">
        <f>L13*'Spectral Functions'!I11*'Spectral Functions'!F11</f>
        <v>0</v>
      </c>
      <c r="V13" s="62">
        <f>'Spectral Functions'!I11*'Spectral Functions'!F11</f>
        <v>0</v>
      </c>
      <c r="W13" s="31"/>
      <c r="X13" s="60">
        <f>L13*'Spectral Functions'!J11*'Spectral Functions'!D11</f>
        <v>7.9618670117999996E-6</v>
      </c>
      <c r="Y13" s="61">
        <f>'Spectral Functions'!J11*'Spectral Functions'!D11</f>
        <v>3.3636953999999996E-3</v>
      </c>
      <c r="Z13" s="61">
        <f>L13*'Spectral Functions'!J11*'Spectral Functions'!F11</f>
        <v>1.7670831967080001E-4</v>
      </c>
      <c r="AA13" s="62">
        <f>'Spectral Functions'!J11*'Spectral Functions'!F11</f>
        <v>7.4654972399999991E-2</v>
      </c>
      <c r="AB13" s="31"/>
      <c r="AC13" s="60">
        <f>L13*'Spectral Functions'!K11*'Spectral Functions'!D11</f>
        <v>3.32080632E-5</v>
      </c>
      <c r="AD13" s="61">
        <f>'Spectral Functions'!K11*'Spectral Functions'!D11</f>
        <v>1.4029599999999998E-2</v>
      </c>
      <c r="AE13" s="61">
        <f>L13*'Spectral Functions'!K11*'Spectral Functions'!F11</f>
        <v>7.3703077919999994E-4</v>
      </c>
      <c r="AF13" s="62">
        <f>'Spectral Functions'!K11*'Spectral Functions'!F11</f>
        <v>0.31137759999999998</v>
      </c>
      <c r="AG13" s="31"/>
    </row>
    <row r="14" spans="1:33">
      <c r="A14" s="42">
        <v>398</v>
      </c>
      <c r="B14" s="31"/>
      <c r="C14" s="157">
        <v>9.1120000000000003E-3</v>
      </c>
      <c r="D14" s="47">
        <f t="shared" si="0"/>
        <v>9.1120000000000003E-3</v>
      </c>
      <c r="E14" s="31"/>
      <c r="F14" s="157">
        <v>9.1120000000000003E-3</v>
      </c>
      <c r="G14" s="47">
        <f t="shared" si="1"/>
        <v>9.1120000000000003E-3</v>
      </c>
      <c r="H14" s="31"/>
      <c r="I14" s="157">
        <v>9.1120000000000003E-3</v>
      </c>
      <c r="J14" s="47">
        <f t="shared" si="2"/>
        <v>9.1120000000000003E-3</v>
      </c>
      <c r="K14" s="54"/>
      <c r="L14" s="47">
        <f t="shared" si="3"/>
        <v>9.1120000000000003E-3</v>
      </c>
      <c r="M14" s="133"/>
      <c r="N14" s="60">
        <f>L14*'Spectral Functions'!H12*'Spectral Functions'!D12</f>
        <v>2.242063948608E-4</v>
      </c>
      <c r="O14" s="61">
        <f>'Spectral Functions'!H12*'Spectral Functions'!D12</f>
        <v>2.4605618400000001E-2</v>
      </c>
      <c r="P14" s="61">
        <f>L14*'Spectral Functions'!H12*'Spectral Functions'!F12</f>
        <v>5.1911863085952002E-3</v>
      </c>
      <c r="Q14" s="62">
        <f>'Spectral Functions'!H12*'Spectral Functions'!F12</f>
        <v>0.56970876960000005</v>
      </c>
      <c r="R14" s="31"/>
      <c r="S14" s="60">
        <f>L14*'Spectral Functions'!I12*'Spectral Functions'!D12</f>
        <v>0</v>
      </c>
      <c r="T14" s="61">
        <f>'Spectral Functions'!I12*'Spectral Functions'!D12</f>
        <v>0</v>
      </c>
      <c r="U14" s="61">
        <f>L14*'Spectral Functions'!I12*'Spectral Functions'!F12</f>
        <v>0</v>
      </c>
      <c r="V14" s="62">
        <f>'Spectral Functions'!I12*'Spectral Functions'!F12</f>
        <v>0</v>
      </c>
      <c r="W14" s="31"/>
      <c r="X14" s="60">
        <f>L14*'Spectral Functions'!J12*'Spectral Functions'!D12</f>
        <v>4.1148513586399998E-5</v>
      </c>
      <c r="Y14" s="61">
        <f>'Spectral Functions'!J12*'Spectral Functions'!D12</f>
        <v>4.5158597000000003E-3</v>
      </c>
      <c r="Z14" s="61">
        <f>L14*'Spectral Functions'!J12*'Spectral Functions'!F12</f>
        <v>9.5273643056159997E-4</v>
      </c>
      <c r="AA14" s="62">
        <f>'Spectral Functions'!J12*'Spectral Functions'!F12</f>
        <v>0.1045584318</v>
      </c>
      <c r="AB14" s="31"/>
      <c r="AC14" s="60">
        <f>L14*'Spectral Functions'!K12*'Spectral Functions'!D12</f>
        <v>1.7454901640000001E-4</v>
      </c>
      <c r="AD14" s="61">
        <f>'Spectral Functions'!K12*'Spectral Functions'!D12</f>
        <v>1.9155949999999998E-2</v>
      </c>
      <c r="AE14" s="61">
        <f>L14*'Spectral Functions'!K12*'Spectral Functions'!F12</f>
        <v>4.0414389815999997E-3</v>
      </c>
      <c r="AF14" s="62">
        <f>'Spectral Functions'!K12*'Spectral Functions'!F12</f>
        <v>0.44352930000000002</v>
      </c>
      <c r="AG14" s="31"/>
    </row>
    <row r="15" spans="1:33">
      <c r="A15" s="42">
        <v>400</v>
      </c>
      <c r="B15" s="31"/>
      <c r="C15" s="157">
        <v>3.8022E-2</v>
      </c>
      <c r="D15" s="47">
        <f t="shared" si="0"/>
        <v>3.8022E-2</v>
      </c>
      <c r="E15" s="31"/>
      <c r="F15" s="157">
        <v>3.8022E-2</v>
      </c>
      <c r="G15" s="47">
        <f t="shared" si="1"/>
        <v>3.8022E-2</v>
      </c>
      <c r="H15" s="31"/>
      <c r="I15" s="157">
        <v>3.8022E-2</v>
      </c>
      <c r="J15" s="47">
        <f t="shared" si="2"/>
        <v>3.8022E-2</v>
      </c>
      <c r="K15" s="54"/>
      <c r="L15" s="47">
        <f t="shared" si="3"/>
        <v>3.8022E-2</v>
      </c>
      <c r="M15" s="133"/>
      <c r="N15" s="60">
        <f>L15*'Spectral Functions'!H13*'Spectral Functions'!D13</f>
        <v>1.2460166958888001E-3</v>
      </c>
      <c r="O15" s="61">
        <f>'Spectral Functions'!H13*'Spectral Functions'!D13</f>
        <v>3.2770940400000004E-2</v>
      </c>
      <c r="P15" s="61">
        <f>L15*'Spectral Functions'!H13*'Spectral Functions'!F13</f>
        <v>2.9231048244462002E-2</v>
      </c>
      <c r="Q15" s="62">
        <f>'Spectral Functions'!H13*'Spectral Functions'!F13</f>
        <v>0.76879302100000002</v>
      </c>
      <c r="R15" s="31"/>
      <c r="S15" s="60">
        <f>L15*'Spectral Functions'!I13*'Spectral Functions'!D13</f>
        <v>0</v>
      </c>
      <c r="T15" s="61">
        <f>'Spectral Functions'!I13*'Spectral Functions'!D13</f>
        <v>0</v>
      </c>
      <c r="U15" s="61">
        <f>L15*'Spectral Functions'!I13*'Spectral Functions'!F13</f>
        <v>0</v>
      </c>
      <c r="V15" s="62">
        <f>'Spectral Functions'!I13*'Spectral Functions'!F13</f>
        <v>0</v>
      </c>
      <c r="W15" s="31"/>
      <c r="X15" s="60">
        <f>L15*'Spectral Functions'!J13*'Spectral Functions'!D13</f>
        <v>2.2145412009600001E-4</v>
      </c>
      <c r="Y15" s="61">
        <f>'Spectral Functions'!J13*'Spectral Functions'!D13</f>
        <v>5.8243679999999999E-3</v>
      </c>
      <c r="Z15" s="61">
        <f>L15*'Spectral Functions'!J13*'Spectral Functions'!F13</f>
        <v>5.1952241810400007E-3</v>
      </c>
      <c r="AA15" s="62">
        <f>'Spectral Functions'!J13*'Spectral Functions'!F13</f>
        <v>0.13663732000000001</v>
      </c>
      <c r="AB15" s="31"/>
      <c r="AC15" s="60">
        <f>L15*'Spectral Functions'!K13*'Spectral Functions'!D13</f>
        <v>9.5308986959999982E-4</v>
      </c>
      <c r="AD15" s="61">
        <f>'Spectral Functions'!K13*'Spectral Functions'!D13</f>
        <v>2.5066799999999997E-2</v>
      </c>
      <c r="AE15" s="61">
        <f>L15*'Spectral Functions'!K13*'Spectral Functions'!F13</f>
        <v>2.2359103253999996E-2</v>
      </c>
      <c r="AF15" s="62">
        <f>'Spectral Functions'!K13*'Spectral Functions'!F13</f>
        <v>0.58805699999999994</v>
      </c>
      <c r="AG15" s="31"/>
    </row>
    <row r="16" spans="1:33">
      <c r="A16" s="42">
        <v>402</v>
      </c>
      <c r="B16" s="31"/>
      <c r="C16" s="157">
        <v>0.13845399999999999</v>
      </c>
      <c r="D16" s="47">
        <f t="shared" si="0"/>
        <v>0.13845399999999999</v>
      </c>
      <c r="E16" s="31"/>
      <c r="F16" s="157">
        <v>0.13845399999999999</v>
      </c>
      <c r="G16" s="47">
        <f t="shared" si="1"/>
        <v>0.13845399999999999</v>
      </c>
      <c r="H16" s="31"/>
      <c r="I16" s="157">
        <v>0.13845399999999999</v>
      </c>
      <c r="J16" s="47">
        <f t="shared" si="2"/>
        <v>0.13845399999999999</v>
      </c>
      <c r="K16" s="54"/>
      <c r="L16" s="47">
        <f t="shared" si="3"/>
        <v>0.13845399999999999</v>
      </c>
      <c r="M16" s="133"/>
      <c r="N16" s="60">
        <f>L16*'Spectral Functions'!H14*'Spectral Functions'!D14</f>
        <v>5.5338707366161992E-3</v>
      </c>
      <c r="O16" s="61">
        <f>'Spectral Functions'!H14*'Spectral Functions'!D14</f>
        <v>3.9969020299999998E-2</v>
      </c>
      <c r="P16" s="61">
        <f>L16*'Spectral Functions'!H14*'Spectral Functions'!F14</f>
        <v>0.15178951149441558</v>
      </c>
      <c r="Q16" s="62">
        <f>'Spectral Functions'!H14*'Spectral Functions'!F14</f>
        <v>1.0963172713999998</v>
      </c>
      <c r="R16" s="31"/>
      <c r="S16" s="60">
        <f>L16*'Spectral Functions'!I14*'Spectral Functions'!D14</f>
        <v>0</v>
      </c>
      <c r="T16" s="61">
        <f>'Spectral Functions'!I14*'Spectral Functions'!D14</f>
        <v>0</v>
      </c>
      <c r="U16" s="61">
        <f>L16*'Spectral Functions'!I14*'Spectral Functions'!F14</f>
        <v>0</v>
      </c>
      <c r="V16" s="62">
        <f>'Spectral Functions'!I14*'Spectral Functions'!F14</f>
        <v>0</v>
      </c>
      <c r="W16" s="31"/>
      <c r="X16" s="60">
        <f>L16*'Spectral Functions'!J14*'Spectral Functions'!D14</f>
        <v>1.0002488498111999E-3</v>
      </c>
      <c r="Y16" s="61">
        <f>'Spectral Functions'!J14*'Spectral Functions'!D14</f>
        <v>7.2244127999999998E-3</v>
      </c>
      <c r="Z16" s="61">
        <f>L16*'Spectral Functions'!J14*'Spectral Functions'!F14</f>
        <v>2.7436001220825599E-2</v>
      </c>
      <c r="AA16" s="62">
        <f>'Spectral Functions'!J14*'Spectral Functions'!F14</f>
        <v>0.19815968639999998</v>
      </c>
      <c r="AB16" s="31"/>
      <c r="AC16" s="60">
        <f>L16*'Spectral Functions'!K14*'Spectral Functions'!D14</f>
        <v>4.3680990913999998E-3</v>
      </c>
      <c r="AD16" s="61">
        <f>'Spectral Functions'!K14*'Spectral Functions'!D14</f>
        <v>3.1549100000000004E-2</v>
      </c>
      <c r="AE16" s="61">
        <f>L16*'Spectral Functions'!K14*'Spectral Functions'!F14</f>
        <v>0.1198133564732</v>
      </c>
      <c r="AF16" s="62">
        <f>'Spectral Functions'!K14*'Spectral Functions'!F14</f>
        <v>0.86536579999999996</v>
      </c>
      <c r="AG16" s="31"/>
    </row>
    <row r="17" spans="1:33">
      <c r="A17" s="42">
        <v>404</v>
      </c>
      <c r="B17" s="31"/>
      <c r="C17" s="157">
        <v>0.41565000000000002</v>
      </c>
      <c r="D17" s="47">
        <f t="shared" si="0"/>
        <v>0.41565000000000002</v>
      </c>
      <c r="E17" s="31"/>
      <c r="F17" s="157">
        <v>0.41565000000000002</v>
      </c>
      <c r="G17" s="47">
        <f t="shared" si="1"/>
        <v>0.41565000000000002</v>
      </c>
      <c r="H17" s="31"/>
      <c r="I17" s="157">
        <v>0.41565000000000002</v>
      </c>
      <c r="J17" s="47">
        <f t="shared" si="2"/>
        <v>0.41565000000000002</v>
      </c>
      <c r="K17" s="54"/>
      <c r="L17" s="47">
        <f t="shared" si="3"/>
        <v>0.41565000000000002</v>
      </c>
      <c r="M17" s="133"/>
      <c r="N17" s="60">
        <f>L17*'Spectral Functions'!H15*'Spectral Functions'!D15</f>
        <v>2.0505450820140003E-2</v>
      </c>
      <c r="O17" s="61">
        <f>'Spectral Functions'!H15*'Spectral Functions'!D15</f>
        <v>4.9333455599999999E-2</v>
      </c>
      <c r="P17" s="61">
        <f>L17*'Spectral Functions'!H15*'Spectral Functions'!F15</f>
        <v>0.59716748210120996</v>
      </c>
      <c r="Q17" s="62">
        <f>'Spectral Functions'!H15*'Spectral Functions'!F15</f>
        <v>1.4367075234</v>
      </c>
      <c r="R17" s="31"/>
      <c r="S17" s="60">
        <f>L17*'Spectral Functions'!I15*'Spectral Functions'!D15</f>
        <v>0</v>
      </c>
      <c r="T17" s="61">
        <f>'Spectral Functions'!I15*'Spectral Functions'!D15</f>
        <v>0</v>
      </c>
      <c r="U17" s="61">
        <f>L17*'Spectral Functions'!I15*'Spectral Functions'!F15</f>
        <v>0</v>
      </c>
      <c r="V17" s="62">
        <f>'Spectral Functions'!I15*'Spectral Functions'!F15</f>
        <v>0</v>
      </c>
      <c r="W17" s="31"/>
      <c r="X17" s="60">
        <f>L17*'Spectral Functions'!J15*'Spectral Functions'!D15</f>
        <v>3.7690792854000003E-3</v>
      </c>
      <c r="Y17" s="61">
        <f>'Spectral Functions'!J15*'Spectral Functions'!D15</f>
        <v>9.0679160000000005E-3</v>
      </c>
      <c r="Z17" s="61">
        <f>L17*'Spectral Functions'!J15*'Spectral Functions'!F15</f>
        <v>0.1097645502381</v>
      </c>
      <c r="AA17" s="62">
        <f>'Spectral Functions'!J15*'Spectral Functions'!F15</f>
        <v>0.26407927399999997</v>
      </c>
      <c r="AB17" s="31"/>
      <c r="AC17" s="60">
        <f>L17*'Spectral Functions'!K15*'Spectral Functions'!D15</f>
        <v>1.6668778698E-2</v>
      </c>
      <c r="AD17" s="61">
        <f>'Spectral Functions'!K15*'Spectral Functions'!D15</f>
        <v>4.010292E-2</v>
      </c>
      <c r="AE17" s="61">
        <f>L17*'Spectral Functions'!K15*'Spectral Functions'!F15</f>
        <v>0.485434467747</v>
      </c>
      <c r="AF17" s="62">
        <f>'Spectral Functions'!K15*'Spectral Functions'!F15</f>
        <v>1.1678923799999998</v>
      </c>
      <c r="AG17" s="31"/>
    </row>
    <row r="18" spans="1:33">
      <c r="A18" s="42">
        <v>406</v>
      </c>
      <c r="B18" s="31"/>
      <c r="C18" s="157">
        <v>1.035261</v>
      </c>
      <c r="D18" s="47">
        <f t="shared" si="0"/>
        <v>1.035261</v>
      </c>
      <c r="E18" s="31"/>
      <c r="F18" s="157">
        <v>1.035261</v>
      </c>
      <c r="G18" s="47">
        <f t="shared" si="1"/>
        <v>1.035261</v>
      </c>
      <c r="H18" s="31"/>
      <c r="I18" s="157">
        <v>1.035261</v>
      </c>
      <c r="J18" s="47">
        <f t="shared" si="2"/>
        <v>1.035261</v>
      </c>
      <c r="K18" s="54"/>
      <c r="L18" s="47">
        <f t="shared" si="3"/>
        <v>1.035261</v>
      </c>
      <c r="M18" s="133"/>
      <c r="N18" s="60">
        <f>L18*'Spectral Functions'!H16*'Spectral Functions'!D16</f>
        <v>6.6044848188960004E-2</v>
      </c>
      <c r="O18" s="61">
        <f>'Spectral Functions'!H16*'Spectral Functions'!D16</f>
        <v>6.3795359999999995E-2</v>
      </c>
      <c r="P18" s="61">
        <f>L18*'Spectral Functions'!H16*'Spectral Functions'!F16</f>
        <v>1.9829851798307327</v>
      </c>
      <c r="Q18" s="62">
        <f>'Spectral Functions'!H16*'Spectral Functions'!F16</f>
        <v>1.9154446848</v>
      </c>
      <c r="R18" s="31"/>
      <c r="S18" s="60">
        <f>L18*'Spectral Functions'!I16*'Spectral Functions'!D16</f>
        <v>1.5011284499999999E-3</v>
      </c>
      <c r="T18" s="61">
        <f>'Spectral Functions'!I16*'Spectral Functions'!D16</f>
        <v>1.4499999999999999E-3</v>
      </c>
      <c r="U18" s="61">
        <f>L18*'Spectral Functions'!I16*'Spectral Functions'!F16</f>
        <v>4.5071122895999995E-2</v>
      </c>
      <c r="V18" s="62">
        <f>'Spectral Functions'!I16*'Spectral Functions'!F16</f>
        <v>4.3535999999999998E-2</v>
      </c>
      <c r="W18" s="31"/>
      <c r="X18" s="60">
        <f>L18*'Spectral Functions'!J16*'Spectral Functions'!D16</f>
        <v>1.2344079470039999E-2</v>
      </c>
      <c r="Y18" s="61">
        <f>'Spectral Functions'!J16*'Spectral Functions'!D16</f>
        <v>1.1923639999999999E-2</v>
      </c>
      <c r="Z18" s="61">
        <f>L18*'Spectral Functions'!J16*'Spectral Functions'!F16</f>
        <v>0.37062885779838722</v>
      </c>
      <c r="AA18" s="62">
        <f>'Spectral Functions'!J16*'Spectral Functions'!F16</f>
        <v>0.35800523519999999</v>
      </c>
      <c r="AB18" s="31"/>
      <c r="AC18" s="60">
        <f>L18*'Spectral Functions'!K16*'Spectral Functions'!D16</f>
        <v>5.5219010033249992E-2</v>
      </c>
      <c r="AD18" s="61">
        <f>'Spectral Functions'!K16*'Spectral Functions'!D16</f>
        <v>5.333824999999999E-2</v>
      </c>
      <c r="AE18" s="61">
        <f>L18*'Spectral Functions'!K16*'Spectral Functions'!F16</f>
        <v>1.6579412557293598</v>
      </c>
      <c r="AF18" s="62">
        <f>'Spectral Functions'!K16*'Spectral Functions'!F16</f>
        <v>1.6014717599999997</v>
      </c>
      <c r="AG18" s="31"/>
    </row>
    <row r="19" spans="1:33">
      <c r="A19" s="42">
        <v>408</v>
      </c>
      <c r="B19" s="31"/>
      <c r="C19" s="157">
        <v>2.1850969999999998</v>
      </c>
      <c r="D19" s="47">
        <f t="shared" si="0"/>
        <v>2.1850969999999998</v>
      </c>
      <c r="E19" s="31"/>
      <c r="F19" s="157">
        <v>2.1850969999999998</v>
      </c>
      <c r="G19" s="47">
        <f t="shared" si="1"/>
        <v>2.1850969999999998</v>
      </c>
      <c r="H19" s="31"/>
      <c r="I19" s="157">
        <v>2.1850969999999998</v>
      </c>
      <c r="J19" s="47">
        <f t="shared" si="2"/>
        <v>2.1850969999999998</v>
      </c>
      <c r="K19" s="54"/>
      <c r="L19" s="47">
        <f t="shared" si="3"/>
        <v>2.1850969999999998</v>
      </c>
      <c r="M19" s="133"/>
      <c r="N19" s="60">
        <f>L19*'Spectral Functions'!H17*'Spectral Functions'!D17</f>
        <v>0.1845208478627246</v>
      </c>
      <c r="O19" s="61">
        <f>'Spectral Functions'!H17*'Spectral Functions'!D17</f>
        <v>8.4445151800000007E-2</v>
      </c>
      <c r="P19" s="61">
        <f>L19*'Spectral Functions'!H17*'Spectral Functions'!F17</f>
        <v>5.5501361082960221</v>
      </c>
      <c r="Q19" s="62">
        <f>'Spectral Functions'!H17*'Spectral Functions'!F17</f>
        <v>2.5399952992000001</v>
      </c>
      <c r="R19" s="31"/>
      <c r="S19" s="60">
        <f>L19*'Spectral Functions'!I17*'Spectral Functions'!D17</f>
        <v>1.0280881384999998E-2</v>
      </c>
      <c r="T19" s="61">
        <f>'Spectral Functions'!I17*'Spectral Functions'!D17</f>
        <v>4.705E-3</v>
      </c>
      <c r="U19" s="61">
        <f>L19*'Spectral Functions'!I17*'Spectral Functions'!F17</f>
        <v>0.30923492743999992</v>
      </c>
      <c r="V19" s="62">
        <f>'Spectral Functions'!I17*'Spectral Functions'!F17</f>
        <v>0.14152000000000001</v>
      </c>
      <c r="W19" s="31"/>
      <c r="X19" s="60">
        <f>L19*'Spectral Functions'!J17*'Spectral Functions'!D17</f>
        <v>3.5065618992702594E-2</v>
      </c>
      <c r="Y19" s="61">
        <f>'Spectral Functions'!J17*'Spectral Functions'!D17</f>
        <v>1.60476258E-2</v>
      </c>
      <c r="Z19" s="61">
        <f>L19*'Spectral Functions'!J17*'Spectral Functions'!F17</f>
        <v>1.0547261211152541</v>
      </c>
      <c r="AA19" s="62">
        <f>'Spectral Functions'!J17*'Spectral Functions'!F17</f>
        <v>0.48269075519999993</v>
      </c>
      <c r="AB19" s="31"/>
      <c r="AC19" s="60">
        <f>L19*'Spectral Functions'!K17*'Spectral Functions'!D17</f>
        <v>0.15849006743115998</v>
      </c>
      <c r="AD19" s="61">
        <f>'Spectral Functions'!K17*'Spectral Functions'!D17</f>
        <v>7.2532280000000005E-2</v>
      </c>
      <c r="AE19" s="61">
        <f>L19*'Spectral Functions'!K17*'Spectral Functions'!F17</f>
        <v>4.7671656414150396</v>
      </c>
      <c r="AF19" s="62">
        <f>'Spectral Functions'!K17*'Spectral Functions'!F17</f>
        <v>2.1816723200000001</v>
      </c>
      <c r="AG19" s="31"/>
    </row>
    <row r="20" spans="1:33">
      <c r="A20" s="42">
        <v>410</v>
      </c>
      <c r="B20" s="31"/>
      <c r="C20" s="157">
        <v>3.8865180000000001</v>
      </c>
      <c r="D20" s="47">
        <f t="shared" si="0"/>
        <v>3.8865180000000001</v>
      </c>
      <c r="E20" s="31"/>
      <c r="F20" s="157">
        <v>3.8865180000000001</v>
      </c>
      <c r="G20" s="47">
        <f t="shared" si="1"/>
        <v>3.8865180000000001</v>
      </c>
      <c r="H20" s="31"/>
      <c r="I20" s="157">
        <v>3.8865180000000001</v>
      </c>
      <c r="J20" s="47">
        <f t="shared" si="2"/>
        <v>3.8865180000000001</v>
      </c>
      <c r="K20" s="54"/>
      <c r="L20" s="47">
        <f t="shared" si="3"/>
        <v>3.8865180000000001</v>
      </c>
      <c r="M20" s="133"/>
      <c r="N20" s="60">
        <f>L20*'Spectral Functions'!H18*'Spectral Functions'!D18</f>
        <v>0.43023000275508</v>
      </c>
      <c r="O20" s="61">
        <f>'Spectral Functions'!H18*'Spectral Functions'!D18</f>
        <v>0.11069806</v>
      </c>
      <c r="P20" s="61">
        <f>L20*'Spectral Functions'!H18*'Spectral Functions'!F18</f>
        <v>12.387779583460322</v>
      </c>
      <c r="Q20" s="62">
        <f>'Spectral Functions'!H18*'Spectral Functions'!F18</f>
        <v>3.1873722400000006</v>
      </c>
      <c r="R20" s="31"/>
      <c r="S20" s="60">
        <f>L20*'Spectral Functions'!I18*'Spectral Functions'!D18</f>
        <v>3.7621494239999997E-2</v>
      </c>
      <c r="T20" s="61">
        <f>'Spectral Functions'!I18*'Spectral Functions'!D18</f>
        <v>9.6799999999999994E-3</v>
      </c>
      <c r="U20" s="61">
        <f>L20*'Spectral Functions'!I18*'Spectral Functions'!F18</f>
        <v>1.0832502969600002</v>
      </c>
      <c r="V20" s="62">
        <f>'Spectral Functions'!I18*'Spectral Functions'!F18</f>
        <v>0.27872000000000002</v>
      </c>
      <c r="W20" s="31"/>
      <c r="X20" s="60">
        <f>L20*'Spectral Functions'!J18*'Spectral Functions'!D18</f>
        <v>8.3121399642533997E-2</v>
      </c>
      <c r="Y20" s="61">
        <f>'Spectral Functions'!J18*'Spectral Functions'!D18</f>
        <v>2.1387112999999999E-2</v>
      </c>
      <c r="Z20" s="61">
        <f>L20*'Spectral Functions'!J18*'Spectral Functions'!F18</f>
        <v>2.3933467467321363</v>
      </c>
      <c r="AA20" s="62">
        <f>'Spectral Functions'!J18*'Spectral Functions'!F18</f>
        <v>0.61580745200000009</v>
      </c>
      <c r="AB20" s="31"/>
      <c r="AC20" s="60">
        <f>L20*'Spectral Functions'!K18*'Spectral Functions'!D18</f>
        <v>0.37903655446799994</v>
      </c>
      <c r="AD20" s="61">
        <f>'Spectral Functions'!K18*'Spectral Functions'!D18</f>
        <v>9.7525999999999988E-2</v>
      </c>
      <c r="AE20" s="61">
        <f>L20*'Spectral Functions'!K18*'Spectral Functions'!F18</f>
        <v>10.913746741872</v>
      </c>
      <c r="AF20" s="62">
        <f>'Spectral Functions'!K18*'Spectral Functions'!F18</f>
        <v>2.8081040000000002</v>
      </c>
      <c r="AG20" s="31"/>
    </row>
    <row r="21" spans="1:33">
      <c r="A21" s="42">
        <v>412</v>
      </c>
      <c r="B21" s="31"/>
      <c r="C21" s="157">
        <v>6.0688149999999998</v>
      </c>
      <c r="D21" s="47">
        <f t="shared" si="0"/>
        <v>6.0688149999999998</v>
      </c>
      <c r="E21" s="31"/>
      <c r="F21" s="157">
        <v>6.0688149999999998</v>
      </c>
      <c r="G21" s="47">
        <f t="shared" si="1"/>
        <v>6.0688149999999998</v>
      </c>
      <c r="H21" s="31"/>
      <c r="I21" s="157">
        <v>6.0688149999999998</v>
      </c>
      <c r="J21" s="47">
        <f t="shared" si="2"/>
        <v>6.0688149999999998</v>
      </c>
      <c r="K21" s="54"/>
      <c r="L21" s="47">
        <f t="shared" si="3"/>
        <v>6.0688149999999998</v>
      </c>
      <c r="M21" s="133"/>
      <c r="N21" s="60">
        <f>L21*'Spectral Functions'!H19*'Spectral Functions'!D19</f>
        <v>0.85364516918052802</v>
      </c>
      <c r="O21" s="61">
        <f>'Spectral Functions'!H19*'Spectral Functions'!D19</f>
        <v>0.14066093120000001</v>
      </c>
      <c r="P21" s="61">
        <f>L21*'Spectral Functions'!H19*'Spectral Functions'!F19</f>
        <v>25.126496344840831</v>
      </c>
      <c r="Q21" s="62">
        <f>'Spectral Functions'!H19*'Spectral Functions'!F19</f>
        <v>4.1402640128000003</v>
      </c>
      <c r="R21" s="31"/>
      <c r="S21" s="60">
        <f>L21*'Spectral Functions'!I19*'Spectral Functions'!D19</f>
        <v>0.288032028715</v>
      </c>
      <c r="T21" s="61">
        <f>'Spectral Functions'!I19*'Spectral Functions'!D19</f>
        <v>4.7461000000000003E-2</v>
      </c>
      <c r="U21" s="61">
        <f>L21*'Spectral Functions'!I19*'Spectral Functions'!F19</f>
        <v>8.478037453959999</v>
      </c>
      <c r="V21" s="62">
        <f>'Spectral Functions'!I19*'Spectral Functions'!F19</f>
        <v>1.396984</v>
      </c>
      <c r="W21" s="31"/>
      <c r="X21" s="60">
        <f>L21*'Spectral Functions'!J19*'Spectral Functions'!D19</f>
        <v>0.170132157141762</v>
      </c>
      <c r="Y21" s="61">
        <f>'Spectral Functions'!J19*'Spectral Functions'!D19</f>
        <v>2.8033834800000001E-2</v>
      </c>
      <c r="Z21" s="61">
        <f>L21*'Spectral Functions'!J19*'Spectral Functions'!F19</f>
        <v>5.0077305874829277</v>
      </c>
      <c r="AA21" s="62">
        <f>'Spectral Functions'!J19*'Spectral Functions'!F19</f>
        <v>0.82515789120000005</v>
      </c>
      <c r="AB21" s="31"/>
      <c r="AC21" s="60">
        <f>L21*'Spectral Functions'!K19*'Spectral Functions'!D19</f>
        <v>0.78205341474004997</v>
      </c>
      <c r="AD21" s="61">
        <f>'Spectral Functions'!K19*'Spectral Functions'!D19</f>
        <v>0.12886427</v>
      </c>
      <c r="AE21" s="61">
        <f>L21*'Spectral Functions'!K19*'Spectral Functions'!F19</f>
        <v>23.0192391128972</v>
      </c>
      <c r="AF21" s="62">
        <f>'Spectral Functions'!K19*'Spectral Functions'!F19</f>
        <v>3.7930368800000003</v>
      </c>
      <c r="AG21" s="31"/>
    </row>
    <row r="22" spans="1:33">
      <c r="A22" s="42">
        <v>414</v>
      </c>
      <c r="B22" s="31"/>
      <c r="C22" s="157">
        <v>8.58657</v>
      </c>
      <c r="D22" s="47">
        <f t="shared" si="0"/>
        <v>8.58657</v>
      </c>
      <c r="E22" s="31"/>
      <c r="F22" s="157">
        <v>8.58657</v>
      </c>
      <c r="G22" s="47">
        <f t="shared" si="1"/>
        <v>8.58657</v>
      </c>
      <c r="H22" s="31"/>
      <c r="I22" s="157">
        <v>8.58657</v>
      </c>
      <c r="J22" s="47">
        <f t="shared" si="2"/>
        <v>8.58657</v>
      </c>
      <c r="K22" s="54"/>
      <c r="L22" s="47">
        <f t="shared" si="3"/>
        <v>8.58657</v>
      </c>
      <c r="M22" s="133"/>
      <c r="N22" s="60">
        <f>L22*'Spectral Functions'!H20*'Spectral Functions'!D20</f>
        <v>1.5329725393226852</v>
      </c>
      <c r="O22" s="61">
        <f>'Spectral Functions'!H20*'Spectral Functions'!D20</f>
        <v>0.17853142050000001</v>
      </c>
      <c r="P22" s="61">
        <f>L22*'Spectral Functions'!H20*'Spectral Functions'!F20</f>
        <v>43.801026229494887</v>
      </c>
      <c r="Q22" s="62">
        <f>'Spectral Functions'!H20*'Spectral Functions'!F20</f>
        <v>5.1011086183999996</v>
      </c>
      <c r="R22" s="31"/>
      <c r="S22" s="60">
        <f>L22*'Spectral Functions'!I20*'Spectral Functions'!D20</f>
        <v>1.1298208806000001</v>
      </c>
      <c r="T22" s="61">
        <f>'Spectral Functions'!I20*'Spectral Functions'!D20</f>
        <v>0.13158</v>
      </c>
      <c r="U22" s="61">
        <f>L22*'Spectral Functions'!I20*'Spectral Functions'!F20</f>
        <v>32.281931186879994</v>
      </c>
      <c r="V22" s="62">
        <f>'Spectral Functions'!I20*'Spectral Functions'!F20</f>
        <v>3.7595839999999998</v>
      </c>
      <c r="W22" s="31"/>
      <c r="X22" s="60">
        <f>L22*'Spectral Functions'!J20*'Spectral Functions'!D20</f>
        <v>0.315028953038475</v>
      </c>
      <c r="Y22" s="61">
        <f>'Spectral Functions'!J20*'Spectral Functions'!D20</f>
        <v>3.6688567499999998E-2</v>
      </c>
      <c r="Z22" s="61">
        <f>L22*'Spectral Functions'!J20*'Spectral Functions'!F20</f>
        <v>9.0011993568946789</v>
      </c>
      <c r="AA22" s="62">
        <f>'Spectral Functions'!J20*'Spectral Functions'!F20</f>
        <v>1.0482881239999999</v>
      </c>
      <c r="AB22" s="31"/>
      <c r="AC22" s="60">
        <f>L22*'Spectral Functions'!K20*'Spectral Functions'!D20</f>
        <v>1.4578012362330002</v>
      </c>
      <c r="AD22" s="61">
        <f>'Spectral Functions'!K20*'Spectral Functions'!D20</f>
        <v>0.16977690000000001</v>
      </c>
      <c r="AE22" s="61">
        <f>L22*'Spectral Functions'!K20*'Spectral Functions'!F20</f>
        <v>41.6531859167184</v>
      </c>
      <c r="AF22" s="62">
        <f>'Spectral Functions'!K20*'Spectral Functions'!F20</f>
        <v>4.8509691199999994</v>
      </c>
      <c r="AG22" s="31"/>
    </row>
    <row r="23" spans="1:33">
      <c r="A23" s="42">
        <v>416</v>
      </c>
      <c r="B23" s="31"/>
      <c r="C23" s="157">
        <v>11.161436999999999</v>
      </c>
      <c r="D23" s="47">
        <f t="shared" si="0"/>
        <v>11.161436999999999</v>
      </c>
      <c r="E23" s="31"/>
      <c r="F23" s="157">
        <v>11.161436999999999</v>
      </c>
      <c r="G23" s="47">
        <f t="shared" si="1"/>
        <v>11.161436999999999</v>
      </c>
      <c r="H23" s="31"/>
      <c r="I23" s="157">
        <v>11.161436999999999</v>
      </c>
      <c r="J23" s="47">
        <f t="shared" si="2"/>
        <v>11.161436999999999</v>
      </c>
      <c r="K23" s="54"/>
      <c r="L23" s="47">
        <f t="shared" si="3"/>
        <v>11.161436999999999</v>
      </c>
      <c r="M23" s="133"/>
      <c r="N23" s="60">
        <f>L23*'Spectral Functions'!H21*'Spectral Functions'!D21</f>
        <v>2.5388289285601724</v>
      </c>
      <c r="O23" s="61">
        <f>'Spectral Functions'!H21*'Spectral Functions'!D21</f>
        <v>0.2274643425</v>
      </c>
      <c r="P23" s="61">
        <f>L23*'Spectral Functions'!H21*'Spectral Functions'!F21</f>
        <v>69.94964917629737</v>
      </c>
      <c r="Q23" s="62">
        <f>'Spectral Functions'!H21*'Spectral Functions'!F21</f>
        <v>6.2670827400000002</v>
      </c>
      <c r="R23" s="31"/>
      <c r="S23" s="60">
        <f>L23*'Spectral Functions'!I21*'Spectral Functions'!D21</f>
        <v>3.2333566845299999</v>
      </c>
      <c r="T23" s="61">
        <f>'Spectral Functions'!I21*'Spectral Functions'!D21</f>
        <v>0.28969</v>
      </c>
      <c r="U23" s="61">
        <f>L23*'Spectral Functions'!I21*'Spectral Functions'!F21</f>
        <v>89.085232644240008</v>
      </c>
      <c r="V23" s="62">
        <f>'Spectral Functions'!I21*'Spectral Functions'!F21</f>
        <v>7.9815200000000006</v>
      </c>
      <c r="W23" s="31"/>
      <c r="X23" s="60">
        <f>L23*'Spectral Functions'!J21*'Spectral Functions'!D21</f>
        <v>0.53773461796517408</v>
      </c>
      <c r="Y23" s="61">
        <f>'Spectral Functions'!J21*'Spectral Functions'!D21</f>
        <v>4.8177902000000009E-2</v>
      </c>
      <c r="Z23" s="61">
        <f>L23*'Spectral Functions'!J21*'Spectral Functions'!F21</f>
        <v>14.815629148335793</v>
      </c>
      <c r="AA23" s="62">
        <f>'Spectral Functions'!J21*'Spectral Functions'!F21</f>
        <v>1.3273944160000002</v>
      </c>
      <c r="AB23" s="31"/>
      <c r="AC23" s="60">
        <f>L23*'Spectral Functions'!K21*'Spectral Functions'!D21</f>
        <v>2.5000971516654</v>
      </c>
      <c r="AD23" s="61">
        <f>'Spectral Functions'!K21*'Spectral Functions'!D21</f>
        <v>0.2239942</v>
      </c>
      <c r="AE23" s="61">
        <f>L23*'Spectral Functions'!K21*'Spectral Functions'!F21</f>
        <v>68.882513783563198</v>
      </c>
      <c r="AF23" s="62">
        <f>'Spectral Functions'!K21*'Spectral Functions'!F21</f>
        <v>6.1714736000000006</v>
      </c>
      <c r="AG23" s="31"/>
    </row>
    <row r="24" spans="1:33">
      <c r="A24" s="42">
        <v>418</v>
      </c>
      <c r="B24" s="31"/>
      <c r="C24" s="157">
        <v>13.536184</v>
      </c>
      <c r="D24" s="47">
        <f t="shared" si="0"/>
        <v>13.536184</v>
      </c>
      <c r="E24" s="31"/>
      <c r="F24" s="157">
        <v>13.536184</v>
      </c>
      <c r="G24" s="47">
        <f t="shared" si="1"/>
        <v>13.536184</v>
      </c>
      <c r="H24" s="31"/>
      <c r="I24" s="157">
        <v>13.536184</v>
      </c>
      <c r="J24" s="47">
        <f t="shared" si="2"/>
        <v>13.536184</v>
      </c>
      <c r="K24" s="54"/>
      <c r="L24" s="47">
        <f t="shared" si="3"/>
        <v>13.536184</v>
      </c>
      <c r="M24" s="133"/>
      <c r="N24" s="60">
        <f>L24*'Spectral Functions'!H22*'Spectral Functions'!D22</f>
        <v>3.9269393872209313</v>
      </c>
      <c r="O24" s="61">
        <f>'Spectral Functions'!H22*'Spectral Functions'!D22</f>
        <v>0.2901068268</v>
      </c>
      <c r="P24" s="61">
        <f>L24*'Spectral Functions'!H22*'Spectral Functions'!F22</f>
        <v>103.4253567923614</v>
      </c>
      <c r="Q24" s="62">
        <f>'Spectral Functions'!H22*'Spectral Functions'!F22</f>
        <v>7.6406583119999993</v>
      </c>
      <c r="R24" s="31"/>
      <c r="S24" s="60">
        <f>L24*'Spectral Functions'!I22*'Spectral Functions'!D22</f>
        <v>6.0354325048160007</v>
      </c>
      <c r="T24" s="61">
        <f>'Spectral Functions'!I22*'Spectral Functions'!D22</f>
        <v>0.44587399999999999</v>
      </c>
      <c r="U24" s="61">
        <f>L24*'Spectral Functions'!I22*'Spectral Functions'!F22</f>
        <v>158.95757450144001</v>
      </c>
      <c r="V24" s="62">
        <f>'Spectral Functions'!I22*'Spectral Functions'!F22</f>
        <v>11.74316</v>
      </c>
      <c r="W24" s="31"/>
      <c r="X24" s="60">
        <f>L24*'Spectral Functions'!J22*'Spectral Functions'!D22</f>
        <v>0.85688791589005131</v>
      </c>
      <c r="Y24" s="61">
        <f>'Spectral Functions'!J22*'Spectral Functions'!D22</f>
        <v>6.3303506800000006E-2</v>
      </c>
      <c r="Z24" s="61">
        <f>L24*'Spectral Functions'!J22*'Spectral Functions'!F22</f>
        <v>22.568196168342208</v>
      </c>
      <c r="AA24" s="62">
        <f>'Spectral Functions'!J22*'Spectral Functions'!F22</f>
        <v>1.6672495120000002</v>
      </c>
      <c r="AB24" s="31"/>
      <c r="AC24" s="60">
        <f>L24*'Spectral Functions'!K22*'Spectral Functions'!D22</f>
        <v>3.9956251414750406</v>
      </c>
      <c r="AD24" s="61">
        <f>'Spectral Functions'!K22*'Spectral Functions'!D22</f>
        <v>0.29518106</v>
      </c>
      <c r="AE24" s="61">
        <f>L24*'Spectral Functions'!K22*'Spectral Functions'!F22</f>
        <v>105.23436068567361</v>
      </c>
      <c r="AF24" s="62">
        <f>'Spectral Functions'!K22*'Spectral Functions'!F22</f>
        <v>7.7743004000000004</v>
      </c>
      <c r="AG24" s="31"/>
    </row>
    <row r="25" spans="1:33">
      <c r="A25" s="42">
        <v>420</v>
      </c>
      <c r="B25" s="31"/>
      <c r="C25" s="157">
        <v>15.697711999999999</v>
      </c>
      <c r="D25" s="47">
        <f t="shared" si="0"/>
        <v>15.697711999999999</v>
      </c>
      <c r="E25" s="31"/>
      <c r="F25" s="157">
        <v>15.697711999999999</v>
      </c>
      <c r="G25" s="47">
        <f t="shared" si="1"/>
        <v>15.697711999999999</v>
      </c>
      <c r="H25" s="31"/>
      <c r="I25" s="157">
        <v>15.697711999999999</v>
      </c>
      <c r="J25" s="47">
        <f t="shared" si="2"/>
        <v>15.697711999999999</v>
      </c>
      <c r="K25" s="54"/>
      <c r="L25" s="47">
        <f t="shared" si="3"/>
        <v>15.697712000000001</v>
      </c>
      <c r="M25" s="133"/>
      <c r="N25" s="60">
        <f>L25*'Spectral Functions'!H23*'Spectral Functions'!D23</f>
        <v>5.8666619521663996</v>
      </c>
      <c r="O25" s="61">
        <f>'Spectral Functions'!H23*'Spectral Functions'!D23</f>
        <v>0.37372719999999998</v>
      </c>
      <c r="P25" s="61">
        <f>L25*'Spectral Functions'!H23*'Spectral Functions'!F23</f>
        <v>141.67988614481857</v>
      </c>
      <c r="Q25" s="62">
        <f>'Spectral Functions'!H23*'Spectral Functions'!F23</f>
        <v>9.0255118799999998</v>
      </c>
      <c r="R25" s="31"/>
      <c r="S25" s="60">
        <f>L25*'Spectral Functions'!I23*'Spectral Functions'!D23</f>
        <v>6.4046664960000008</v>
      </c>
      <c r="T25" s="61">
        <f>'Spectral Functions'!I23*'Spectral Functions'!D23</f>
        <v>0.40800000000000003</v>
      </c>
      <c r="U25" s="61">
        <f>L25*'Spectral Functions'!I23*'Spectral Functions'!F23</f>
        <v>154.67269587840002</v>
      </c>
      <c r="V25" s="62">
        <f>'Spectral Functions'!I23*'Spectral Functions'!F23</f>
        <v>9.8532000000000011</v>
      </c>
      <c r="W25" s="31"/>
      <c r="X25" s="60">
        <f>L25*'Spectral Functions'!J23*'Spectral Functions'!D23</f>
        <v>1.31829385376</v>
      </c>
      <c r="Y25" s="61">
        <f>'Spectral Functions'!J23*'Spectral Functions'!D23</f>
        <v>8.3979999999999999E-2</v>
      </c>
      <c r="Z25" s="61">
        <f>L25*'Spectral Functions'!J23*'Spectral Functions'!F23</f>
        <v>31.836796568304003</v>
      </c>
      <c r="AA25" s="62">
        <f>'Spectral Functions'!J23*'Spectral Functions'!F23</f>
        <v>2.0281170000000004</v>
      </c>
      <c r="AB25" s="31"/>
      <c r="AC25" s="60">
        <f>L25*'Spectral Functions'!K23*'Spectral Functions'!D23</f>
        <v>6.1597821888000004</v>
      </c>
      <c r="AD25" s="61">
        <f>'Spectral Functions'!K23*'Spectral Functions'!D23</f>
        <v>0.39239999999999997</v>
      </c>
      <c r="AE25" s="61">
        <f>L25*'Spectral Functions'!K23*'Spectral Functions'!F23</f>
        <v>148.75873985952001</v>
      </c>
      <c r="AF25" s="62">
        <f>'Spectral Functions'!K23*'Spectral Functions'!F23</f>
        <v>9.4764599999999994</v>
      </c>
      <c r="AG25" s="31"/>
    </row>
    <row r="26" spans="1:33">
      <c r="A26" s="42">
        <v>422</v>
      </c>
      <c r="B26" s="31"/>
      <c r="C26" s="157">
        <v>17.708372000000001</v>
      </c>
      <c r="D26" s="47">
        <f t="shared" si="0"/>
        <v>17.708372000000001</v>
      </c>
      <c r="E26" s="31"/>
      <c r="F26" s="157">
        <v>17.708372000000001</v>
      </c>
      <c r="G26" s="47">
        <f t="shared" si="1"/>
        <v>17.708372000000001</v>
      </c>
      <c r="H26" s="31"/>
      <c r="I26" s="157">
        <v>17.708372000000001</v>
      </c>
      <c r="J26" s="47">
        <f t="shared" si="2"/>
        <v>17.708372000000001</v>
      </c>
      <c r="K26" s="54"/>
      <c r="L26" s="47">
        <f t="shared" si="3"/>
        <v>17.708372000000001</v>
      </c>
      <c r="M26" s="133"/>
      <c r="N26" s="60">
        <f>L26*'Spectral Functions'!H24*'Spectral Functions'!D24</f>
        <v>8.4123713641410234</v>
      </c>
      <c r="O26" s="61">
        <f>'Spectral Functions'!H24*'Spectral Functions'!D24</f>
        <v>0.47505052210000004</v>
      </c>
      <c r="P26" s="61">
        <f>L26*'Spectral Functions'!H24*'Spectral Functions'!F24</f>
        <v>188.17361027754873</v>
      </c>
      <c r="Q26" s="62">
        <f>'Spectral Functions'!H24*'Spectral Functions'!F24</f>
        <v>10.62625126</v>
      </c>
      <c r="R26" s="31"/>
      <c r="S26" s="60">
        <f>L26*'Spectral Functions'!I24*'Spectral Functions'!D24</f>
        <v>6.0295944157680008</v>
      </c>
      <c r="T26" s="61">
        <f>'Spectral Functions'!I24*'Spectral Functions'!D24</f>
        <v>0.34049400000000002</v>
      </c>
      <c r="U26" s="61">
        <f>L26*'Spectral Functions'!I24*'Spectral Functions'!F24</f>
        <v>134.87404450080001</v>
      </c>
      <c r="V26" s="62">
        <f>'Spectral Functions'!I24*'Spectral Functions'!F24</f>
        <v>7.6164000000000005</v>
      </c>
      <c r="W26" s="31"/>
      <c r="X26" s="60">
        <f>L26*'Spectral Functions'!J24*'Spectral Functions'!D24</f>
        <v>1.9826037298974368</v>
      </c>
      <c r="Y26" s="61">
        <f>'Spectral Functions'!J24*'Spectral Functions'!D24</f>
        <v>0.11195855440000001</v>
      </c>
      <c r="Z26" s="61">
        <f>L26*'Spectral Functions'!J24*'Spectral Functions'!F24</f>
        <v>44.348220668766082</v>
      </c>
      <c r="AA26" s="62">
        <f>'Spectral Functions'!J24*'Spectral Functions'!F24</f>
        <v>2.5043646399999999</v>
      </c>
      <c r="AB26" s="31"/>
      <c r="AC26" s="60">
        <f>L26*'Spectral Functions'!K24*'Spectral Functions'!D24</f>
        <v>9.2435509543546424</v>
      </c>
      <c r="AD26" s="61">
        <f>'Spectral Functions'!K24*'Spectral Functions'!D24</f>
        <v>0.5219876200000001</v>
      </c>
      <c r="AE26" s="61">
        <f>L26*'Spectral Functions'!K24*'Spectral Functions'!F24</f>
        <v>206.76599731198405</v>
      </c>
      <c r="AF26" s="62">
        <f>'Spectral Functions'!K24*'Spectral Functions'!F24</f>
        <v>11.676172000000001</v>
      </c>
      <c r="AG26" s="31"/>
    </row>
    <row r="27" spans="1:33">
      <c r="A27" s="42">
        <v>424</v>
      </c>
      <c r="B27" s="31"/>
      <c r="C27" s="157">
        <v>19.464821000000001</v>
      </c>
      <c r="D27" s="47">
        <f t="shared" si="0"/>
        <v>19.464821000000001</v>
      </c>
      <c r="E27" s="31"/>
      <c r="F27" s="157">
        <v>19.464821000000001</v>
      </c>
      <c r="G27" s="47">
        <f t="shared" si="1"/>
        <v>19.464821000000001</v>
      </c>
      <c r="H27" s="31"/>
      <c r="I27" s="157">
        <v>19.464821000000001</v>
      </c>
      <c r="J27" s="47">
        <f t="shared" si="2"/>
        <v>19.464821000000001</v>
      </c>
      <c r="K27" s="54"/>
      <c r="L27" s="47">
        <f t="shared" si="3"/>
        <v>19.464821000000001</v>
      </c>
      <c r="M27" s="133"/>
      <c r="N27" s="60">
        <f>L27*'Spectral Functions'!H25*'Spectral Functions'!D25</f>
        <v>11.56077368171071</v>
      </c>
      <c r="O27" s="61">
        <f>'Spectral Functions'!H25*'Spectral Functions'!D25</f>
        <v>0.59393167199999997</v>
      </c>
      <c r="P27" s="61">
        <f>L27*'Spectral Functions'!H25*'Spectral Functions'!F25</f>
        <v>237.0082230500424</v>
      </c>
      <c r="Q27" s="62">
        <f>'Spectral Functions'!H25*'Spectral Functions'!F25</f>
        <v>12.176234400000002</v>
      </c>
      <c r="R27" s="31"/>
      <c r="S27" s="60">
        <f>L27*'Spectral Functions'!I25*'Spectral Functions'!D25</f>
        <v>3.6950848297140002</v>
      </c>
      <c r="T27" s="61">
        <f>'Spectral Functions'!I25*'Spectral Functions'!D25</f>
        <v>0.189834</v>
      </c>
      <c r="U27" s="61">
        <f>L27*'Spectral Functions'!I25*'Spectral Functions'!F25</f>
        <v>75.753190367800016</v>
      </c>
      <c r="V27" s="62">
        <f>'Spectral Functions'!I25*'Spectral Functions'!F25</f>
        <v>3.8918000000000004</v>
      </c>
      <c r="W27" s="31"/>
      <c r="X27" s="60">
        <f>L27*'Spectral Functions'!J25*'Spectral Functions'!D25</f>
        <v>2.8570013653193849</v>
      </c>
      <c r="Y27" s="61">
        <f>'Spectral Functions'!J25*'Spectral Functions'!D25</f>
        <v>0.14677768499999999</v>
      </c>
      <c r="Z27" s="61">
        <f>L27*'Spectral Functions'!J25*'Spectral Functions'!F25</f>
        <v>58.571583138689505</v>
      </c>
      <c r="AA27" s="62">
        <f>'Spectral Functions'!J25*'Spectral Functions'!F25</f>
        <v>3.0090995</v>
      </c>
      <c r="AB27" s="31"/>
      <c r="AC27" s="60">
        <f>L27*'Spectral Functions'!K25*'Spectral Functions'!D25</f>
        <v>13.284467046413161</v>
      </c>
      <c r="AD27" s="61">
        <f>'Spectral Functions'!K25*'Spectral Functions'!D25</f>
        <v>0.68248596000000006</v>
      </c>
      <c r="AE27" s="61">
        <f>L27*'Spectral Functions'!K25*'Spectral Functions'!F25</f>
        <v>272.34578026713206</v>
      </c>
      <c r="AF27" s="62">
        <f>'Spectral Functions'!K25*'Spectral Functions'!F25</f>
        <v>13.991692000000002</v>
      </c>
      <c r="AG27" s="31"/>
    </row>
    <row r="28" spans="1:33">
      <c r="A28" s="42">
        <v>426</v>
      </c>
      <c r="B28" s="31"/>
      <c r="C28" s="157">
        <v>20.642118</v>
      </c>
      <c r="D28" s="47">
        <f t="shared" si="0"/>
        <v>20.642118</v>
      </c>
      <c r="E28" s="31"/>
      <c r="F28" s="157">
        <v>20.642118</v>
      </c>
      <c r="G28" s="47">
        <f t="shared" si="1"/>
        <v>20.642118</v>
      </c>
      <c r="H28" s="31"/>
      <c r="I28" s="157">
        <v>20.642118</v>
      </c>
      <c r="J28" s="47">
        <f t="shared" si="2"/>
        <v>20.642118</v>
      </c>
      <c r="K28" s="54"/>
      <c r="L28" s="47">
        <f t="shared" si="3"/>
        <v>20.642118</v>
      </c>
      <c r="M28" s="133"/>
      <c r="N28" s="60">
        <f>L28*'Spectral Functions'!H26*'Spectral Functions'!D26</f>
        <v>14.920804961712438</v>
      </c>
      <c r="O28" s="61">
        <f>'Spectral Functions'!H26*'Spectral Functions'!D26</f>
        <v>0.72283304270000004</v>
      </c>
      <c r="P28" s="61">
        <f>L28*'Spectral Functions'!H26*'Spectral Functions'!F26</f>
        <v>285.68535183276293</v>
      </c>
      <c r="Q28" s="62">
        <f>'Spectral Functions'!H26*'Spectral Functions'!F26</f>
        <v>13.839924364</v>
      </c>
      <c r="R28" s="31"/>
      <c r="S28" s="60">
        <f>L28*'Spectral Functions'!I26*'Spectral Functions'!D26</f>
        <v>1.6693280826600001</v>
      </c>
      <c r="T28" s="61">
        <f>'Spectral Functions'!I26*'Spectral Functions'!D26</f>
        <v>8.0869999999999997E-2</v>
      </c>
      <c r="U28" s="61">
        <f>L28*'Spectral Functions'!I26*'Spectral Functions'!F26</f>
        <v>31.962255511199999</v>
      </c>
      <c r="V28" s="62">
        <f>'Spectral Functions'!I26*'Spectral Functions'!F26</f>
        <v>1.5484</v>
      </c>
      <c r="W28" s="31"/>
      <c r="X28" s="60">
        <f>L28*'Spectral Functions'!J26*'Spectral Functions'!D26</f>
        <v>3.8657798939815482</v>
      </c>
      <c r="Y28" s="61">
        <f>'Spectral Functions'!J26*'Spectral Functions'!D26</f>
        <v>0.18727631989999999</v>
      </c>
      <c r="Z28" s="61">
        <f>L28*'Spectral Functions'!J26*'Spectral Functions'!F26</f>
        <v>74.017232445171615</v>
      </c>
      <c r="AA28" s="62">
        <f>'Spectral Functions'!J26*'Spectral Functions'!F26</f>
        <v>3.5857382680000001</v>
      </c>
      <c r="AB28" s="31"/>
      <c r="AC28" s="60">
        <f>L28*'Spectral Functions'!K26*'Spectral Functions'!D26</f>
        <v>17.881842421453921</v>
      </c>
      <c r="AD28" s="61">
        <f>'Spectral Functions'!K26*'Spectral Functions'!D26</f>
        <v>0.86627944000000012</v>
      </c>
      <c r="AE28" s="61">
        <f>L28*'Spectral Functions'!K26*'Spectral Functions'!F26</f>
        <v>342.37968103597444</v>
      </c>
      <c r="AF28" s="62">
        <f>'Spectral Functions'!K26*'Spectral Functions'!F26</f>
        <v>16.586460800000001</v>
      </c>
      <c r="AG28" s="31"/>
    </row>
    <row r="29" spans="1:33">
      <c r="A29" s="42">
        <v>428</v>
      </c>
      <c r="B29" s="31"/>
      <c r="C29" s="157">
        <v>21.560465000000001</v>
      </c>
      <c r="D29" s="47">
        <f t="shared" si="0"/>
        <v>21.560465000000001</v>
      </c>
      <c r="E29" s="31"/>
      <c r="F29" s="157">
        <v>21.560465000000001</v>
      </c>
      <c r="G29" s="47">
        <f t="shared" si="1"/>
        <v>21.560465000000001</v>
      </c>
      <c r="H29" s="31"/>
      <c r="I29" s="157">
        <v>21.560465000000001</v>
      </c>
      <c r="J29" s="47">
        <f t="shared" si="2"/>
        <v>21.560465000000001</v>
      </c>
      <c r="K29" s="54"/>
      <c r="L29" s="47">
        <f t="shared" si="3"/>
        <v>21.560465000000004</v>
      </c>
      <c r="M29" s="133"/>
      <c r="N29" s="60">
        <f>L29*'Spectral Functions'!H27*'Spectral Functions'!D27</f>
        <v>18.539812150992269</v>
      </c>
      <c r="O29" s="61">
        <f>'Spectral Functions'!H27*'Spectral Functions'!D27</f>
        <v>0.85989852960000013</v>
      </c>
      <c r="P29" s="61">
        <f>L29*'Spectral Functions'!H27*'Spectral Functions'!F27</f>
        <v>336.55604940765244</v>
      </c>
      <c r="Q29" s="62">
        <f>'Spectral Functions'!H27*'Spectral Functions'!F27</f>
        <v>15.609869704000001</v>
      </c>
      <c r="R29" s="31"/>
      <c r="S29" s="60">
        <f>L29*'Spectral Functions'!I27*'Spectral Functions'!D27</f>
        <v>1.8954235990800004</v>
      </c>
      <c r="T29" s="61">
        <f>'Spectral Functions'!I27*'Spectral Functions'!D27</f>
        <v>8.7912000000000004E-2</v>
      </c>
      <c r="U29" s="61">
        <f>L29*'Spectral Functions'!I27*'Spectral Functions'!F27</f>
        <v>34.407914884200004</v>
      </c>
      <c r="V29" s="62">
        <f>'Spectral Functions'!I27*'Spectral Functions'!F27</f>
        <v>1.59588</v>
      </c>
      <c r="W29" s="31"/>
      <c r="X29" s="60">
        <f>L29*'Spectral Functions'!J27*'Spectral Functions'!D27</f>
        <v>5.0349190075472654</v>
      </c>
      <c r="Y29" s="61">
        <f>'Spectral Functions'!J27*'Spectral Functions'!D27</f>
        <v>0.2335255296</v>
      </c>
      <c r="Z29" s="61">
        <f>L29*'Spectral Functions'!J27*'Spectral Functions'!F27</f>
        <v>91.399655857727382</v>
      </c>
      <c r="AA29" s="62">
        <f>'Spectral Functions'!J27*'Spectral Functions'!F27</f>
        <v>4.2392247039999997</v>
      </c>
      <c r="AB29" s="31"/>
      <c r="AC29" s="60">
        <f>L29*'Spectral Functions'!K27*'Spectral Functions'!D27</f>
        <v>23.115743803891206</v>
      </c>
      <c r="AD29" s="61">
        <f>'Spectral Functions'!K27*'Spectral Functions'!D27</f>
        <v>1.0721356800000001</v>
      </c>
      <c r="AE29" s="61">
        <f>L29*'Spectral Functions'!K27*'Spectral Functions'!F27</f>
        <v>419.62363752108809</v>
      </c>
      <c r="AF29" s="62">
        <f>'Spectral Functions'!K27*'Spectral Functions'!F27</f>
        <v>19.462643200000002</v>
      </c>
      <c r="AG29" s="31"/>
    </row>
    <row r="30" spans="1:33">
      <c r="A30" s="42">
        <v>430</v>
      </c>
      <c r="B30" s="31"/>
      <c r="C30" s="157">
        <v>22.472481999999999</v>
      </c>
      <c r="D30" s="47">
        <f t="shared" si="0"/>
        <v>22.472481999999999</v>
      </c>
      <c r="E30" s="31"/>
      <c r="F30" s="157">
        <v>22.472481999999999</v>
      </c>
      <c r="G30" s="47">
        <f t="shared" si="1"/>
        <v>22.472481999999999</v>
      </c>
      <c r="H30" s="31"/>
      <c r="I30" s="157">
        <v>22.472481999999999</v>
      </c>
      <c r="J30" s="47">
        <f t="shared" si="2"/>
        <v>22.472481999999999</v>
      </c>
      <c r="K30" s="54"/>
      <c r="L30" s="47">
        <f t="shared" si="3"/>
        <v>22.472481999999999</v>
      </c>
      <c r="M30" s="133"/>
      <c r="N30" s="60">
        <f>L30*'Spectral Functions'!H28*'Spectral Functions'!D28</f>
        <v>22.596410547035756</v>
      </c>
      <c r="O30" s="61">
        <f>'Spectral Functions'!H28*'Spectral Functions'!D28</f>
        <v>1.0055146799999999</v>
      </c>
      <c r="P30" s="61">
        <f>L30*'Spectral Functions'!H28*'Spectral Functions'!F28</f>
        <v>389.20369200842623</v>
      </c>
      <c r="Q30" s="62">
        <f>'Spectral Functions'!H28*'Spectral Functions'!F28</f>
        <v>17.31912354</v>
      </c>
      <c r="R30" s="31"/>
      <c r="S30" s="60">
        <f>L30*'Spectral Functions'!I28*'Spectral Functions'!D28</f>
        <v>1.8247655383999997</v>
      </c>
      <c r="T30" s="61">
        <f>'Spectral Functions'!I28*'Spectral Functions'!D28</f>
        <v>8.1199999999999994E-2</v>
      </c>
      <c r="U30" s="61">
        <f>L30*'Spectral Functions'!I28*'Spectral Functions'!F28</f>
        <v>31.430013325199997</v>
      </c>
      <c r="V30" s="62">
        <f>'Spectral Functions'!I28*'Spectral Functions'!F28</f>
        <v>1.3986000000000001</v>
      </c>
      <c r="W30" s="31"/>
      <c r="X30" s="60">
        <f>L30*'Spectral Functions'!J28*'Spectral Functions'!D28</f>
        <v>6.4312297316160789</v>
      </c>
      <c r="Y30" s="61">
        <f>'Spectral Functions'!J28*'Spectral Functions'!D28</f>
        <v>0.28618243999999998</v>
      </c>
      <c r="Z30" s="61">
        <f>L30*'Spectral Functions'!J28*'Spectral Functions'!F28</f>
        <v>110.77238796352523</v>
      </c>
      <c r="AA30" s="62">
        <f>'Spectral Functions'!J28*'Spectral Functions'!F28</f>
        <v>4.9292458200000002</v>
      </c>
      <c r="AB30" s="31"/>
      <c r="AC30" s="60">
        <f>L30*'Spectral Functions'!K28*'Spectral Functions'!D28</f>
        <v>29.300520930879998</v>
      </c>
      <c r="AD30" s="61">
        <f>'Spectral Functions'!K28*'Spectral Functions'!D28</f>
        <v>1.3038399999999999</v>
      </c>
      <c r="AE30" s="61">
        <f>L30*'Spectral Functions'!K28*'Spectral Functions'!F28</f>
        <v>504.67621396464</v>
      </c>
      <c r="AF30" s="62">
        <f>'Spectral Functions'!K28*'Spectral Functions'!F28</f>
        <v>22.457520000000002</v>
      </c>
      <c r="AG30" s="31"/>
    </row>
    <row r="31" spans="1:33">
      <c r="A31" s="42">
        <v>432</v>
      </c>
      <c r="B31" s="31"/>
      <c r="C31" s="157">
        <v>23.302347999999999</v>
      </c>
      <c r="D31" s="47">
        <f t="shared" si="0"/>
        <v>23.302347999999999</v>
      </c>
      <c r="E31" s="31"/>
      <c r="F31" s="157">
        <v>23.302347999999999</v>
      </c>
      <c r="G31" s="47">
        <f t="shared" si="1"/>
        <v>23.302347999999999</v>
      </c>
      <c r="H31" s="31"/>
      <c r="I31" s="157">
        <v>23.302347999999999</v>
      </c>
      <c r="J31" s="47">
        <f t="shared" si="2"/>
        <v>23.302347999999999</v>
      </c>
      <c r="K31" s="54"/>
      <c r="L31" s="47">
        <f t="shared" si="3"/>
        <v>23.302347999999999</v>
      </c>
      <c r="M31" s="133"/>
      <c r="N31" s="60">
        <f>L31*'Spectral Functions'!H29*'Spectral Functions'!D29</f>
        <v>28.587326594331419</v>
      </c>
      <c r="O31" s="61">
        <f>'Spectral Functions'!H29*'Spectral Functions'!D29</f>
        <v>1.2268002603999999</v>
      </c>
      <c r="P31" s="61">
        <f>L31*'Spectral Functions'!H29*'Spectral Functions'!F29</f>
        <v>473.29146760901489</v>
      </c>
      <c r="Q31" s="62">
        <f>'Spectral Functions'!H29*'Spectral Functions'!F29</f>
        <v>20.310891743999999</v>
      </c>
      <c r="R31" s="31"/>
      <c r="S31" s="60">
        <f>L31*'Spectral Functions'!I29*'Spectral Functions'!D29</f>
        <v>6.3303158576799996</v>
      </c>
      <c r="T31" s="61">
        <f>'Spectral Functions'!I29*'Spectral Functions'!D29</f>
        <v>0.27166000000000001</v>
      </c>
      <c r="U31" s="61">
        <f>L31*'Spectral Functions'!I29*'Spectral Functions'!F29</f>
        <v>104.80464036479999</v>
      </c>
      <c r="V31" s="62">
        <f>'Spectral Functions'!I29*'Spectral Functions'!F29</f>
        <v>4.4976000000000003</v>
      </c>
      <c r="W31" s="31"/>
      <c r="X31" s="60">
        <f>L31*'Spectral Functions'!J29*'Spectral Functions'!D29</f>
        <v>8.0549787615256268</v>
      </c>
      <c r="Y31" s="61">
        <f>'Spectral Functions'!J29*'Spectral Functions'!D29</f>
        <v>0.34567240869999999</v>
      </c>
      <c r="Z31" s="61">
        <f>L31*'Spectral Functions'!J29*'Spectral Functions'!F29</f>
        <v>133.35814060898792</v>
      </c>
      <c r="AA31" s="62">
        <f>'Spectral Functions'!J29*'Spectral Functions'!F29</f>
        <v>5.7229486319999996</v>
      </c>
      <c r="AB31" s="31"/>
      <c r="AC31" s="60">
        <f>L31*'Spectral Functions'!K29*'Spectral Functions'!D29</f>
        <v>36.253718916933359</v>
      </c>
      <c r="AD31" s="61">
        <f>'Spectral Functions'!K29*'Spectral Functions'!D29</f>
        <v>1.5557968200000001</v>
      </c>
      <c r="AE31" s="61">
        <f>L31*'Spectral Functions'!K29*'Spectral Functions'!F29</f>
        <v>600.21617536920962</v>
      </c>
      <c r="AF31" s="62">
        <f>'Spectral Functions'!K29*'Spectral Functions'!F29</f>
        <v>25.757755200000002</v>
      </c>
      <c r="AG31" s="31"/>
    </row>
    <row r="32" spans="1:33">
      <c r="A32" s="42">
        <v>434</v>
      </c>
      <c r="B32" s="31"/>
      <c r="C32" s="157">
        <v>23.731107000000002</v>
      </c>
      <c r="D32" s="47">
        <f t="shared" si="0"/>
        <v>23.731107000000002</v>
      </c>
      <c r="E32" s="31"/>
      <c r="F32" s="157">
        <v>23.731107000000002</v>
      </c>
      <c r="G32" s="47">
        <f t="shared" si="1"/>
        <v>23.731107000000002</v>
      </c>
      <c r="H32" s="31"/>
      <c r="I32" s="157">
        <v>23.731107000000002</v>
      </c>
      <c r="J32" s="47">
        <f t="shared" si="2"/>
        <v>23.731107000000002</v>
      </c>
      <c r="K32" s="54"/>
      <c r="L32" s="47">
        <f t="shared" si="3"/>
        <v>23.731106999999998</v>
      </c>
      <c r="M32" s="133"/>
      <c r="N32" s="60">
        <f>L32*'Spectral Functions'!H30*'Spectral Functions'!D30</f>
        <v>35.039158406181222</v>
      </c>
      <c r="O32" s="61">
        <f>'Spectral Functions'!H30*'Spectral Functions'!D30</f>
        <v>1.4765075394999998</v>
      </c>
      <c r="P32" s="61">
        <f>L32*'Spectral Functions'!H30*'Spectral Functions'!F30</f>
        <v>557.3266328481742</v>
      </c>
      <c r="Q32" s="62">
        <f>'Spectral Functions'!H30*'Spectral Functions'!F30</f>
        <v>23.485066787999997</v>
      </c>
      <c r="R32" s="31"/>
      <c r="S32" s="60">
        <f>L32*'Spectral Functions'!I30*'Spectral Functions'!D30</f>
        <v>12.306833434664998</v>
      </c>
      <c r="T32" s="61">
        <f>'Spectral Functions'!I30*'Spectral Functions'!D30</f>
        <v>0.51859500000000003</v>
      </c>
      <c r="U32" s="61">
        <f>L32*'Spectral Functions'!I30*'Spectral Functions'!F30</f>
        <v>195.75030768875996</v>
      </c>
      <c r="V32" s="62">
        <f>'Spectral Functions'!I30*'Spectral Functions'!F30</f>
        <v>8.2486800000000002</v>
      </c>
      <c r="W32" s="31"/>
      <c r="X32" s="60">
        <f>L32*'Spectral Functions'!J30*'Spectral Functions'!D30</f>
        <v>9.7862074800723544</v>
      </c>
      <c r="Y32" s="61">
        <f>'Spectral Functions'!J30*'Spectral Functions'!D30</f>
        <v>0.41237888649999999</v>
      </c>
      <c r="Z32" s="61">
        <f>L32*'Spectral Functions'!J30*'Spectral Functions'!F30</f>
        <v>155.65767876034909</v>
      </c>
      <c r="AA32" s="62">
        <f>'Spectral Functions'!J30*'Spectral Functions'!F30</f>
        <v>6.5592253559999998</v>
      </c>
      <c r="AB32" s="31"/>
      <c r="AC32" s="60">
        <f>L32*'Spectral Functions'!K30*'Spectral Functions'!D30</f>
        <v>43.513979550203395</v>
      </c>
      <c r="AD32" s="61">
        <f>'Spectral Functions'!K30*'Spectral Functions'!D30</f>
        <v>1.8336262000000001</v>
      </c>
      <c r="AE32" s="61">
        <f>L32*'Spectral Functions'!K30*'Spectral Functions'!F30</f>
        <v>692.12563336740948</v>
      </c>
      <c r="AF32" s="62">
        <f>'Spectral Functions'!K30*'Spectral Functions'!F30</f>
        <v>29.165332800000002</v>
      </c>
      <c r="AG32" s="31"/>
    </row>
    <row r="33" spans="1:33">
      <c r="A33" s="42">
        <v>436</v>
      </c>
      <c r="B33" s="31"/>
      <c r="C33" s="157">
        <v>24.009360000000001</v>
      </c>
      <c r="D33" s="47">
        <f t="shared" si="0"/>
        <v>24.009360000000001</v>
      </c>
      <c r="E33" s="31"/>
      <c r="F33" s="157">
        <v>24.009360000000001</v>
      </c>
      <c r="G33" s="47">
        <f t="shared" si="1"/>
        <v>24.009360000000001</v>
      </c>
      <c r="H33" s="31"/>
      <c r="I33" s="157">
        <v>24.009360000000001</v>
      </c>
      <c r="J33" s="47">
        <f t="shared" si="2"/>
        <v>24.009360000000001</v>
      </c>
      <c r="K33" s="54"/>
      <c r="L33" s="47">
        <f t="shared" si="3"/>
        <v>24.009360000000001</v>
      </c>
      <c r="M33" s="133"/>
      <c r="N33" s="60">
        <f>L33*'Spectral Functions'!H31*'Spectral Functions'!D31</f>
        <v>42.192544916733283</v>
      </c>
      <c r="O33" s="61">
        <f>'Spectral Functions'!H31*'Spectral Functions'!D31</f>
        <v>1.7573373432999997</v>
      </c>
      <c r="P33" s="61">
        <f>L33*'Spectral Functions'!H31*'Spectral Functions'!F31</f>
        <v>645.81047536791402</v>
      </c>
      <c r="Q33" s="62">
        <f>'Spectral Functions'!H31*'Spectral Functions'!F31</f>
        <v>26.898279477999996</v>
      </c>
      <c r="R33" s="31"/>
      <c r="S33" s="60">
        <f>L33*'Spectral Functions'!I31*'Spectral Functions'!D31</f>
        <v>20.752154184959998</v>
      </c>
      <c r="T33" s="61">
        <f>'Spectral Functions'!I31*'Spectral Functions'!D31</f>
        <v>0.86433599999999999</v>
      </c>
      <c r="U33" s="61">
        <f>L33*'Spectral Functions'!I31*'Spectral Functions'!F31</f>
        <v>317.63807055359996</v>
      </c>
      <c r="V33" s="62">
        <f>'Spectral Functions'!I31*'Spectral Functions'!F31</f>
        <v>13.229759999999999</v>
      </c>
      <c r="W33" s="31"/>
      <c r="X33" s="60">
        <f>L33*'Spectral Functions'!J31*'Spectral Functions'!D31</f>
        <v>11.693622714952198</v>
      </c>
      <c r="Y33" s="61">
        <f>'Spectral Functions'!J31*'Spectral Functions'!D31</f>
        <v>0.48704433249999995</v>
      </c>
      <c r="Z33" s="61">
        <f>L33*'Spectral Functions'!J31*'Spectral Functions'!F31</f>
        <v>178.98574402705196</v>
      </c>
      <c r="AA33" s="62">
        <f>'Spectral Functions'!J31*'Spectral Functions'!F31</f>
        <v>7.4548319499999991</v>
      </c>
      <c r="AB33" s="31"/>
      <c r="AC33" s="60">
        <f>L33*'Spectral Functions'!K31*'Spectral Functions'!D31</f>
        <v>51.231880644119997</v>
      </c>
      <c r="AD33" s="61">
        <f>'Spectral Functions'!K31*'Spectral Functions'!D31</f>
        <v>2.1338295</v>
      </c>
      <c r="AE33" s="61">
        <f>L33*'Spectral Functions'!K31*'Spectral Functions'!F31</f>
        <v>784.16898667919997</v>
      </c>
      <c r="AF33" s="62">
        <f>'Spectral Functions'!K31*'Spectral Functions'!F31</f>
        <v>32.660969999999999</v>
      </c>
      <c r="AG33" s="31"/>
    </row>
    <row r="34" spans="1:33">
      <c r="A34" s="42">
        <v>438</v>
      </c>
      <c r="B34" s="31"/>
      <c r="C34" s="157">
        <v>24.323831999999999</v>
      </c>
      <c r="D34" s="47">
        <f t="shared" si="0"/>
        <v>24.323831999999999</v>
      </c>
      <c r="E34" s="31"/>
      <c r="F34" s="157">
        <v>24.323831999999999</v>
      </c>
      <c r="G34" s="47">
        <f t="shared" si="1"/>
        <v>24.323831999999999</v>
      </c>
      <c r="H34" s="31"/>
      <c r="I34" s="157">
        <v>24.323831999999999</v>
      </c>
      <c r="J34" s="47">
        <f t="shared" si="2"/>
        <v>24.323831999999999</v>
      </c>
      <c r="K34" s="54"/>
      <c r="L34" s="47">
        <f t="shared" si="3"/>
        <v>24.323831999999999</v>
      </c>
      <c r="M34" s="133"/>
      <c r="N34" s="60">
        <f>L34*'Spectral Functions'!H32*'Spectral Functions'!D32</f>
        <v>50.362920114945979</v>
      </c>
      <c r="O34" s="61">
        <f>'Spectral Functions'!H32*'Spectral Functions'!D32</f>
        <v>2.0705175119999999</v>
      </c>
      <c r="P34" s="61">
        <f>L34*'Spectral Functions'!H32*'Spectral Functions'!F32</f>
        <v>743.25565003899453</v>
      </c>
      <c r="Q34" s="62">
        <f>'Spectral Functions'!H32*'Spectral Functions'!F32</f>
        <v>30.55668408</v>
      </c>
      <c r="R34" s="31"/>
      <c r="S34" s="60">
        <f>L34*'Spectral Functions'!I32*'Spectral Functions'!D32</f>
        <v>32.836297542048001</v>
      </c>
      <c r="T34" s="61">
        <f>'Spectral Functions'!I32*'Spectral Functions'!D32</f>
        <v>1.3499639999999999</v>
      </c>
      <c r="U34" s="61">
        <f>L34*'Spectral Functions'!I32*'Spectral Functions'!F32</f>
        <v>484.59786721632003</v>
      </c>
      <c r="V34" s="62">
        <f>'Spectral Functions'!I32*'Spectral Functions'!F32</f>
        <v>19.92276</v>
      </c>
      <c r="W34" s="31"/>
      <c r="X34" s="60">
        <f>L34*'Spectral Functions'!J32*'Spectral Functions'!D32</f>
        <v>13.864927629265877</v>
      </c>
      <c r="Y34" s="61">
        <f>'Spectral Functions'!J32*'Spectral Functions'!D32</f>
        <v>0.57001411739999996</v>
      </c>
      <c r="Z34" s="61">
        <f>L34*'Spectral Functions'!J32*'Spectral Functions'!F32</f>
        <v>204.6185124753201</v>
      </c>
      <c r="AA34" s="62">
        <f>'Spectral Functions'!J32*'Spectral Functions'!F32</f>
        <v>8.4122646660000004</v>
      </c>
      <c r="AB34" s="31"/>
      <c r="AC34" s="60">
        <f>L34*'Spectral Functions'!K32*'Spectral Functions'!D32</f>
        <v>59.702359167360001</v>
      </c>
      <c r="AD34" s="61">
        <f>'Spectral Functions'!K32*'Spectral Functions'!D32</f>
        <v>2.4544800000000002</v>
      </c>
      <c r="AE34" s="61">
        <f>L34*'Spectral Functions'!K32*'Spectral Functions'!F32</f>
        <v>881.08703130240008</v>
      </c>
      <c r="AF34" s="62">
        <f>'Spectral Functions'!K32*'Spectral Functions'!F32</f>
        <v>36.223200000000006</v>
      </c>
      <c r="AG34" s="31"/>
    </row>
    <row r="35" spans="1:33">
      <c r="A35" s="42">
        <v>440</v>
      </c>
      <c r="B35" s="31"/>
      <c r="C35" s="157">
        <v>24.256630999999999</v>
      </c>
      <c r="D35" s="47">
        <f t="shared" si="0"/>
        <v>24.256630999999999</v>
      </c>
      <c r="E35" s="31"/>
      <c r="F35" s="157">
        <v>24.256630999999999</v>
      </c>
      <c r="G35" s="47">
        <f t="shared" si="1"/>
        <v>24.256630999999999</v>
      </c>
      <c r="H35" s="31"/>
      <c r="I35" s="157">
        <v>24.256630999999999</v>
      </c>
      <c r="J35" s="47">
        <f t="shared" si="2"/>
        <v>24.256630999999999</v>
      </c>
      <c r="K35" s="54"/>
      <c r="L35" s="47">
        <f t="shared" si="3"/>
        <v>24.256630999999999</v>
      </c>
      <c r="M35" s="133"/>
      <c r="N35" s="60">
        <f>L35*'Spectral Functions'!H33*'Spectral Functions'!D33</f>
        <v>58.504447025744987</v>
      </c>
      <c r="O35" s="61">
        <f>'Spectral Functions'!H33*'Spectral Functions'!D33</f>
        <v>2.4118949999999999</v>
      </c>
      <c r="P35" s="61">
        <f>L35*'Spectral Functions'!H33*'Spectral Functions'!F33</f>
        <v>834.57865518030133</v>
      </c>
      <c r="Q35" s="62">
        <f>'Spectral Functions'!H33*'Spectral Functions'!F33</f>
        <v>34.406206499999996</v>
      </c>
      <c r="R35" s="31"/>
      <c r="S35" s="60">
        <f>L35*'Spectral Functions'!I33*'Spectral Functions'!D33</f>
        <v>46.863811091999992</v>
      </c>
      <c r="T35" s="61">
        <f>'Spectral Functions'!I33*'Spectral Functions'!D33</f>
        <v>1.9319999999999999</v>
      </c>
      <c r="U35" s="61">
        <f>L35*'Spectral Functions'!I33*'Spectral Functions'!F33</f>
        <v>668.52245301239998</v>
      </c>
      <c r="V35" s="62">
        <f>'Spectral Functions'!I33*'Spectral Functions'!F33</f>
        <v>27.560400000000001</v>
      </c>
      <c r="W35" s="31"/>
      <c r="X35" s="60">
        <f>L35*'Spectral Functions'!J33*'Spectral Functions'!D33</f>
        <v>16.013308459885099</v>
      </c>
      <c r="Y35" s="61">
        <f>'Spectral Functions'!J33*'Spectral Functions'!D33</f>
        <v>0.66016209999999997</v>
      </c>
      <c r="Z35" s="61">
        <f>L35*'Spectral Functions'!J33*'Spectral Functions'!F33</f>
        <v>228.43332633427397</v>
      </c>
      <c r="AA35" s="62">
        <f>'Spectral Functions'!J33*'Spectral Functions'!F33</f>
        <v>9.4173558699999997</v>
      </c>
      <c r="AB35" s="31"/>
      <c r="AC35" s="60">
        <f>L35*'Spectral Functions'!K33*'Spectral Functions'!D33</f>
        <v>67.7851553295</v>
      </c>
      <c r="AD35" s="61">
        <f>'Spectral Functions'!K33*'Spectral Functions'!D33</f>
        <v>2.7944999999999998</v>
      </c>
      <c r="AE35" s="61">
        <f>L35*'Spectral Functions'!K33*'Spectral Functions'!F33</f>
        <v>966.96997667865003</v>
      </c>
      <c r="AF35" s="62">
        <f>'Spectral Functions'!K33*'Spectral Functions'!F33</f>
        <v>39.864150000000002</v>
      </c>
      <c r="AG35" s="31"/>
    </row>
    <row r="36" spans="1:33">
      <c r="A36" s="42">
        <v>442</v>
      </c>
      <c r="B36" s="31"/>
      <c r="C36" s="157">
        <v>24.606532999999999</v>
      </c>
      <c r="D36" s="47">
        <f t="shared" si="0"/>
        <v>24.606532999999999</v>
      </c>
      <c r="E36" s="31"/>
      <c r="F36" s="157">
        <v>24.606532999999999</v>
      </c>
      <c r="G36" s="47">
        <f t="shared" si="1"/>
        <v>24.606532999999999</v>
      </c>
      <c r="H36" s="31"/>
      <c r="I36" s="157">
        <v>24.606532999999999</v>
      </c>
      <c r="J36" s="47">
        <f t="shared" si="2"/>
        <v>24.606532999999999</v>
      </c>
      <c r="K36" s="54"/>
      <c r="L36" s="47">
        <f t="shared" si="3"/>
        <v>24.606532999999999</v>
      </c>
      <c r="M36" s="133"/>
      <c r="N36" s="60">
        <f>L36*'Spectral Functions'!H34*'Spectral Functions'!D34</f>
        <v>67.613184963778096</v>
      </c>
      <c r="O36" s="61">
        <f>'Spectral Functions'!H34*'Spectral Functions'!D34</f>
        <v>2.7477737300000005</v>
      </c>
      <c r="P36" s="61">
        <f>L36*'Spectral Functions'!H34*'Spectral Functions'!F34</f>
        <v>934.86250666434296</v>
      </c>
      <c r="Q36" s="62">
        <f>'Spectral Functions'!H34*'Spectral Functions'!F34</f>
        <v>37.992451300000006</v>
      </c>
      <c r="R36" s="31"/>
      <c r="S36" s="60">
        <f>L36*'Spectral Functions'!I34*'Spectral Functions'!D34</f>
        <v>35.919878677409997</v>
      </c>
      <c r="T36" s="61">
        <f>'Spectral Functions'!I34*'Spectral Functions'!D34</f>
        <v>1.45977</v>
      </c>
      <c r="U36" s="61">
        <f>L36*'Spectral Functions'!I34*'Spectral Functions'!F34</f>
        <v>496.65088011210003</v>
      </c>
      <c r="V36" s="62">
        <f>'Spectral Functions'!I34*'Spectral Functions'!F34</f>
        <v>20.183700000000002</v>
      </c>
      <c r="W36" s="31"/>
      <c r="X36" s="60">
        <f>L36*'Spectral Functions'!J34*'Spectral Functions'!D34</f>
        <v>18.622566574306695</v>
      </c>
      <c r="Y36" s="61">
        <f>'Spectral Functions'!J34*'Spectral Functions'!D34</f>
        <v>0.75681391500000006</v>
      </c>
      <c r="Z36" s="61">
        <f>L36*'Spectral Functions'!J34*'Spectral Functions'!F34</f>
        <v>257.48734181811795</v>
      </c>
      <c r="AA36" s="62">
        <f>'Spectral Functions'!J34*'Spectral Functions'!F34</f>
        <v>10.464186150000002</v>
      </c>
      <c r="AB36" s="31"/>
      <c r="AC36" s="60">
        <f>L36*'Spectral Functions'!K34*'Spectral Functions'!D34</f>
        <v>77.057592362696397</v>
      </c>
      <c r="AD36" s="61">
        <f>'Spectral Functions'!K34*'Spectral Functions'!D34</f>
        <v>3.1315908000000001</v>
      </c>
      <c r="AE36" s="61">
        <f>L36*'Spectral Functions'!K34*'Spectral Functions'!F34</f>
        <v>1065.4468354404842</v>
      </c>
      <c r="AF36" s="62">
        <f>'Spectral Functions'!K34*'Spectral Functions'!F34</f>
        <v>43.299348000000002</v>
      </c>
      <c r="AG36" s="31"/>
    </row>
    <row r="37" spans="1:33">
      <c r="A37" s="42">
        <v>444</v>
      </c>
      <c r="B37" s="31"/>
      <c r="C37" s="157">
        <v>25.054390999999999</v>
      </c>
      <c r="D37" s="47">
        <f t="shared" si="0"/>
        <v>25.054390999999999</v>
      </c>
      <c r="E37" s="31"/>
      <c r="F37" s="157">
        <v>25.054390999999999</v>
      </c>
      <c r="G37" s="47">
        <f t="shared" si="1"/>
        <v>25.054390999999999</v>
      </c>
      <c r="H37" s="31"/>
      <c r="I37" s="157">
        <v>25.054390999999999</v>
      </c>
      <c r="J37" s="47">
        <f t="shared" si="2"/>
        <v>25.054390999999999</v>
      </c>
      <c r="K37" s="54"/>
      <c r="L37" s="47">
        <f t="shared" si="3"/>
        <v>25.054390999999999</v>
      </c>
      <c r="M37" s="133"/>
      <c r="N37" s="60">
        <f>L37*'Spectral Functions'!H35*'Spectral Functions'!D35</f>
        <v>77.937406179600998</v>
      </c>
      <c r="O37" s="61">
        <f>'Spectral Functions'!H35*'Spectral Functions'!D35</f>
        <v>3.1107284219999998</v>
      </c>
      <c r="P37" s="61">
        <f>L37*'Spectral Functions'!H35*'Spectral Functions'!F35</f>
        <v>1044.9016997236902</v>
      </c>
      <c r="Q37" s="62">
        <f>'Spectral Functions'!H35*'Spectral Functions'!F35</f>
        <v>41.705332199999994</v>
      </c>
      <c r="R37" s="31"/>
      <c r="S37" s="60">
        <f>L37*'Spectral Functions'!I35*'Spectral Functions'!D35</f>
        <v>21.30951117723</v>
      </c>
      <c r="T37" s="61">
        <f>'Spectral Functions'!I35*'Spectral Functions'!D35</f>
        <v>0.85053000000000001</v>
      </c>
      <c r="U37" s="61">
        <f>L37*'Spectral Functions'!I35*'Spectral Functions'!F35</f>
        <v>285.69522057299997</v>
      </c>
      <c r="V37" s="62">
        <f>'Spectral Functions'!I35*'Spectral Functions'!F35</f>
        <v>11.403</v>
      </c>
      <c r="W37" s="31"/>
      <c r="X37" s="60">
        <f>L37*'Spectral Functions'!J35*'Spectral Functions'!D35</f>
        <v>21.603724494883625</v>
      </c>
      <c r="Y37" s="61">
        <f>'Spectral Functions'!J35*'Spectral Functions'!D35</f>
        <v>0.86227298420000009</v>
      </c>
      <c r="Z37" s="61">
        <f>L37*'Spectral Functions'!J35*'Spectral Functions'!F35</f>
        <v>289.6397192517112</v>
      </c>
      <c r="AA37" s="62">
        <f>'Spectral Functions'!J35*'Spectral Functions'!F35</f>
        <v>11.56043742</v>
      </c>
      <c r="AB37" s="31"/>
      <c r="AC37" s="60">
        <f>L37*'Spectral Functions'!K35*'Spectral Functions'!D35</f>
        <v>87.411614848997459</v>
      </c>
      <c r="AD37" s="61">
        <f>'Spectral Functions'!K35*'Spectral Functions'!D35</f>
        <v>3.4888740600000001</v>
      </c>
      <c r="AE37" s="61">
        <f>L37*'Spectral Functions'!K35*'Spectral Functions'!F35</f>
        <v>1171.921794790446</v>
      </c>
      <c r="AF37" s="62">
        <f>'Spectral Functions'!K35*'Spectral Functions'!F35</f>
        <v>46.775106000000001</v>
      </c>
      <c r="AG37" s="31"/>
    </row>
    <row r="38" spans="1:33">
      <c r="A38" s="42">
        <v>446</v>
      </c>
      <c r="B38" s="31"/>
      <c r="C38" s="157">
        <v>25.316341999999999</v>
      </c>
      <c r="D38" s="47">
        <f t="shared" si="0"/>
        <v>25.316341999999999</v>
      </c>
      <c r="E38" s="31"/>
      <c r="F38" s="157">
        <v>25.316341999999999</v>
      </c>
      <c r="G38" s="47">
        <f t="shared" si="1"/>
        <v>25.316341999999999</v>
      </c>
      <c r="H38" s="31"/>
      <c r="I38" s="157">
        <v>25.316341999999999</v>
      </c>
      <c r="J38" s="47">
        <f t="shared" si="2"/>
        <v>25.316341999999999</v>
      </c>
      <c r="K38" s="54"/>
      <c r="L38" s="47">
        <f t="shared" si="3"/>
        <v>25.316342000000002</v>
      </c>
      <c r="M38" s="133"/>
      <c r="N38" s="60">
        <f>L38*'Spectral Functions'!H36*'Spectral Functions'!D36</f>
        <v>88.897013673111019</v>
      </c>
      <c r="O38" s="61">
        <f>'Spectral Functions'!H36*'Spectral Functions'!D36</f>
        <v>3.5114478099999995</v>
      </c>
      <c r="P38" s="61">
        <f>L38*'Spectral Functions'!H36*'Spectral Functions'!F36</f>
        <v>1151.2603354893981</v>
      </c>
      <c r="Q38" s="62">
        <f>'Spectral Functions'!H36*'Spectral Functions'!F36</f>
        <v>45.474987479999996</v>
      </c>
      <c r="R38" s="31"/>
      <c r="S38" s="60">
        <f>L38*'Spectral Functions'!I36*'Spectral Functions'!D36</f>
        <v>11.097165352280001</v>
      </c>
      <c r="T38" s="61">
        <f>'Spectral Functions'!I36*'Spectral Functions'!D36</f>
        <v>0.43833999999999995</v>
      </c>
      <c r="U38" s="61">
        <f>L38*'Spectral Functions'!I36*'Spectral Functions'!F36</f>
        <v>143.71378495824001</v>
      </c>
      <c r="V38" s="62">
        <f>'Spectral Functions'!I36*'Spectral Functions'!F36</f>
        <v>5.6767200000000004</v>
      </c>
      <c r="W38" s="31"/>
      <c r="X38" s="60">
        <f>L38*'Spectral Functions'!J36*'Spectral Functions'!D36</f>
        <v>24.802877951547021</v>
      </c>
      <c r="Y38" s="61">
        <f>'Spectral Functions'!J36*'Spectral Functions'!D36</f>
        <v>0.97971807899999996</v>
      </c>
      <c r="Z38" s="61">
        <f>L38*'Spectral Functions'!J36*'Spectral Functions'!F36</f>
        <v>321.20954812498519</v>
      </c>
      <c r="AA38" s="62">
        <f>'Spectral Functions'!J36*'Spectral Functions'!F36</f>
        <v>12.687834132000001</v>
      </c>
      <c r="AB38" s="31"/>
      <c r="AC38" s="60">
        <f>L38*'Spectral Functions'!K36*'Spectral Functions'!D36</f>
        <v>97.940410780551204</v>
      </c>
      <c r="AD38" s="61">
        <f>'Spectral Functions'!K36*'Spectral Functions'!D36</f>
        <v>3.8686635999999996</v>
      </c>
      <c r="AE38" s="61">
        <f>L38*'Spectral Functions'!K36*'Spectral Functions'!F36</f>
        <v>1268.3768049600096</v>
      </c>
      <c r="AF38" s="62">
        <f>'Spectral Functions'!K36*'Spectral Functions'!F36</f>
        <v>50.101108799999999</v>
      </c>
      <c r="AG38" s="31"/>
    </row>
    <row r="39" spans="1:33">
      <c r="A39" s="42">
        <v>448</v>
      </c>
      <c r="B39" s="31"/>
      <c r="C39" s="157">
        <v>25.487736999999999</v>
      </c>
      <c r="D39" s="47">
        <f t="shared" si="0"/>
        <v>25.487736999999999</v>
      </c>
      <c r="E39" s="31"/>
      <c r="F39" s="157">
        <v>25.487736999999999</v>
      </c>
      <c r="G39" s="47">
        <f t="shared" si="1"/>
        <v>25.487736999999999</v>
      </c>
      <c r="H39" s="31"/>
      <c r="I39" s="157">
        <v>25.487736999999999</v>
      </c>
      <c r="J39" s="47">
        <f t="shared" si="2"/>
        <v>25.487736999999999</v>
      </c>
      <c r="K39" s="54"/>
      <c r="L39" s="47">
        <f t="shared" si="3"/>
        <v>25.487736999999999</v>
      </c>
      <c r="M39" s="133"/>
      <c r="N39" s="60">
        <f>L39*'Spectral Functions'!H37*'Spectral Functions'!D37</f>
        <v>100.81372745921568</v>
      </c>
      <c r="O39" s="61">
        <f>'Spectral Functions'!H37*'Spectral Functions'!D37</f>
        <v>3.9553816589999999</v>
      </c>
      <c r="P39" s="61">
        <f>L39*'Spectral Functions'!H37*'Spectral Functions'!F37</f>
        <v>1256.4554358811436</v>
      </c>
      <c r="Q39" s="62">
        <f>'Spectral Functions'!H37*'Spectral Functions'!F37</f>
        <v>49.296468959999999</v>
      </c>
      <c r="R39" s="31"/>
      <c r="S39" s="60">
        <f>L39*'Spectral Functions'!I37*'Spectral Functions'!D37</f>
        <v>6.1590351828390002</v>
      </c>
      <c r="T39" s="61">
        <f>'Spectral Functions'!I37*'Spectral Functions'!D37</f>
        <v>0.24164700000000003</v>
      </c>
      <c r="U39" s="61">
        <f>L39*'Spectral Functions'!I37*'Spectral Functions'!F37</f>
        <v>76.760907768159996</v>
      </c>
      <c r="V39" s="62">
        <f>'Spectral Functions'!I37*'Spectral Functions'!F37</f>
        <v>3.0116800000000001</v>
      </c>
      <c r="W39" s="31"/>
      <c r="X39" s="60">
        <f>L39*'Spectral Functions'!J37*'Spectral Functions'!D37</f>
        <v>28.315284390933325</v>
      </c>
      <c r="Y39" s="61">
        <f>'Spectral Functions'!J37*'Spectral Functions'!D37</f>
        <v>1.1109375615000001</v>
      </c>
      <c r="Z39" s="61">
        <f>L39*'Spectral Functions'!J37*'Spectral Functions'!F37</f>
        <v>352.89730762014869</v>
      </c>
      <c r="AA39" s="62">
        <f>'Spectral Functions'!J37*'Spectral Functions'!F37</f>
        <v>13.84576856</v>
      </c>
      <c r="AB39" s="31"/>
      <c r="AC39" s="60">
        <f>L39*'Spectral Functions'!K37*'Spectral Functions'!D37</f>
        <v>108.90933927597307</v>
      </c>
      <c r="AD39" s="61">
        <f>'Spectral Functions'!K37*'Spectral Functions'!D37</f>
        <v>4.2730093800000004</v>
      </c>
      <c r="AE39" s="61">
        <f>L39*'Spectral Functions'!K37*'Spectral Functions'!F37</f>
        <v>1357.3521662204064</v>
      </c>
      <c r="AF39" s="62">
        <f>'Spectral Functions'!K37*'Spectral Functions'!F37</f>
        <v>53.255107200000005</v>
      </c>
      <c r="AG39" s="31"/>
    </row>
    <row r="40" spans="1:33">
      <c r="A40" s="42">
        <v>450</v>
      </c>
      <c r="B40" s="31"/>
      <c r="C40" s="157">
        <v>25.574002</v>
      </c>
      <c r="D40" s="47">
        <f t="shared" si="0"/>
        <v>25.574002</v>
      </c>
      <c r="E40" s="31"/>
      <c r="F40" s="157">
        <v>25.574002</v>
      </c>
      <c r="G40" s="47">
        <f t="shared" si="1"/>
        <v>25.574002</v>
      </c>
      <c r="H40" s="31"/>
      <c r="I40" s="157">
        <v>25.574002</v>
      </c>
      <c r="J40" s="47">
        <f t="shared" si="2"/>
        <v>25.574002</v>
      </c>
      <c r="K40" s="54"/>
      <c r="L40" s="47">
        <f t="shared" si="3"/>
        <v>25.574001999999997</v>
      </c>
      <c r="M40" s="133"/>
      <c r="N40" s="60">
        <f>L40*'Spectral Functions'!H38*'Spectral Functions'!D38</f>
        <v>113.70978738860798</v>
      </c>
      <c r="O40" s="61">
        <f>'Spectral Functions'!H38*'Spectral Functions'!D38</f>
        <v>4.4463039999999996</v>
      </c>
      <c r="P40" s="61">
        <f>L40*'Spectral Functions'!H38*'Spectral Functions'!F38</f>
        <v>1361.5250858372797</v>
      </c>
      <c r="Q40" s="62">
        <f>'Spectral Functions'!H38*'Spectral Functions'!F38</f>
        <v>53.238639999999997</v>
      </c>
      <c r="R40" s="31"/>
      <c r="S40" s="60">
        <f>L40*'Spectral Functions'!I38*'Spectral Functions'!D38</f>
        <v>0</v>
      </c>
      <c r="T40" s="61">
        <f>'Spectral Functions'!I38*'Spectral Functions'!D38</f>
        <v>0</v>
      </c>
      <c r="U40" s="61">
        <f>L40*'Spectral Functions'!I38*'Spectral Functions'!F38</f>
        <v>0</v>
      </c>
      <c r="V40" s="62">
        <f>'Spectral Functions'!I38*'Spectral Functions'!F38</f>
        <v>0</v>
      </c>
      <c r="W40" s="31"/>
      <c r="X40" s="60">
        <f>L40*'Spectral Functions'!J38*'Spectral Functions'!D38</f>
        <v>32.153277165328397</v>
      </c>
      <c r="Y40" s="61">
        <f>'Spectral Functions'!J38*'Spectral Functions'!D38</f>
        <v>1.2572642000000001</v>
      </c>
      <c r="Z40" s="61">
        <f>L40*'Spectral Functions'!J38*'Spectral Functions'!F38</f>
        <v>384.99318711116899</v>
      </c>
      <c r="AA40" s="62">
        <f>'Spectral Functions'!J38*'Spectral Functions'!F38</f>
        <v>15.054084500000002</v>
      </c>
      <c r="AB40" s="31"/>
      <c r="AC40" s="60">
        <f>L40*'Spectral Functions'!K38*'Spectral Functions'!D38</f>
        <v>120.50469742399999</v>
      </c>
      <c r="AD40" s="61">
        <f>'Spectral Functions'!K38*'Spectral Functions'!D38</f>
        <v>4.7119999999999997</v>
      </c>
      <c r="AE40" s="61">
        <f>L40*'Spectral Functions'!K38*'Spectral Functions'!F38</f>
        <v>1442.8851928399999</v>
      </c>
      <c r="AF40" s="62">
        <f>'Spectral Functions'!K38*'Spectral Functions'!F38</f>
        <v>56.42</v>
      </c>
      <c r="AG40" s="31"/>
    </row>
    <row r="41" spans="1:33">
      <c r="A41" s="42">
        <v>452</v>
      </c>
      <c r="B41" s="31"/>
      <c r="C41" s="157">
        <v>25.686957</v>
      </c>
      <c r="D41" s="47">
        <f t="shared" si="0"/>
        <v>25.686957</v>
      </c>
      <c r="E41" s="31"/>
      <c r="F41" s="157">
        <v>25.686957</v>
      </c>
      <c r="G41" s="47">
        <f t="shared" si="1"/>
        <v>25.686957</v>
      </c>
      <c r="H41" s="31"/>
      <c r="I41" s="157">
        <v>25.686957</v>
      </c>
      <c r="J41" s="47">
        <f t="shared" si="2"/>
        <v>25.686957</v>
      </c>
      <c r="K41" s="54"/>
      <c r="L41" s="47">
        <f t="shared" si="3"/>
        <v>25.686956999999996</v>
      </c>
      <c r="M41" s="133"/>
      <c r="N41" s="60">
        <f>L41*'Spectral Functions'!H39*'Spectral Functions'!D39</f>
        <v>125.70977882376792</v>
      </c>
      <c r="O41" s="61">
        <f>'Spectral Functions'!H39*'Spectral Functions'!D39</f>
        <v>4.8939147919999995</v>
      </c>
      <c r="P41" s="61">
        <f>L41*'Spectral Functions'!H39*'Spectral Functions'!F39</f>
        <v>1439.125355352731</v>
      </c>
      <c r="Q41" s="62">
        <f>'Spectral Functions'!H39*'Spectral Functions'!F39</f>
        <v>56.025529039999995</v>
      </c>
      <c r="R41" s="31"/>
      <c r="S41" s="60">
        <f>L41*'Spectral Functions'!I39*'Spectral Functions'!D39</f>
        <v>4.2915712799039989</v>
      </c>
      <c r="T41" s="61">
        <f>'Spectral Functions'!I39*'Spectral Functions'!D39</f>
        <v>0.167072</v>
      </c>
      <c r="U41" s="61">
        <f>L41*'Spectral Functions'!I39*'Spectral Functions'!F39</f>
        <v>49.12990143647999</v>
      </c>
      <c r="V41" s="62">
        <f>'Spectral Functions'!I39*'Spectral Functions'!F39</f>
        <v>1.9126399999999999</v>
      </c>
      <c r="W41" s="31"/>
      <c r="X41" s="60">
        <f>L41*'Spectral Functions'!J39*'Spectral Functions'!D39</f>
        <v>36.482647450463894</v>
      </c>
      <c r="Y41" s="61">
        <f>'Spectral Functions'!J39*'Spectral Functions'!D39</f>
        <v>1.4202790719999998</v>
      </c>
      <c r="Z41" s="61">
        <f>L41*'Spectral Functions'!J39*'Spectral Functions'!F39</f>
        <v>417.65329211151635</v>
      </c>
      <c r="AA41" s="62">
        <f>'Spectral Functions'!J39*'Spectral Functions'!F39</f>
        <v>16.259352639999999</v>
      </c>
      <c r="AB41" s="31"/>
      <c r="AC41" s="60">
        <f>L41*'Spectral Functions'!K39*'Spectral Functions'!D39</f>
        <v>132.86704682582783</v>
      </c>
      <c r="AD41" s="61">
        <f>'Spectral Functions'!K39*'Spectral Functions'!D39</f>
        <v>5.1725491200000002</v>
      </c>
      <c r="AE41" s="61">
        <f>L41*'Spectral Functions'!K39*'Spectral Functions'!F39</f>
        <v>1521.0617484734205</v>
      </c>
      <c r="AF41" s="62">
        <f>'Spectral Functions'!K39*'Spectral Functions'!F39</f>
        <v>59.215334399999996</v>
      </c>
      <c r="AG41" s="31"/>
    </row>
    <row r="42" spans="1:33">
      <c r="A42" s="42">
        <v>454</v>
      </c>
      <c r="B42" s="31"/>
      <c r="C42" s="157">
        <v>25.791747000000001</v>
      </c>
      <c r="D42" s="47">
        <f t="shared" si="0"/>
        <v>25.791747000000001</v>
      </c>
      <c r="E42" s="31"/>
      <c r="F42" s="157">
        <v>25.791747000000001</v>
      </c>
      <c r="G42" s="47">
        <f t="shared" si="1"/>
        <v>25.791747000000001</v>
      </c>
      <c r="H42" s="31"/>
      <c r="I42" s="157">
        <v>25.791747000000001</v>
      </c>
      <c r="J42" s="47">
        <f t="shared" si="2"/>
        <v>25.791747000000001</v>
      </c>
      <c r="K42" s="54"/>
      <c r="L42" s="47">
        <f t="shared" si="3"/>
        <v>25.791747000000001</v>
      </c>
      <c r="M42" s="133"/>
      <c r="N42" s="60">
        <f>L42*'Spectral Functions'!H40*'Spectral Functions'!D40</f>
        <v>138.7264138313472</v>
      </c>
      <c r="O42" s="61">
        <f>'Spectral Functions'!H40*'Spectral Functions'!D40</f>
        <v>5.3787133469999997</v>
      </c>
      <c r="P42" s="61">
        <f>L42*'Spectral Functions'!H40*'Spectral Functions'!F40</f>
        <v>1517.054420128067</v>
      </c>
      <c r="Q42" s="62">
        <f>'Spectral Functions'!H40*'Spectral Functions'!F40</f>
        <v>58.819374279999998</v>
      </c>
      <c r="R42" s="31"/>
      <c r="S42" s="60">
        <f>L42*'Spectral Functions'!I40*'Spectral Functions'!D40</f>
        <v>8.2765974040470009</v>
      </c>
      <c r="T42" s="61">
        <f>'Spectral Functions'!I40*'Spectral Functions'!D40</f>
        <v>0.32090099999999999</v>
      </c>
      <c r="U42" s="61">
        <f>L42*'Spectral Functions'!I40*'Spectral Functions'!F40</f>
        <v>90.509430242280004</v>
      </c>
      <c r="V42" s="62">
        <f>'Spectral Functions'!I40*'Spectral Functions'!F40</f>
        <v>3.5092400000000001</v>
      </c>
      <c r="W42" s="31"/>
      <c r="X42" s="60">
        <f>L42*'Spectral Functions'!J40*'Spectral Functions'!D40</f>
        <v>41.307078798329314</v>
      </c>
      <c r="Y42" s="61">
        <f>'Spectral Functions'!J40*'Spectral Functions'!D40</f>
        <v>1.6015618794000002</v>
      </c>
      <c r="Z42" s="61">
        <f>L42*'Spectral Functions'!J40*'Spectral Functions'!F40</f>
        <v>451.71705043689224</v>
      </c>
      <c r="AA42" s="62">
        <f>'Spectral Functions'!J40*'Spectral Functions'!F40</f>
        <v>17.514015256</v>
      </c>
      <c r="AB42" s="31"/>
      <c r="AC42" s="60">
        <f>L42*'Spectral Functions'!K40*'Spectral Functions'!D40</f>
        <v>146.23565241893331</v>
      </c>
      <c r="AD42" s="61">
        <f>'Spectral Functions'!K40*'Spectral Functions'!D40</f>
        <v>5.6698622400000005</v>
      </c>
      <c r="AE42" s="61">
        <f>L42*'Spectral Functions'!K40*'Spectral Functions'!F40</f>
        <v>1599.1723331950272</v>
      </c>
      <c r="AF42" s="62">
        <f>'Spectral Functions'!K40*'Spectral Functions'!F40</f>
        <v>62.003257600000005</v>
      </c>
      <c r="AG42" s="31"/>
    </row>
    <row r="43" spans="1:33">
      <c r="A43" s="42">
        <v>456</v>
      </c>
      <c r="B43" s="31"/>
      <c r="C43" s="157">
        <v>25.545771999999999</v>
      </c>
      <c r="D43" s="47">
        <f t="shared" si="0"/>
        <v>25.545771999999999</v>
      </c>
      <c r="E43" s="31"/>
      <c r="F43" s="157">
        <v>25.545771999999999</v>
      </c>
      <c r="G43" s="47">
        <f t="shared" si="1"/>
        <v>25.545771999999999</v>
      </c>
      <c r="H43" s="31"/>
      <c r="I43" s="157">
        <v>25.545771999999999</v>
      </c>
      <c r="J43" s="47">
        <f t="shared" si="2"/>
        <v>25.545771999999999</v>
      </c>
      <c r="K43" s="54"/>
      <c r="L43" s="47">
        <f t="shared" si="3"/>
        <v>25.545771999999999</v>
      </c>
      <c r="M43" s="133"/>
      <c r="N43" s="60">
        <f>L43*'Spectral Functions'!H41*'Spectral Functions'!D41</f>
        <v>150.80097256555632</v>
      </c>
      <c r="O43" s="61">
        <f>'Spectral Functions'!H41*'Spectral Functions'!D41</f>
        <v>5.9031675599999991</v>
      </c>
      <c r="P43" s="61">
        <f>L43*'Spectral Functions'!H41*'Spectral Functions'!F41</f>
        <v>1571.9989927341728</v>
      </c>
      <c r="Q43" s="62">
        <f>'Spectral Functions'!H41*'Spectral Functions'!F41</f>
        <v>61.536562400000001</v>
      </c>
      <c r="R43" s="31"/>
      <c r="S43" s="60">
        <f>L43*'Spectral Functions'!I41*'Spectral Functions'!D41</f>
        <v>14.118739452047999</v>
      </c>
      <c r="T43" s="61">
        <f>'Spectral Functions'!I41*'Spectral Functions'!D41</f>
        <v>0.55268399999999995</v>
      </c>
      <c r="U43" s="61">
        <f>L43*'Spectral Functions'!I41*'Spectral Functions'!F41</f>
        <v>147.17838896992001</v>
      </c>
      <c r="V43" s="62">
        <f>'Spectral Functions'!I41*'Spectral Functions'!F41</f>
        <v>5.7613599999999998</v>
      </c>
      <c r="W43" s="31"/>
      <c r="X43" s="60">
        <f>L43*'Spectral Functions'!J41*'Spectral Functions'!D41</f>
        <v>46.054172922989046</v>
      </c>
      <c r="Y43" s="61">
        <f>'Spectral Functions'!J41*'Spectral Functions'!D41</f>
        <v>1.8028099884000002</v>
      </c>
      <c r="Z43" s="61">
        <f>L43*'Spectral Functions'!J41*'Spectral Functions'!F41</f>
        <v>480.08386295169066</v>
      </c>
      <c r="AA43" s="62">
        <f>'Spectral Functions'!J41*'Spectral Functions'!F41</f>
        <v>18.793084936000003</v>
      </c>
      <c r="AB43" s="31"/>
      <c r="AC43" s="60">
        <f>L43*'Spectral Functions'!K41*'Spectral Functions'!D41</f>
        <v>158.51493839344798</v>
      </c>
      <c r="AD43" s="61">
        <f>'Spectral Functions'!K41*'Spectral Functions'!D41</f>
        <v>6.2051339999999993</v>
      </c>
      <c r="AE43" s="61">
        <f>L43*'Spectral Functions'!K41*'Spectral Functions'!F41</f>
        <v>1652.4119125259199</v>
      </c>
      <c r="AF43" s="62">
        <f>'Spectral Functions'!K41*'Spectral Functions'!F41</f>
        <v>64.684359999999998</v>
      </c>
      <c r="AG43" s="31"/>
    </row>
    <row r="44" spans="1:33">
      <c r="A44" s="42">
        <v>458</v>
      </c>
      <c r="B44" s="31"/>
      <c r="C44" s="157">
        <v>25.198784</v>
      </c>
      <c r="D44" s="47">
        <f t="shared" si="0"/>
        <v>25.198784</v>
      </c>
      <c r="E44" s="31"/>
      <c r="F44" s="157">
        <v>25.198784</v>
      </c>
      <c r="G44" s="47">
        <f t="shared" si="1"/>
        <v>25.198784</v>
      </c>
      <c r="H44" s="31"/>
      <c r="I44" s="157">
        <v>25.198784</v>
      </c>
      <c r="J44" s="47">
        <f t="shared" si="2"/>
        <v>25.198784</v>
      </c>
      <c r="K44" s="54"/>
      <c r="L44" s="47">
        <f t="shared" si="3"/>
        <v>25.198784</v>
      </c>
      <c r="M44" s="133"/>
      <c r="N44" s="60">
        <f>L44*'Spectral Functions'!H42*'Spectral Functions'!D42</f>
        <v>163.0000889205287</v>
      </c>
      <c r="O44" s="61">
        <f>'Spectral Functions'!H42*'Spectral Functions'!D42</f>
        <v>6.4685696310000003</v>
      </c>
      <c r="P44" s="61">
        <f>L44*'Spectral Functions'!H42*'Spectral Functions'!F42</f>
        <v>1617.1639021547442</v>
      </c>
      <c r="Q44" s="62">
        <f>'Spectral Functions'!H42*'Spectral Functions'!F42</f>
        <v>64.176267479999993</v>
      </c>
      <c r="R44" s="31"/>
      <c r="S44" s="60">
        <f>L44*'Spectral Functions'!I42*'Spectral Functions'!D42</f>
        <v>22.167269489664001</v>
      </c>
      <c r="T44" s="61">
        <f>'Spectral Functions'!I42*'Spectral Functions'!D42</f>
        <v>0.87969600000000003</v>
      </c>
      <c r="U44" s="61">
        <f>L44*'Spectral Functions'!I42*'Spectral Functions'!F42</f>
        <v>219.92692314111997</v>
      </c>
      <c r="V44" s="62">
        <f>'Spectral Functions'!I42*'Spectral Functions'!F42</f>
        <v>8.7276799999999994</v>
      </c>
      <c r="W44" s="31"/>
      <c r="X44" s="60">
        <f>L44*'Spectral Functions'!J42*'Spectral Functions'!D42</f>
        <v>51.039999454517051</v>
      </c>
      <c r="Y44" s="61">
        <f>'Spectral Functions'!J42*'Spectral Functions'!D42</f>
        <v>2.0254945419000001</v>
      </c>
      <c r="Z44" s="61">
        <f>L44*'Spectral Functions'!J42*'Spectral Functions'!F42</f>
        <v>506.38036598915915</v>
      </c>
      <c r="AA44" s="62">
        <f>'Spectral Functions'!J42*'Spectral Functions'!F42</f>
        <v>20.095428651999999</v>
      </c>
      <c r="AB44" s="31"/>
      <c r="AC44" s="60">
        <f>L44*'Spectral Functions'!K42*'Spectral Functions'!D42</f>
        <v>170.82652050472319</v>
      </c>
      <c r="AD44" s="61">
        <f>'Spectral Functions'!K42*'Spectral Functions'!D42</f>
        <v>6.7791573000000005</v>
      </c>
      <c r="AE44" s="61">
        <f>L44*'Spectral Functions'!K42*'Spectral Functions'!F42</f>
        <v>1694.8118514562559</v>
      </c>
      <c r="AF44" s="62">
        <f>'Spectral Functions'!K42*'Spectral Functions'!F42</f>
        <v>67.257683999999998</v>
      </c>
      <c r="AG44" s="31"/>
    </row>
    <row r="45" spans="1:33">
      <c r="A45" s="42">
        <v>460</v>
      </c>
      <c r="B45" s="31"/>
      <c r="C45" s="157">
        <v>25.072778</v>
      </c>
      <c r="D45" s="47">
        <f t="shared" si="0"/>
        <v>25.072778</v>
      </c>
      <c r="E45" s="31"/>
      <c r="F45" s="157">
        <v>25.072778</v>
      </c>
      <c r="G45" s="47">
        <f t="shared" si="1"/>
        <v>25.072778</v>
      </c>
      <c r="H45" s="31"/>
      <c r="I45" s="157">
        <v>25.072778</v>
      </c>
      <c r="J45" s="47">
        <f t="shared" si="2"/>
        <v>25.072778</v>
      </c>
      <c r="K45" s="54"/>
      <c r="L45" s="47">
        <f t="shared" si="3"/>
        <v>25.072778</v>
      </c>
      <c r="M45" s="133"/>
      <c r="N45" s="60">
        <f>L45*'Spectral Functions'!H43*'Spectral Functions'!D43</f>
        <v>177.23244730415999</v>
      </c>
      <c r="O45" s="61">
        <f>'Spectral Functions'!H43*'Spectral Functions'!D43</f>
        <v>7.0687199999999999</v>
      </c>
      <c r="P45" s="61">
        <f>L45*'Spectral Functions'!H43*'Spectral Functions'!F43</f>
        <v>1675.4374018486592</v>
      </c>
      <c r="Q45" s="62">
        <f>'Spectral Functions'!H43*'Spectral Functions'!F43</f>
        <v>66.822966399999999</v>
      </c>
      <c r="R45" s="31"/>
      <c r="S45" s="60">
        <f>L45*'Spectral Functions'!I43*'Spectral Functions'!D43</f>
        <v>31.591700279999998</v>
      </c>
      <c r="T45" s="61">
        <f>'Spectral Functions'!I43*'Spectral Functions'!D43</f>
        <v>1.26</v>
      </c>
      <c r="U45" s="61">
        <f>L45*'Spectral Functions'!I43*'Spectral Functions'!F43</f>
        <v>298.6468733136</v>
      </c>
      <c r="V45" s="62">
        <f>'Spectral Functions'!I43*'Spectral Functions'!F43</f>
        <v>11.911200000000001</v>
      </c>
      <c r="W45" s="31"/>
      <c r="X45" s="60">
        <f>L45*'Spectral Functions'!J43*'Spectral Functions'!D43</f>
        <v>56.883263340828002</v>
      </c>
      <c r="Y45" s="61">
        <f>'Spectral Functions'!J43*'Spectral Functions'!D43</f>
        <v>2.268726</v>
      </c>
      <c r="Z45" s="61">
        <f>L45*'Spectral Functions'!J43*'Spectral Functions'!F43</f>
        <v>537.73644944862735</v>
      </c>
      <c r="AA45" s="62">
        <f>'Spectral Functions'!J43*'Spectral Functions'!F43</f>
        <v>21.447023120000001</v>
      </c>
      <c r="AB45" s="31"/>
      <c r="AC45" s="60">
        <f>L45*'Spectral Functions'!K43*'Spectral Functions'!D43</f>
        <v>185.18753830799997</v>
      </c>
      <c r="AD45" s="61">
        <f>'Spectral Functions'!K43*'Spectral Functions'!D43</f>
        <v>7.3859999999999992</v>
      </c>
      <c r="AE45" s="61">
        <f>L45*'Spectral Functions'!K43*'Spectral Functions'!F43</f>
        <v>1750.63952880496</v>
      </c>
      <c r="AF45" s="62">
        <f>'Spectral Functions'!K43*'Spectral Functions'!F43</f>
        <v>69.822320000000005</v>
      </c>
      <c r="AG45" s="31"/>
    </row>
    <row r="46" spans="1:33">
      <c r="A46" s="42">
        <v>462</v>
      </c>
      <c r="B46" s="31"/>
      <c r="C46" s="157">
        <v>25.032769999999999</v>
      </c>
      <c r="D46" s="47">
        <f t="shared" si="0"/>
        <v>25.032769999999999</v>
      </c>
      <c r="E46" s="31"/>
      <c r="F46" s="157">
        <v>25.032769999999999</v>
      </c>
      <c r="G46" s="47">
        <f t="shared" si="1"/>
        <v>25.032769999999999</v>
      </c>
      <c r="H46" s="31"/>
      <c r="I46" s="157">
        <v>25.032769999999999</v>
      </c>
      <c r="J46" s="47">
        <f t="shared" si="2"/>
        <v>25.032769999999999</v>
      </c>
      <c r="K46" s="54"/>
      <c r="L46" s="47">
        <f t="shared" si="3"/>
        <v>25.032769999999999</v>
      </c>
      <c r="M46" s="133"/>
      <c r="N46" s="60">
        <f>L46*'Spectral Functions'!H44*'Spectral Functions'!D44</f>
        <v>191.5511995205533</v>
      </c>
      <c r="O46" s="61">
        <f>'Spectral Functions'!H44*'Spectral Functions'!D44</f>
        <v>7.6520177159999996</v>
      </c>
      <c r="P46" s="61">
        <f>L46*'Spectral Functions'!H44*'Spectral Functions'!F44</f>
        <v>1726.9480060944888</v>
      </c>
      <c r="Q46" s="62">
        <f>'Spectral Functions'!H44*'Spectral Functions'!F44</f>
        <v>68.987491439999999</v>
      </c>
      <c r="R46" s="31"/>
      <c r="S46" s="60">
        <f>L46*'Spectral Functions'!I44*'Spectral Functions'!D44</f>
        <v>21.243159080780003</v>
      </c>
      <c r="T46" s="61">
        <f>'Spectral Functions'!I44*'Spectral Functions'!D44</f>
        <v>0.84861399999999998</v>
      </c>
      <c r="U46" s="61">
        <f>L46*'Spectral Functions'!I44*'Spectral Functions'!F44</f>
        <v>191.51971540520003</v>
      </c>
      <c r="V46" s="62">
        <f>'Spectral Functions'!I44*'Spectral Functions'!F44</f>
        <v>7.6507600000000009</v>
      </c>
      <c r="W46" s="31"/>
      <c r="X46" s="60">
        <f>L46*'Spectral Functions'!J44*'Spectral Functions'!D44</f>
        <v>63.398574187427855</v>
      </c>
      <c r="Y46" s="61">
        <f>'Spectral Functions'!J44*'Spectral Functions'!D44</f>
        <v>2.5326232050000002</v>
      </c>
      <c r="Z46" s="61">
        <f>L46*'Spectral Functions'!J44*'Spectral Functions'!F44</f>
        <v>571.57585834101906</v>
      </c>
      <c r="AA46" s="62">
        <f>'Spectral Functions'!J44*'Spectral Functions'!F44</f>
        <v>22.8331047</v>
      </c>
      <c r="AB46" s="31"/>
      <c r="AC46" s="60">
        <f>L46*'Spectral Functions'!K44*'Spectral Functions'!D44</f>
        <v>201.2871027361908</v>
      </c>
      <c r="AD46" s="61">
        <f>'Spectral Functions'!K44*'Spectral Functions'!D44</f>
        <v>8.0409440400000012</v>
      </c>
      <c r="AE46" s="61">
        <f>L46*'Spectral Functions'!K44*'Spectral Functions'!F44</f>
        <v>1814.7229648932721</v>
      </c>
      <c r="AF46" s="62">
        <f>'Spectral Functions'!K44*'Spectral Functions'!F44</f>
        <v>72.493893600000007</v>
      </c>
      <c r="AG46" s="31"/>
    </row>
    <row r="47" spans="1:33">
      <c r="A47" s="42">
        <v>464</v>
      </c>
      <c r="B47" s="31"/>
      <c r="C47" s="157">
        <v>24.894697000000001</v>
      </c>
      <c r="D47" s="47">
        <f t="shared" si="0"/>
        <v>24.894697000000001</v>
      </c>
      <c r="E47" s="31"/>
      <c r="F47" s="157">
        <v>24.894697000000001</v>
      </c>
      <c r="G47" s="47">
        <f t="shared" si="1"/>
        <v>24.894697000000001</v>
      </c>
      <c r="H47" s="31"/>
      <c r="I47" s="157">
        <v>24.894697000000001</v>
      </c>
      <c r="J47" s="47">
        <f t="shared" si="2"/>
        <v>24.894697000000001</v>
      </c>
      <c r="K47" s="54"/>
      <c r="L47" s="47">
        <f t="shared" si="3"/>
        <v>24.894696999999997</v>
      </c>
      <c r="M47" s="133"/>
      <c r="N47" s="60">
        <f>L47*'Spectral Functions'!H45*'Spectral Functions'!D45</f>
        <v>205.89138620703915</v>
      </c>
      <c r="O47" s="61">
        <f>'Spectral Functions'!H45*'Spectral Functions'!D45</f>
        <v>8.2704917519999999</v>
      </c>
      <c r="P47" s="61">
        <f>L47*'Spectral Functions'!H45*'Spectral Functions'!F45</f>
        <v>1770.6816003793595</v>
      </c>
      <c r="Q47" s="62">
        <f>'Spectral Functions'!H45*'Spectral Functions'!F45</f>
        <v>71.126858880000015</v>
      </c>
      <c r="R47" s="31"/>
      <c r="S47" s="60">
        <f>L47*'Spectral Functions'!I45*'Spectral Functions'!D45</f>
        <v>7.0612314358679997</v>
      </c>
      <c r="T47" s="61">
        <f>'Spectral Functions'!I45*'Spectral Functions'!D45</f>
        <v>0.28364400000000001</v>
      </c>
      <c r="U47" s="61">
        <f>L47*'Spectral Functions'!I45*'Spectral Functions'!F45</f>
        <v>60.727128073919999</v>
      </c>
      <c r="V47" s="62">
        <f>'Spectral Functions'!I45*'Spectral Functions'!F45</f>
        <v>2.4393600000000002</v>
      </c>
      <c r="W47" s="31"/>
      <c r="X47" s="60">
        <f>L47*'Spectral Functions'!J45*'Spectral Functions'!D45</f>
        <v>70.252191555450722</v>
      </c>
      <c r="Y47" s="61">
        <f>'Spectral Functions'!J45*'Spectral Functions'!D45</f>
        <v>2.821974156</v>
      </c>
      <c r="Z47" s="61">
        <f>L47*'Spectral Functions'!J45*'Spectral Functions'!F45</f>
        <v>604.1741972074301</v>
      </c>
      <c r="AA47" s="62">
        <f>'Spectral Functions'!J45*'Spectral Functions'!F45</f>
        <v>24.26919264</v>
      </c>
      <c r="AB47" s="31"/>
      <c r="AC47" s="60">
        <f>L47*'Spectral Functions'!K45*'Spectral Functions'!D45</f>
        <v>217.59184669627243</v>
      </c>
      <c r="AD47" s="61">
        <f>'Spectral Functions'!K45*'Spectral Functions'!D45</f>
        <v>8.7404898600000003</v>
      </c>
      <c r="AE47" s="61">
        <f>L47*'Spectral Functions'!K45*'Spectral Functions'!F45</f>
        <v>1871.3064515978449</v>
      </c>
      <c r="AF47" s="62">
        <f>'Spectral Functions'!K45*'Spectral Functions'!F45</f>
        <v>75.168878400000011</v>
      </c>
      <c r="AG47" s="31"/>
    </row>
    <row r="48" spans="1:33">
      <c r="A48" s="42">
        <v>466</v>
      </c>
      <c r="B48" s="31"/>
      <c r="C48" s="157">
        <v>24.585804</v>
      </c>
      <c r="D48" s="47">
        <f t="shared" si="0"/>
        <v>24.585804</v>
      </c>
      <c r="E48" s="31"/>
      <c r="F48" s="157">
        <v>24.585804</v>
      </c>
      <c r="G48" s="47">
        <f t="shared" si="1"/>
        <v>24.585804</v>
      </c>
      <c r="H48" s="31"/>
      <c r="I48" s="157">
        <v>24.585804</v>
      </c>
      <c r="J48" s="47">
        <f t="shared" si="2"/>
        <v>24.585804</v>
      </c>
      <c r="K48" s="54"/>
      <c r="L48" s="47">
        <f t="shared" si="3"/>
        <v>24.585804</v>
      </c>
      <c r="M48" s="133"/>
      <c r="N48" s="60">
        <f>L48*'Spectral Functions'!H46*'Spectral Functions'!D46</f>
        <v>219.7236660917394</v>
      </c>
      <c r="O48" s="61">
        <f>'Spectral Functions'!H46*'Spectral Functions'!D46</f>
        <v>8.9370136559999995</v>
      </c>
      <c r="P48" s="61">
        <f>L48*'Spectral Functions'!H46*'Spectral Functions'!F46</f>
        <v>1801.702108785905</v>
      </c>
      <c r="Q48" s="62">
        <f>'Spectral Functions'!H46*'Spectral Functions'!F46</f>
        <v>73.282212319999999</v>
      </c>
      <c r="R48" s="31"/>
      <c r="S48" s="60">
        <f>L48*'Spectral Functions'!I46*'Spectral Functions'!D46</f>
        <v>1.893500280864</v>
      </c>
      <c r="T48" s="61">
        <f>'Spectral Functions'!I46*'Spectral Functions'!D46</f>
        <v>7.7016000000000001E-2</v>
      </c>
      <c r="U48" s="61">
        <f>L48*'Spectral Functions'!I46*'Spectral Functions'!F46</f>
        <v>15.526426942079999</v>
      </c>
      <c r="V48" s="62">
        <f>'Spectral Functions'!I46*'Spectral Functions'!F46</f>
        <v>0.63151999999999997</v>
      </c>
      <c r="W48" s="31"/>
      <c r="X48" s="60">
        <f>L48*'Spectral Functions'!J46*'Spectral Functions'!D46</f>
        <v>77.269202061385769</v>
      </c>
      <c r="Y48" s="61">
        <f>'Spectral Functions'!J46*'Spectral Functions'!D46</f>
        <v>3.1428381216000001</v>
      </c>
      <c r="Z48" s="61">
        <f>L48*'Spectral Functions'!J46*'Spectral Functions'!F46</f>
        <v>633.59622008162387</v>
      </c>
      <c r="AA48" s="62">
        <f>'Spectral Functions'!J46*'Spectral Functions'!F46</f>
        <v>25.770815551999998</v>
      </c>
      <c r="AB48" s="31"/>
      <c r="AC48" s="60">
        <f>L48*'Spectral Functions'!K46*'Spectral Functions'!D46</f>
        <v>233.65793465861762</v>
      </c>
      <c r="AD48" s="61">
        <f>'Spectral Functions'!K46*'Spectral Functions'!D46</f>
        <v>9.5037744000000011</v>
      </c>
      <c r="AE48" s="61">
        <f>L48*'Spectral Functions'!K46*'Spectral Functions'!F46</f>
        <v>1915.9610846526721</v>
      </c>
      <c r="AF48" s="62">
        <f>'Spectral Functions'!K46*'Spectral Functions'!F46</f>
        <v>77.929568000000003</v>
      </c>
      <c r="AG48" s="31"/>
    </row>
    <row r="49" spans="1:33">
      <c r="A49" s="42">
        <v>468</v>
      </c>
      <c r="B49" s="31"/>
      <c r="C49" s="157">
        <v>24.384345</v>
      </c>
      <c r="D49" s="47">
        <f t="shared" si="0"/>
        <v>24.384345</v>
      </c>
      <c r="E49" s="31"/>
      <c r="F49" s="157">
        <v>24.384345</v>
      </c>
      <c r="G49" s="47">
        <f t="shared" si="1"/>
        <v>24.384345</v>
      </c>
      <c r="H49" s="31"/>
      <c r="I49" s="157">
        <v>24.384345</v>
      </c>
      <c r="J49" s="47">
        <f t="shared" si="2"/>
        <v>24.384345</v>
      </c>
      <c r="K49" s="54"/>
      <c r="L49" s="47">
        <f t="shared" si="3"/>
        <v>24.384345</v>
      </c>
      <c r="M49" s="133"/>
      <c r="N49" s="60">
        <f>L49*'Spectral Functions'!H47*'Spectral Functions'!D47</f>
        <v>234.41300981428185</v>
      </c>
      <c r="O49" s="61">
        <f>'Spectral Functions'!H47*'Spectral Functions'!D47</f>
        <v>9.6132584169999991</v>
      </c>
      <c r="P49" s="61">
        <f>L49*'Spectral Functions'!H47*'Spectral Functions'!F47</f>
        <v>1839.9001608587082</v>
      </c>
      <c r="Q49" s="62">
        <f>'Spectral Functions'!H47*'Spectral Functions'!F47</f>
        <v>75.454155560000004</v>
      </c>
      <c r="R49" s="31"/>
      <c r="S49" s="60">
        <f>L49*'Spectral Functions'!I47*'Spectral Functions'!D47</f>
        <v>8.121645020459999</v>
      </c>
      <c r="T49" s="61">
        <f>'Spectral Functions'!I47*'Spectral Functions'!D47</f>
        <v>0.33306799999999998</v>
      </c>
      <c r="U49" s="61">
        <f>L49*'Spectral Functions'!I47*'Spectral Functions'!F47</f>
        <v>63.746530072799999</v>
      </c>
      <c r="V49" s="62">
        <f>'Spectral Functions'!I47*'Spectral Functions'!F47</f>
        <v>2.6142400000000001</v>
      </c>
      <c r="W49" s="31"/>
      <c r="X49" s="60">
        <f>L49*'Spectral Functions'!J47*'Spectral Functions'!D47</f>
        <v>84.936163623970671</v>
      </c>
      <c r="Y49" s="61">
        <f>'Spectral Functions'!J47*'Spectral Functions'!D47</f>
        <v>3.4832251439999999</v>
      </c>
      <c r="Z49" s="61">
        <f>L49*'Spectral Functions'!J47*'Spectral Functions'!F47</f>
        <v>666.66121150134245</v>
      </c>
      <c r="AA49" s="62">
        <f>'Spectral Functions'!J47*'Spectral Functions'!F47</f>
        <v>27.339721920000002</v>
      </c>
      <c r="AB49" s="31"/>
      <c r="AC49" s="60">
        <f>L49*'Spectral Functions'!K47*'Spectral Functions'!D47</f>
        <v>250.95883113221396</v>
      </c>
      <c r="AD49" s="61">
        <f>'Spectral Functions'!K47*'Spectral Functions'!D47</f>
        <v>10.291801199999998</v>
      </c>
      <c r="AE49" s="61">
        <f>L49*'Spectral Functions'!K47*'Spectral Functions'!F47</f>
        <v>1969.7677792495199</v>
      </c>
      <c r="AF49" s="62">
        <f>'Spectral Functions'!K47*'Spectral Functions'!F47</f>
        <v>80.780016000000003</v>
      </c>
      <c r="AG49" s="31"/>
    </row>
    <row r="50" spans="1:33">
      <c r="A50" s="42">
        <v>470</v>
      </c>
      <c r="B50" s="31"/>
      <c r="C50" s="157">
        <v>24.193466000000001</v>
      </c>
      <c r="D50" s="47">
        <f t="shared" si="0"/>
        <v>24.193466000000001</v>
      </c>
      <c r="E50" s="31"/>
      <c r="F50" s="157">
        <v>24.193466000000001</v>
      </c>
      <c r="G50" s="47">
        <f t="shared" si="1"/>
        <v>24.193466000000001</v>
      </c>
      <c r="H50" s="31"/>
      <c r="I50" s="157">
        <v>24.193466000000001</v>
      </c>
      <c r="J50" s="47">
        <f t="shared" si="2"/>
        <v>24.193466000000001</v>
      </c>
      <c r="K50" s="54"/>
      <c r="L50" s="47">
        <f t="shared" si="3"/>
        <v>24.193466000000001</v>
      </c>
      <c r="M50" s="133"/>
      <c r="N50" s="60">
        <f>L50*'Spectral Functions'!H48*'Spectral Functions'!D48</f>
        <v>252.82302082460154</v>
      </c>
      <c r="O50" s="61">
        <f>'Spectral Functions'!H48*'Spectral Functions'!D48</f>
        <v>10.450053780000001</v>
      </c>
      <c r="P50" s="61">
        <f>L50*'Spectral Functions'!H48*'Spectral Functions'!F48</f>
        <v>1877.4151777214859</v>
      </c>
      <c r="Q50" s="62">
        <f>'Spectral Functions'!H48*'Spectral Functions'!F48</f>
        <v>77.600091599999999</v>
      </c>
      <c r="R50" s="31"/>
      <c r="S50" s="60">
        <f>L50*'Spectral Functions'!I48*'Spectral Functions'!D48</f>
        <v>13.206729220080001</v>
      </c>
      <c r="T50" s="61">
        <f>'Spectral Functions'!I48*'Spectral Functions'!D48</f>
        <v>0.54588000000000003</v>
      </c>
      <c r="U50" s="61">
        <f>L50*'Spectral Functions'!I48*'Spectral Functions'!F48</f>
        <v>98.070633777599994</v>
      </c>
      <c r="V50" s="62">
        <f>'Spectral Functions'!I48*'Spectral Functions'!F48</f>
        <v>4.0535999999999994</v>
      </c>
      <c r="W50" s="31"/>
      <c r="X50" s="60">
        <f>L50*'Spectral Functions'!J48*'Spectral Functions'!D48</f>
        <v>94.36053949239593</v>
      </c>
      <c r="Y50" s="61">
        <f>'Spectral Functions'!J48*'Spectral Functions'!D48</f>
        <v>3.9002489140000005</v>
      </c>
      <c r="Z50" s="61">
        <f>L50*'Spectral Functions'!J48*'Spectral Functions'!F48</f>
        <v>700.70323676701128</v>
      </c>
      <c r="AA50" s="62">
        <f>'Spectral Functions'!J48*'Spectral Functions'!F48</f>
        <v>28.962499080000001</v>
      </c>
      <c r="AB50" s="31"/>
      <c r="AC50" s="60">
        <f>L50*'Spectral Functions'!K48*'Spectral Functions'!D48</f>
        <v>272.49884624098399</v>
      </c>
      <c r="AD50" s="61">
        <f>'Spectral Functions'!K48*'Spectral Functions'!D48</f>
        <v>11.263324000000001</v>
      </c>
      <c r="AE50" s="61">
        <f>L50*'Spectral Functions'!K48*'Spectral Functions'!F48</f>
        <v>2023.5240769444799</v>
      </c>
      <c r="AF50" s="62">
        <f>'Spectral Functions'!K48*'Spectral Functions'!F48</f>
        <v>83.639279999999999</v>
      </c>
      <c r="AG50" s="31"/>
    </row>
    <row r="51" spans="1:33">
      <c r="A51" s="42">
        <v>472</v>
      </c>
      <c r="B51" s="31"/>
      <c r="C51" s="157">
        <v>24.149094000000002</v>
      </c>
      <c r="D51" s="47">
        <f t="shared" si="0"/>
        <v>24.149094000000002</v>
      </c>
      <c r="E51" s="31"/>
      <c r="F51" s="157">
        <v>24.149094000000002</v>
      </c>
      <c r="G51" s="47">
        <f t="shared" si="1"/>
        <v>24.149094000000002</v>
      </c>
      <c r="H51" s="31"/>
      <c r="I51" s="157">
        <v>24.149094000000002</v>
      </c>
      <c r="J51" s="47">
        <f t="shared" si="2"/>
        <v>24.149094000000002</v>
      </c>
      <c r="K51" s="54"/>
      <c r="L51" s="47">
        <f t="shared" si="3"/>
        <v>24.149094000000002</v>
      </c>
      <c r="M51" s="133"/>
      <c r="N51" s="60">
        <f>L51*'Spectral Functions'!H49*'Spectral Functions'!D49</f>
        <v>275.23979049225562</v>
      </c>
      <c r="O51" s="61">
        <f>'Spectral Functions'!H49*'Spectral Functions'!D49</f>
        <v>11.397520358</v>
      </c>
      <c r="P51" s="61">
        <f>L51*'Spectral Functions'!H49*'Spectral Functions'!F49</f>
        <v>1942.0125516185201</v>
      </c>
      <c r="Q51" s="62">
        <f>'Spectral Functions'!H49*'Spectral Functions'!F49</f>
        <v>80.417615319999996</v>
      </c>
      <c r="R51" s="31"/>
      <c r="S51" s="60">
        <f>L51*'Spectral Functions'!I49*'Spectral Functions'!D49</f>
        <v>28.702453971887998</v>
      </c>
      <c r="T51" s="61">
        <f>'Spectral Functions'!I49*'Spectral Functions'!D49</f>
        <v>1.1885520000000001</v>
      </c>
      <c r="U51" s="61">
        <f>L51*'Spectral Functions'!I49*'Spectral Functions'!F49</f>
        <v>202.51623421152001</v>
      </c>
      <c r="V51" s="62">
        <f>'Spectral Functions'!I49*'Spectral Functions'!F49</f>
        <v>8.3860799999999998</v>
      </c>
      <c r="W51" s="31"/>
      <c r="X51" s="60">
        <f>L51*'Spectral Functions'!J49*'Spectral Functions'!D49</f>
        <v>105.04906804017861</v>
      </c>
      <c r="Y51" s="61">
        <f>'Spectral Functions'!J49*'Spectral Functions'!D49</f>
        <v>4.3500210831999997</v>
      </c>
      <c r="Z51" s="61">
        <f>L51*'Spectral Functions'!J49*'Spectral Functions'!F49</f>
        <v>741.19591613188231</v>
      </c>
      <c r="AA51" s="62">
        <f>'Spectral Functions'!J49*'Spectral Functions'!F49</f>
        <v>30.692493727999999</v>
      </c>
      <c r="AB51" s="31"/>
      <c r="AC51" s="60">
        <f>L51*'Spectral Functions'!K49*'Spectral Functions'!D49</f>
        <v>296.30499983645711</v>
      </c>
      <c r="AD51" s="61">
        <f>'Spectral Functions'!K49*'Spectral Functions'!D49</f>
        <v>12.26981848</v>
      </c>
      <c r="AE51" s="61">
        <f>L51*'Spectral Functions'!K49*'Spectral Functions'!F49</f>
        <v>2090.6425911769247</v>
      </c>
      <c r="AF51" s="62">
        <f>'Spectral Functions'!K49*'Spectral Functions'!F49</f>
        <v>86.572299200000003</v>
      </c>
      <c r="AG51" s="31"/>
    </row>
    <row r="52" spans="1:33">
      <c r="A52" s="42">
        <v>474</v>
      </c>
      <c r="B52" s="31"/>
      <c r="C52" s="157">
        <v>23.964219</v>
      </c>
      <c r="D52" s="47">
        <f t="shared" si="0"/>
        <v>23.964219</v>
      </c>
      <c r="E52" s="31"/>
      <c r="F52" s="157">
        <v>23.964219</v>
      </c>
      <c r="G52" s="47">
        <f t="shared" si="1"/>
        <v>23.964219</v>
      </c>
      <c r="H52" s="31"/>
      <c r="I52" s="157">
        <v>23.964219</v>
      </c>
      <c r="J52" s="47">
        <f t="shared" si="2"/>
        <v>23.964219</v>
      </c>
      <c r="K52" s="54"/>
      <c r="L52" s="47">
        <f t="shared" si="3"/>
        <v>23.964219</v>
      </c>
      <c r="M52" s="133"/>
      <c r="N52" s="60">
        <f>L52*'Spectral Functions'!H50*'Spectral Functions'!D50</f>
        <v>298.05809179703408</v>
      </c>
      <c r="O52" s="61">
        <f>'Spectral Functions'!H50*'Spectral Functions'!D50</f>
        <v>12.437630109999999</v>
      </c>
      <c r="P52" s="61">
        <f>L52*'Spectral Functions'!H50*'Spectral Functions'!F50</f>
        <v>1994.9185421958789</v>
      </c>
      <c r="Q52" s="62">
        <f>'Spectral Functions'!H50*'Spectral Functions'!F50</f>
        <v>83.245714880000008</v>
      </c>
      <c r="R52" s="31"/>
      <c r="S52" s="60">
        <f>L52*'Spectral Functions'!I50*'Spectral Functions'!D50</f>
        <v>46.536835802669998</v>
      </c>
      <c r="T52" s="61">
        <f>'Spectral Functions'!I50*'Spectral Functions'!D50</f>
        <v>1.9419299999999999</v>
      </c>
      <c r="U52" s="61">
        <f>L52*'Spectral Functions'!I50*'Spectral Functions'!F50</f>
        <v>311.47349859936003</v>
      </c>
      <c r="V52" s="62">
        <f>'Spectral Functions'!I50*'Spectral Functions'!F50</f>
        <v>12.997440000000001</v>
      </c>
      <c r="W52" s="31"/>
      <c r="X52" s="60">
        <f>L52*'Spectral Functions'!J50*'Spectral Functions'!D50</f>
        <v>116.2945185189656</v>
      </c>
      <c r="Y52" s="61">
        <f>'Spectral Functions'!J50*'Spectral Functions'!D50</f>
        <v>4.8528399159999998</v>
      </c>
      <c r="Z52" s="61">
        <f>L52*'Spectral Functions'!J50*'Spectral Functions'!F50</f>
        <v>778.36535136649854</v>
      </c>
      <c r="AA52" s="62">
        <f>'Spectral Functions'!J50*'Spectral Functions'!F50</f>
        <v>32.480313728000006</v>
      </c>
      <c r="AB52" s="31"/>
      <c r="AC52" s="60">
        <f>L52*'Spectral Functions'!K50*'Spectral Functions'!D50</f>
        <v>320.48367589438737</v>
      </c>
      <c r="AD52" s="61">
        <f>'Spectral Functions'!K50*'Spectral Functions'!D50</f>
        <v>13.373424599999998</v>
      </c>
      <c r="AE52" s="61">
        <f>L52*'Spectral Functions'!K50*'Spectral Functions'!F50</f>
        <v>2145.0141603542593</v>
      </c>
      <c r="AF52" s="62">
        <f>'Spectral Functions'!K50*'Spectral Functions'!F50</f>
        <v>89.509036800000004</v>
      </c>
      <c r="AG52" s="31"/>
    </row>
    <row r="53" spans="1:33">
      <c r="A53" s="42">
        <v>476</v>
      </c>
      <c r="B53" s="31"/>
      <c r="C53" s="157">
        <v>23.821695999999999</v>
      </c>
      <c r="D53" s="47">
        <f t="shared" si="0"/>
        <v>23.821695999999999</v>
      </c>
      <c r="E53" s="31"/>
      <c r="F53" s="157">
        <v>23.821695999999999</v>
      </c>
      <c r="G53" s="47">
        <f t="shared" si="1"/>
        <v>23.821695999999999</v>
      </c>
      <c r="H53" s="31"/>
      <c r="I53" s="157">
        <v>23.821695999999999</v>
      </c>
      <c r="J53" s="47">
        <f t="shared" si="2"/>
        <v>23.821695999999999</v>
      </c>
      <c r="K53" s="54"/>
      <c r="L53" s="47">
        <f t="shared" si="3"/>
        <v>23.821695999999999</v>
      </c>
      <c r="M53" s="133"/>
      <c r="N53" s="60">
        <f>L53*'Spectral Functions'!H51*'Spectral Functions'!D51</f>
        <v>323.37263720526744</v>
      </c>
      <c r="O53" s="61">
        <f>'Spectral Functions'!H51*'Spectral Functions'!D51</f>
        <v>13.574710936000001</v>
      </c>
      <c r="P53" s="61">
        <f>L53*'Spectral Functions'!H51*'Spectral Functions'!F51</f>
        <v>2051.3026528499404</v>
      </c>
      <c r="Q53" s="62">
        <f>'Spectral Functions'!H51*'Spectral Functions'!F51</f>
        <v>86.110688879999998</v>
      </c>
      <c r="R53" s="31"/>
      <c r="S53" s="60">
        <f>L53*'Spectral Functions'!I51*'Spectral Functions'!D51</f>
        <v>53.196419911167993</v>
      </c>
      <c r="T53" s="61">
        <f>'Spectral Functions'!I51*'Spectral Functions'!D51</f>
        <v>2.2331080000000001</v>
      </c>
      <c r="U53" s="61">
        <f>L53*'Spectral Functions'!I51*'Spectral Functions'!F51</f>
        <v>337.44956972543997</v>
      </c>
      <c r="V53" s="62">
        <f>'Spectral Functions'!I51*'Spectral Functions'!F51</f>
        <v>14.16564</v>
      </c>
      <c r="W53" s="31"/>
      <c r="X53" s="60">
        <f>L53*'Spectral Functions'!J51*'Spectral Functions'!D51</f>
        <v>128.94896180814351</v>
      </c>
      <c r="Y53" s="61">
        <f>'Spectral Functions'!J51*'Spectral Functions'!D51</f>
        <v>5.4130890516000001</v>
      </c>
      <c r="Z53" s="61">
        <f>L53*'Spectral Functions'!J51*'Spectral Functions'!F51</f>
        <v>817.98308516556756</v>
      </c>
      <c r="AA53" s="62">
        <f>'Spectral Functions'!J51*'Spectral Functions'!F51</f>
        <v>34.337735027999997</v>
      </c>
      <c r="AB53" s="31"/>
      <c r="AC53" s="60">
        <f>L53*'Spectral Functions'!K51*'Spectral Functions'!D51</f>
        <v>347.12063897824254</v>
      </c>
      <c r="AD53" s="61">
        <f>'Spectral Functions'!K51*'Spectral Functions'!D51</f>
        <v>14.571617359999999</v>
      </c>
      <c r="AE53" s="61">
        <f>L53*'Spectral Functions'!K51*'Spectral Functions'!F51</f>
        <v>2201.9472449768446</v>
      </c>
      <c r="AF53" s="62">
        <f>'Spectral Functions'!K51*'Spectral Functions'!F51</f>
        <v>92.43452880000001</v>
      </c>
      <c r="AG53" s="31"/>
    </row>
    <row r="54" spans="1:33">
      <c r="A54" s="42">
        <v>478</v>
      </c>
      <c r="B54" s="31"/>
      <c r="C54" s="157">
        <v>23.774229999999999</v>
      </c>
      <c r="D54" s="47">
        <f t="shared" si="0"/>
        <v>23.774229999999999</v>
      </c>
      <c r="E54" s="31"/>
      <c r="F54" s="157">
        <v>23.774229999999999</v>
      </c>
      <c r="G54" s="47">
        <f t="shared" si="1"/>
        <v>23.774229999999999</v>
      </c>
      <c r="H54" s="31"/>
      <c r="I54" s="157">
        <v>23.774229999999999</v>
      </c>
      <c r="J54" s="47">
        <f t="shared" si="2"/>
        <v>23.774229999999999</v>
      </c>
      <c r="K54" s="54"/>
      <c r="L54" s="47">
        <f t="shared" si="3"/>
        <v>23.774229999999999</v>
      </c>
      <c r="M54" s="133"/>
      <c r="N54" s="60">
        <f>L54*'Spectral Functions'!H52*'Spectral Functions'!D52</f>
        <v>352.09801120932684</v>
      </c>
      <c r="O54" s="61">
        <f>'Spectral Functions'!H52*'Spectral Functions'!D52</f>
        <v>14.810070029999999</v>
      </c>
      <c r="P54" s="61">
        <f>L54*'Spectral Functions'!H52*'Spectral Functions'!F52</f>
        <v>2116.2247784106235</v>
      </c>
      <c r="Q54" s="62">
        <f>'Spectral Functions'!H52*'Spectral Functions'!F52</f>
        <v>89.013388799999987</v>
      </c>
      <c r="R54" s="31"/>
      <c r="S54" s="60">
        <f>L54*'Spectral Functions'!I52*'Spectral Functions'!D52</f>
        <v>48.686960326239998</v>
      </c>
      <c r="T54" s="61">
        <f>'Spectral Functions'!I52*'Spectral Functions'!D52</f>
        <v>2.0478879999999999</v>
      </c>
      <c r="U54" s="61">
        <f>L54*'Spectral Functions'!I52*'Spectral Functions'!F52</f>
        <v>292.6246344704</v>
      </c>
      <c r="V54" s="62">
        <f>'Spectral Functions'!I52*'Spectral Functions'!F52</f>
        <v>12.308479999999999</v>
      </c>
      <c r="W54" s="31"/>
      <c r="X54" s="60">
        <f>L54*'Spectral Functions'!J52*'Spectral Functions'!D52</f>
        <v>143.45399854675188</v>
      </c>
      <c r="Y54" s="61">
        <f>'Spectral Functions'!J52*'Spectral Functions'!D52</f>
        <v>6.0340123969000006</v>
      </c>
      <c r="Z54" s="61">
        <f>L54*'Spectral Functions'!J52*'Spectral Functions'!F52</f>
        <v>862.20568313927549</v>
      </c>
      <c r="AA54" s="62">
        <f>'Spectral Functions'!J52*'Spectral Functions'!F52</f>
        <v>36.266397824000002</v>
      </c>
      <c r="AB54" s="31"/>
      <c r="AC54" s="60">
        <f>L54*'Spectral Functions'!K52*'Spectral Functions'!D52</f>
        <v>377.14136642713657</v>
      </c>
      <c r="AD54" s="61">
        <f>'Spectral Functions'!K52*'Spectral Functions'!D52</f>
        <v>15.86345242</v>
      </c>
      <c r="AE54" s="61">
        <f>L54*'Spectral Functions'!K52*'Spectral Functions'!F52</f>
        <v>2266.7435747663358</v>
      </c>
      <c r="AF54" s="62">
        <f>'Spectral Functions'!K52*'Spectral Functions'!F52</f>
        <v>95.344563199999996</v>
      </c>
      <c r="AG54" s="31"/>
    </row>
    <row r="55" spans="1:33">
      <c r="A55" s="42">
        <v>480</v>
      </c>
      <c r="B55" s="31"/>
      <c r="C55" s="157">
        <v>23.924607000000002</v>
      </c>
      <c r="D55" s="47">
        <f t="shared" si="0"/>
        <v>23.924607000000002</v>
      </c>
      <c r="E55" s="31"/>
      <c r="F55" s="157">
        <v>23.924607000000002</v>
      </c>
      <c r="G55" s="47">
        <f t="shared" si="1"/>
        <v>23.924607000000002</v>
      </c>
      <c r="H55" s="31"/>
      <c r="I55" s="157">
        <v>23.924607000000002</v>
      </c>
      <c r="J55" s="47">
        <f t="shared" si="2"/>
        <v>23.924607000000002</v>
      </c>
      <c r="K55" s="54"/>
      <c r="L55" s="47">
        <f t="shared" si="3"/>
        <v>23.924606999999998</v>
      </c>
      <c r="M55" s="133"/>
      <c r="N55" s="60">
        <f>L55*'Spectral Functions'!H53*'Spectral Functions'!D53</f>
        <v>385.55976644362426</v>
      </c>
      <c r="O55" s="61">
        <f>'Spectral Functions'!H53*'Spectral Functions'!D53</f>
        <v>16.115615460000001</v>
      </c>
      <c r="P55" s="61">
        <f>L55*'Spectral Functions'!H53*'Spectral Functions'!F53</f>
        <v>2199.3158882879729</v>
      </c>
      <c r="Q55" s="62">
        <f>'Spectral Functions'!H53*'Spectral Functions'!F53</f>
        <v>91.926939000000004</v>
      </c>
      <c r="R55" s="31"/>
      <c r="S55" s="60">
        <f>L55*'Spectral Functions'!I53*'Spectral Functions'!D53</f>
        <v>39.911986381680002</v>
      </c>
      <c r="T55" s="61">
        <f>'Spectral Functions'!I53*'Spectral Functions'!D53</f>
        <v>1.6682399999999999</v>
      </c>
      <c r="U55" s="61">
        <f>L55*'Spectral Functions'!I53*'Spectral Functions'!F53</f>
        <v>227.66656021200001</v>
      </c>
      <c r="V55" s="62">
        <f>'Spectral Functions'!I53*'Spectral Functions'!F53</f>
        <v>9.516</v>
      </c>
      <c r="W55" s="31"/>
      <c r="X55" s="60">
        <f>L55*'Spectral Functions'!J53*'Spectral Functions'!D53</f>
        <v>160.45383505174343</v>
      </c>
      <c r="Y55" s="61">
        <f>'Spectral Functions'!J53*'Spectral Functions'!D53</f>
        <v>6.7066445460000006</v>
      </c>
      <c r="Z55" s="61">
        <f>L55*'Spectral Functions'!J53*'Spectral Functions'!F53</f>
        <v>915.26320814294741</v>
      </c>
      <c r="AA55" s="62">
        <f>'Spectral Functions'!J53*'Spectral Functions'!F53</f>
        <v>38.256143900000005</v>
      </c>
      <c r="AB55" s="31"/>
      <c r="AC55" s="60">
        <f>L55*'Spectral Functions'!K53*'Spectral Functions'!D53</f>
        <v>412.09125939084595</v>
      </c>
      <c r="AD55" s="61">
        <f>'Spectral Functions'!K53*'Spectral Functions'!D53</f>
        <v>17.224578000000001</v>
      </c>
      <c r="AE55" s="61">
        <f>L55*'Spectral Functions'!K53*'Spectral Functions'!F53</f>
        <v>2350.6572341889</v>
      </c>
      <c r="AF55" s="62">
        <f>'Spectral Functions'!K53*'Spectral Functions'!F53</f>
        <v>98.252700000000004</v>
      </c>
      <c r="AG55" s="31"/>
    </row>
    <row r="56" spans="1:33">
      <c r="A56" s="42">
        <v>482</v>
      </c>
      <c r="B56" s="31"/>
      <c r="C56" s="157">
        <v>24.216695000000001</v>
      </c>
      <c r="D56" s="47">
        <f t="shared" si="0"/>
        <v>24.216695000000001</v>
      </c>
      <c r="E56" s="31"/>
      <c r="F56" s="157">
        <v>24.216695000000001</v>
      </c>
      <c r="G56" s="47">
        <f t="shared" si="1"/>
        <v>24.216695000000001</v>
      </c>
      <c r="H56" s="31"/>
      <c r="I56" s="157">
        <v>24.216695000000001</v>
      </c>
      <c r="J56" s="47">
        <f t="shared" si="2"/>
        <v>24.216695000000001</v>
      </c>
      <c r="K56" s="54"/>
      <c r="L56" s="47">
        <f t="shared" si="3"/>
        <v>24.216695000000001</v>
      </c>
      <c r="M56" s="133"/>
      <c r="N56" s="60">
        <f>L56*'Spectral Functions'!H54*'Spectral Functions'!D54</f>
        <v>417.22218525484749</v>
      </c>
      <c r="O56" s="61">
        <f>'Spectral Functions'!H54*'Spectral Functions'!D54</f>
        <v>17.228700499999999</v>
      </c>
      <c r="P56" s="61">
        <f>L56*'Spectral Functions'!H54*'Spectral Functions'!F54</f>
        <v>2263.0578970924003</v>
      </c>
      <c r="Q56" s="62">
        <f>'Spectral Functions'!H54*'Spectral Functions'!F54</f>
        <v>93.450320000000005</v>
      </c>
      <c r="R56" s="31"/>
      <c r="S56" s="60">
        <f>L56*'Spectral Functions'!I54*'Spectral Functions'!D54</f>
        <v>76.521099479054996</v>
      </c>
      <c r="T56" s="61">
        <f>'Spectral Functions'!I54*'Spectral Functions'!D54</f>
        <v>3.1598489999999999</v>
      </c>
      <c r="U56" s="61">
        <f>L56*'Spectral Functions'!I54*'Spectral Functions'!F54</f>
        <v>415.05865361520006</v>
      </c>
      <c r="V56" s="62">
        <f>'Spectral Functions'!I54*'Spectral Functions'!F54</f>
        <v>17.13936</v>
      </c>
      <c r="W56" s="31"/>
      <c r="X56" s="60">
        <f>L56*'Spectral Functions'!J54*'Spectral Functions'!D54</f>
        <v>179.83660851998312</v>
      </c>
      <c r="Y56" s="61">
        <f>'Spectral Functions'!J54*'Spectral Functions'!D54</f>
        <v>7.4261416976999994</v>
      </c>
      <c r="Z56" s="61">
        <f>L56*'Spectral Functions'!J54*'Spectral Functions'!F54</f>
        <v>975.453059498431</v>
      </c>
      <c r="AA56" s="62">
        <f>'Spectral Functions'!J54*'Spectral Functions'!F54</f>
        <v>40.280189327999999</v>
      </c>
      <c r="AB56" s="31"/>
      <c r="AC56" s="60">
        <f>L56*'Spectral Functions'!K54*'Spectral Functions'!D54</f>
        <v>450.05338079324207</v>
      </c>
      <c r="AD56" s="61">
        <f>'Spectral Functions'!K54*'Spectral Functions'!D54</f>
        <v>18.584426189999999</v>
      </c>
      <c r="AE56" s="61">
        <f>L56*'Spectral Functions'!K54*'Spectral Functions'!F54</f>
        <v>2441.137824191112</v>
      </c>
      <c r="AF56" s="62">
        <f>'Spectral Functions'!K54*'Spectral Functions'!F54</f>
        <v>100.80392160000001</v>
      </c>
      <c r="AG56" s="31"/>
    </row>
    <row r="57" spans="1:33">
      <c r="A57" s="42">
        <v>484</v>
      </c>
      <c r="B57" s="31"/>
      <c r="C57" s="157">
        <v>24.427430999999999</v>
      </c>
      <c r="D57" s="47">
        <f t="shared" si="0"/>
        <v>24.427430999999999</v>
      </c>
      <c r="E57" s="31"/>
      <c r="F57" s="157">
        <v>24.427430999999999</v>
      </c>
      <c r="G57" s="47">
        <f t="shared" si="1"/>
        <v>24.427430999999999</v>
      </c>
      <c r="H57" s="31"/>
      <c r="I57" s="157">
        <v>24.427430999999999</v>
      </c>
      <c r="J57" s="47">
        <f t="shared" si="2"/>
        <v>24.427430999999999</v>
      </c>
      <c r="K57" s="54"/>
      <c r="L57" s="47">
        <f t="shared" si="3"/>
        <v>24.427430999999999</v>
      </c>
      <c r="M57" s="133"/>
      <c r="N57" s="60">
        <f>L57*'Spectral Functions'!H55*'Spectral Functions'!D55</f>
        <v>449.46048012471573</v>
      </c>
      <c r="O57" s="61">
        <f>'Spectral Functions'!H55*'Spectral Functions'!D55</f>
        <v>18.399826004000001</v>
      </c>
      <c r="P57" s="61">
        <f>L57*'Spectral Functions'!H55*'Spectral Functions'!F55</f>
        <v>2318.3739363701397</v>
      </c>
      <c r="Q57" s="62">
        <f>'Spectral Functions'!H55*'Spectral Functions'!F55</f>
        <v>94.908626959999992</v>
      </c>
      <c r="R57" s="31"/>
      <c r="S57" s="60">
        <f>L57*'Spectral Functions'!I55*'Spectral Functions'!D55</f>
        <v>119.24348152373999</v>
      </c>
      <c r="T57" s="61">
        <f>'Spectral Functions'!I55*'Spectral Functions'!D55</f>
        <v>4.8815400000000002</v>
      </c>
      <c r="U57" s="61">
        <f>L57*'Spectral Functions'!I55*'Spectral Functions'!F55</f>
        <v>615.07294160759989</v>
      </c>
      <c r="V57" s="62">
        <f>'Spectral Functions'!I55*'Spectral Functions'!F55</f>
        <v>25.179599999999997</v>
      </c>
      <c r="W57" s="31"/>
      <c r="X57" s="60">
        <f>L57*'Spectral Functions'!J55*'Spectral Functions'!D55</f>
        <v>200.63113244640999</v>
      </c>
      <c r="Y57" s="61">
        <f>'Spectral Functions'!J55*'Spectral Functions'!D55</f>
        <v>8.2133537679999993</v>
      </c>
      <c r="Z57" s="61">
        <f>L57*'Spectral Functions'!J55*'Spectral Functions'!F55</f>
        <v>1034.8807266861738</v>
      </c>
      <c r="AA57" s="62">
        <f>'Spectral Functions'!J55*'Spectral Functions'!F55</f>
        <v>42.365516319999998</v>
      </c>
      <c r="AB57" s="31"/>
      <c r="AC57" s="60">
        <f>L57*'Spectral Functions'!K55*'Spectral Functions'!D55</f>
        <v>489.37524817342893</v>
      </c>
      <c r="AD57" s="61">
        <f>'Spectral Functions'!K55*'Spectral Functions'!D55</f>
        <v>20.03384016</v>
      </c>
      <c r="AE57" s="61">
        <f>L57*'Spectral Functions'!K55*'Spectral Functions'!F55</f>
        <v>2524.2593523575902</v>
      </c>
      <c r="AF57" s="62">
        <f>'Spectral Functions'!K55*'Spectral Functions'!F55</f>
        <v>103.3370784</v>
      </c>
      <c r="AG57" s="31"/>
    </row>
    <row r="58" spans="1:33">
      <c r="A58" s="42">
        <v>486</v>
      </c>
      <c r="B58" s="31"/>
      <c r="C58" s="157">
        <v>24.576367000000001</v>
      </c>
      <c r="D58" s="47">
        <f t="shared" si="0"/>
        <v>24.576367000000001</v>
      </c>
      <c r="E58" s="31"/>
      <c r="F58" s="157">
        <v>24.576367000000001</v>
      </c>
      <c r="G58" s="47">
        <f t="shared" si="1"/>
        <v>24.576367000000001</v>
      </c>
      <c r="H58" s="31"/>
      <c r="I58" s="157">
        <v>24.576367000000001</v>
      </c>
      <c r="J58" s="47">
        <f t="shared" si="2"/>
        <v>24.576367000000001</v>
      </c>
      <c r="K58" s="54"/>
      <c r="L58" s="47">
        <f t="shared" si="3"/>
        <v>24.576367000000001</v>
      </c>
      <c r="M58" s="133"/>
      <c r="N58" s="60">
        <f>L58*'Spectral Functions'!H56*'Spectral Functions'!D56</f>
        <v>483.62821075695382</v>
      </c>
      <c r="O58" s="61">
        <f>'Spectral Functions'!H56*'Spectral Functions'!D56</f>
        <v>19.678588408000003</v>
      </c>
      <c r="P58" s="61">
        <f>L58*'Spectral Functions'!H56*'Spectral Functions'!F56</f>
        <v>2364.2606731840483</v>
      </c>
      <c r="Q58" s="62">
        <f>'Spectral Functions'!H56*'Spectral Functions'!F56</f>
        <v>96.200576480000009</v>
      </c>
      <c r="R58" s="31"/>
      <c r="S58" s="60">
        <f>L58*'Spectral Functions'!I56*'Spectral Functions'!D56</f>
        <v>255.55334630167906</v>
      </c>
      <c r="T58" s="61">
        <f>'Spectral Functions'!I56*'Spectral Functions'!D56</f>
        <v>10.398337000000001</v>
      </c>
      <c r="U58" s="61">
        <f>L58*'Spectral Functions'!I56*'Spectral Functions'!F56</f>
        <v>1249.2958705117401</v>
      </c>
      <c r="V58" s="62">
        <f>'Spectral Functions'!I56*'Spectral Functions'!F56</f>
        <v>50.833219999999997</v>
      </c>
      <c r="W58" s="31"/>
      <c r="X58" s="60">
        <f>L58*'Spectral Functions'!J56*'Spectral Functions'!D56</f>
        <v>223.54593938929111</v>
      </c>
      <c r="Y58" s="61">
        <f>'Spectral Functions'!J56*'Spectral Functions'!D56</f>
        <v>9.0959717272000002</v>
      </c>
      <c r="Z58" s="61">
        <f>L58*'Spectral Functions'!J56*'Spectral Functions'!F56</f>
        <v>1092.8247389060866</v>
      </c>
      <c r="AA58" s="62">
        <f>'Spectral Functions'!J56*'Spectral Functions'!F56</f>
        <v>44.466488431999998</v>
      </c>
      <c r="AB58" s="31"/>
      <c r="AC58" s="60">
        <f>L58*'Spectral Functions'!K56*'Spectral Functions'!D56</f>
        <v>530.51142127168896</v>
      </c>
      <c r="AD58" s="61">
        <f>'Spectral Functions'!K56*'Spectral Functions'!D56</f>
        <v>21.586242640000002</v>
      </c>
      <c r="AE58" s="61">
        <f>L58*'Spectral Functions'!K56*'Spectral Functions'!F56</f>
        <v>2593.4535291572533</v>
      </c>
      <c r="AF58" s="62">
        <f>'Spectral Functions'!K56*'Spectral Functions'!F56</f>
        <v>105.52631840000001</v>
      </c>
      <c r="AG58" s="31"/>
    </row>
    <row r="59" spans="1:33">
      <c r="A59" s="42">
        <v>488</v>
      </c>
      <c r="B59" s="31"/>
      <c r="C59" s="157">
        <v>24.675871999999998</v>
      </c>
      <c r="D59" s="47">
        <f t="shared" si="0"/>
        <v>24.675871999999998</v>
      </c>
      <c r="E59" s="31"/>
      <c r="F59" s="157">
        <v>24.675871999999998</v>
      </c>
      <c r="G59" s="47">
        <f t="shared" si="1"/>
        <v>24.675871999999998</v>
      </c>
      <c r="H59" s="31"/>
      <c r="I59" s="157">
        <v>24.675871999999998</v>
      </c>
      <c r="J59" s="47">
        <f t="shared" si="2"/>
        <v>24.675871999999998</v>
      </c>
      <c r="K59" s="54"/>
      <c r="L59" s="47">
        <f t="shared" si="3"/>
        <v>24.675871999999998</v>
      </c>
      <c r="M59" s="133"/>
      <c r="N59" s="60">
        <f>L59*'Spectral Functions'!H57*'Spectral Functions'!D57</f>
        <v>520.2835271907162</v>
      </c>
      <c r="O59" s="61">
        <f>'Spectral Functions'!H57*'Spectral Functions'!D57</f>
        <v>21.084706841999999</v>
      </c>
      <c r="P59" s="61">
        <f>L59*'Spectral Functions'!H57*'Spectral Functions'!F57</f>
        <v>2401.6810308655172</v>
      </c>
      <c r="Q59" s="62">
        <f>'Spectral Functions'!H57*'Spectral Functions'!F57</f>
        <v>97.329125019999992</v>
      </c>
      <c r="R59" s="31"/>
      <c r="S59" s="60">
        <f>L59*'Spectral Functions'!I57*'Spectral Functions'!D57</f>
        <v>519.18380150207997</v>
      </c>
      <c r="T59" s="61">
        <f>'Spectral Functions'!I57*'Spectral Functions'!D57</f>
        <v>21.040140000000001</v>
      </c>
      <c r="U59" s="61">
        <f>L59*'Spectral Functions'!I57*'Spectral Functions'!F57</f>
        <v>2396.6045866047998</v>
      </c>
      <c r="V59" s="62">
        <f>'Spectral Functions'!I57*'Spectral Functions'!F57</f>
        <v>97.12339999999999</v>
      </c>
      <c r="W59" s="31"/>
      <c r="X59" s="60">
        <f>L59*'Spectral Functions'!J57*'Spectral Functions'!D57</f>
        <v>249.00102318567167</v>
      </c>
      <c r="Y59" s="61">
        <f>'Spectral Functions'!J57*'Spectral Functions'!D57</f>
        <v>10.0908702714</v>
      </c>
      <c r="Z59" s="61">
        <f>L59*'Spectral Functions'!J57*'Spectral Functions'!F57</f>
        <v>1149.4137384671044</v>
      </c>
      <c r="AA59" s="62">
        <f>'Spectral Functions'!J57*'Spectral Functions'!F57</f>
        <v>46.580470933999997</v>
      </c>
      <c r="AB59" s="31"/>
      <c r="AC59" s="60">
        <f>L59*'Spectral Functions'!K57*'Spectral Functions'!D57</f>
        <v>573.88689476943557</v>
      </c>
      <c r="AD59" s="61">
        <f>'Spectral Functions'!K57*'Spectral Functions'!D57</f>
        <v>23.257005660000001</v>
      </c>
      <c r="AE59" s="61">
        <f>L59*'Spectral Functions'!K57*'Spectral Functions'!F57</f>
        <v>2649.1195607752511</v>
      </c>
      <c r="AF59" s="62">
        <f>'Spectral Functions'!K57*'Spectral Functions'!F57</f>
        <v>107.35667459999999</v>
      </c>
      <c r="AG59" s="31"/>
    </row>
    <row r="60" spans="1:33">
      <c r="A60" s="42">
        <v>490</v>
      </c>
      <c r="B60" s="31"/>
      <c r="C60" s="157">
        <v>24.722206</v>
      </c>
      <c r="D60" s="47">
        <f t="shared" si="0"/>
        <v>24.722206</v>
      </c>
      <c r="E60" s="31"/>
      <c r="F60" s="157">
        <v>24.722206</v>
      </c>
      <c r="G60" s="47">
        <f t="shared" si="1"/>
        <v>24.722206</v>
      </c>
      <c r="H60" s="31"/>
      <c r="I60" s="157">
        <v>24.722206</v>
      </c>
      <c r="J60" s="47">
        <f t="shared" si="2"/>
        <v>24.722206</v>
      </c>
      <c r="K60" s="54"/>
      <c r="L60" s="47">
        <f t="shared" si="3"/>
        <v>24.722206</v>
      </c>
      <c r="M60" s="133"/>
      <c r="N60" s="60">
        <f>L60*'Spectral Functions'!H58*'Spectral Functions'!D58</f>
        <v>559.58377602886935</v>
      </c>
      <c r="O60" s="61">
        <f>'Spectral Functions'!H58*'Spectral Functions'!D58</f>
        <v>22.634864220000004</v>
      </c>
      <c r="P60" s="61">
        <f>L60*'Spectral Functions'!H58*'Spectral Functions'!F58</f>
        <v>2432.6103675747836</v>
      </c>
      <c r="Q60" s="62">
        <f>'Spectral Functions'!H58*'Spectral Functions'!F58</f>
        <v>98.397787300000005</v>
      </c>
      <c r="R60" s="31"/>
      <c r="S60" s="60">
        <f>L60*'Spectral Functions'!I58*'Spectral Functions'!D58</f>
        <v>822.83412673920009</v>
      </c>
      <c r="T60" s="61">
        <f>'Spectral Functions'!I58*'Spectral Functions'!D58</f>
        <v>33.283200000000001</v>
      </c>
      <c r="U60" s="61">
        <f>L60*'Spectral Functions'!I58*'Spectral Functions'!F58</f>
        <v>3577.0065417279998</v>
      </c>
      <c r="V60" s="62">
        <f>'Spectral Functions'!I58*'Spectral Functions'!F58</f>
        <v>144.68799999999999</v>
      </c>
      <c r="W60" s="31"/>
      <c r="X60" s="60">
        <f>L60*'Spectral Functions'!J58*'Spectral Functions'!D58</f>
        <v>277.260130260724</v>
      </c>
      <c r="Y60" s="61">
        <f>'Spectral Functions'!J58*'Spectral Functions'!D58</f>
        <v>11.215023864000001</v>
      </c>
      <c r="Z60" s="61">
        <f>L60*'Spectral Functions'!J58*'Spectral Functions'!F58</f>
        <v>1205.2991817843126</v>
      </c>
      <c r="AA60" s="62">
        <f>'Spectral Functions'!J58*'Spectral Functions'!F58</f>
        <v>48.75370676</v>
      </c>
      <c r="AB60" s="31"/>
      <c r="AC60" s="60">
        <f>L60*'Spectral Functions'!K58*'Spectral Functions'!D58</f>
        <v>620.72549435888402</v>
      </c>
      <c r="AD60" s="61">
        <f>'Spectral Functions'!K58*'Spectral Functions'!D58</f>
        <v>25.108014000000001</v>
      </c>
      <c r="AE60" s="61">
        <f>L60*'Spectral Functions'!K58*'Spectral Functions'!F58</f>
        <v>2698.4043099160604</v>
      </c>
      <c r="AF60" s="62">
        <f>'Spectral Functions'!K58*'Spectral Functions'!F58</f>
        <v>109.14901</v>
      </c>
      <c r="AG60" s="31"/>
    </row>
    <row r="61" spans="1:33">
      <c r="A61" s="42">
        <v>492</v>
      </c>
      <c r="B61" s="31"/>
      <c r="C61" s="157">
        <v>24.915568</v>
      </c>
      <c r="D61" s="47">
        <f t="shared" si="0"/>
        <v>24.915568</v>
      </c>
      <c r="E61" s="31"/>
      <c r="F61" s="157">
        <v>24.915568</v>
      </c>
      <c r="G61" s="47">
        <f t="shared" si="1"/>
        <v>24.915568</v>
      </c>
      <c r="H61" s="31"/>
      <c r="I61" s="157">
        <v>24.915568</v>
      </c>
      <c r="J61" s="47">
        <f t="shared" si="2"/>
        <v>24.915568</v>
      </c>
      <c r="K61" s="54"/>
      <c r="L61" s="47">
        <f t="shared" si="3"/>
        <v>24.915567999999997</v>
      </c>
      <c r="M61" s="133"/>
      <c r="N61" s="60">
        <f>L61*'Spectral Functions'!H59*'Spectral Functions'!D59</f>
        <v>615.30862510617101</v>
      </c>
      <c r="O61" s="61">
        <f>'Spectral Functions'!H59*'Spectral Functions'!D59</f>
        <v>24.695749464999999</v>
      </c>
      <c r="P61" s="61">
        <f>L61*'Spectral Functions'!H59*'Spectral Functions'!F59</f>
        <v>2502.7010397398417</v>
      </c>
      <c r="Q61" s="62">
        <f>'Spectral Functions'!H59*'Spectral Functions'!F59</f>
        <v>100.44728018000001</v>
      </c>
      <c r="R61" s="31"/>
      <c r="S61" s="60">
        <f>L61*'Spectral Functions'!I59*'Spectral Functions'!D59</f>
        <v>932.1231662291998</v>
      </c>
      <c r="T61" s="61">
        <f>'Spectral Functions'!I59*'Spectral Functions'!D59</f>
        <v>37.411274999999996</v>
      </c>
      <c r="U61" s="61">
        <f>L61*'Spectral Functions'!I59*'Spectral Functions'!F59</f>
        <v>3791.3097949583994</v>
      </c>
      <c r="V61" s="62">
        <f>'Spectral Functions'!I59*'Spectral Functions'!F59</f>
        <v>152.16630000000001</v>
      </c>
      <c r="W61" s="31"/>
      <c r="X61" s="60">
        <f>L61*'Spectral Functions'!J59*'Spectral Functions'!D59</f>
        <v>311.16700458194197</v>
      </c>
      <c r="Y61" s="61">
        <f>'Spectral Functions'!J59*'Spectral Functions'!D59</f>
        <v>12.488858555499998</v>
      </c>
      <c r="Z61" s="61">
        <f>L61*'Spectral Functions'!J59*'Spectral Functions'!F59</f>
        <v>1265.6380133881339</v>
      </c>
      <c r="AA61" s="62">
        <f>'Spectral Functions'!J59*'Spectral Functions'!F59</f>
        <v>50.797076486000002</v>
      </c>
      <c r="AB61" s="31"/>
      <c r="AC61" s="60">
        <f>L61*'Spectral Functions'!K59*'Spectral Functions'!D59</f>
        <v>673.27538758300636</v>
      </c>
      <c r="AD61" s="61">
        <f>'Spectral Functions'!K59*'Spectral Functions'!D59</f>
        <v>27.022277299999999</v>
      </c>
      <c r="AE61" s="61">
        <f>L61*'Spectral Functions'!K59*'Spectral Functions'!F59</f>
        <v>2738.4745537160129</v>
      </c>
      <c r="AF61" s="62">
        <f>'Spectral Functions'!K59*'Spectral Functions'!F59</f>
        <v>109.91017960000001</v>
      </c>
      <c r="AG61" s="31"/>
    </row>
    <row r="62" spans="1:33">
      <c r="A62" s="42">
        <v>494</v>
      </c>
      <c r="B62" s="31"/>
      <c r="C62" s="157">
        <v>25.120926000000001</v>
      </c>
      <c r="D62" s="47">
        <f t="shared" si="0"/>
        <v>25.120926000000001</v>
      </c>
      <c r="E62" s="31"/>
      <c r="F62" s="157">
        <v>25.120926000000001</v>
      </c>
      <c r="G62" s="47">
        <f t="shared" si="1"/>
        <v>25.120926000000001</v>
      </c>
      <c r="H62" s="31"/>
      <c r="I62" s="157">
        <v>25.120926000000001</v>
      </c>
      <c r="J62" s="47">
        <f t="shared" si="2"/>
        <v>25.120926000000001</v>
      </c>
      <c r="K62" s="54"/>
      <c r="L62" s="47">
        <f t="shared" si="3"/>
        <v>25.120926000000001</v>
      </c>
      <c r="M62" s="133"/>
      <c r="N62" s="60">
        <f>L62*'Spectral Functions'!H60*'Spectral Functions'!D60</f>
        <v>677.82183038010146</v>
      </c>
      <c r="O62" s="61">
        <f>'Spectral Functions'!H60*'Spectral Functions'!D60</f>
        <v>26.982358468000001</v>
      </c>
      <c r="P62" s="61">
        <f>L62*'Spectral Functions'!H60*'Spectral Functions'!F60</f>
        <v>2574.9347045371101</v>
      </c>
      <c r="Q62" s="62">
        <f>'Spectral Functions'!H60*'Spectral Functions'!F60</f>
        <v>102.50158392</v>
      </c>
      <c r="R62" s="31"/>
      <c r="S62" s="60">
        <f>L62*'Spectral Functions'!I60*'Spectral Functions'!D60</f>
        <v>1056.8818208590201</v>
      </c>
      <c r="T62" s="61">
        <f>'Spectral Functions'!I60*'Spectral Functions'!D60</f>
        <v>42.071770000000001</v>
      </c>
      <c r="U62" s="61">
        <f>L62*'Spectral Functions'!I60*'Spectral Functions'!F60</f>
        <v>4014.9218528388001</v>
      </c>
      <c r="V62" s="62">
        <f>'Spectral Functions'!I60*'Spectral Functions'!F60</f>
        <v>159.82380000000001</v>
      </c>
      <c r="W62" s="31"/>
      <c r="X62" s="60">
        <f>L62*'Spectral Functions'!J60*'Spectral Functions'!D60</f>
        <v>349.76757827102779</v>
      </c>
      <c r="Y62" s="61">
        <f>'Spectral Functions'!J60*'Spectral Functions'!D60</f>
        <v>13.923355304300001</v>
      </c>
      <c r="Z62" s="61">
        <f>L62*'Spectral Functions'!J60*'Spectral Functions'!F60</f>
        <v>1328.7100465721571</v>
      </c>
      <c r="AA62" s="62">
        <f>'Spectral Functions'!J60*'Spectral Functions'!F60</f>
        <v>52.892558442000002</v>
      </c>
      <c r="AB62" s="31"/>
      <c r="AC62" s="60">
        <f>L62*'Spectral Functions'!K60*'Spectral Functions'!D60</f>
        <v>731.48655907219006</v>
      </c>
      <c r="AD62" s="61">
        <f>'Spectral Functions'!K60*'Spectral Functions'!D60</f>
        <v>29.11861446</v>
      </c>
      <c r="AE62" s="61">
        <f>L62*'Spectral Functions'!K60*'Spectral Functions'!F60</f>
        <v>2778.7982659118425</v>
      </c>
      <c r="AF62" s="62">
        <f>'Spectral Functions'!K60*'Spectral Functions'!F60</f>
        <v>110.61687239999999</v>
      </c>
      <c r="AG62" s="31"/>
    </row>
    <row r="63" spans="1:33">
      <c r="A63" s="42">
        <v>496</v>
      </c>
      <c r="B63" s="31"/>
      <c r="C63" s="157">
        <v>25.077914</v>
      </c>
      <c r="D63" s="47">
        <f t="shared" si="0"/>
        <v>25.077914</v>
      </c>
      <c r="E63" s="31"/>
      <c r="F63" s="157">
        <v>25.077914</v>
      </c>
      <c r="G63" s="47">
        <f t="shared" si="1"/>
        <v>25.077914</v>
      </c>
      <c r="H63" s="31"/>
      <c r="I63" s="157">
        <v>25.077914</v>
      </c>
      <c r="J63" s="47">
        <f t="shared" si="2"/>
        <v>25.077914</v>
      </c>
      <c r="K63" s="54"/>
      <c r="L63" s="47">
        <f t="shared" si="3"/>
        <v>25.077914000000003</v>
      </c>
      <c r="M63" s="133"/>
      <c r="N63" s="60">
        <f>L63*'Spectral Functions'!H61*'Spectral Functions'!D61</f>
        <v>739.47697279440047</v>
      </c>
      <c r="O63" s="61">
        <f>'Spectral Functions'!H61*'Spectral Functions'!D61</f>
        <v>29.487180345000002</v>
      </c>
      <c r="P63" s="61">
        <f>L63*'Spectral Functions'!H61*'Spectral Functions'!F61</f>
        <v>2615.4634222543255</v>
      </c>
      <c r="Q63" s="62">
        <f>'Spectral Functions'!H61*'Spectral Functions'!F61</f>
        <v>104.29349994</v>
      </c>
      <c r="R63" s="31"/>
      <c r="S63" s="60">
        <f>L63*'Spectral Functions'!I61*'Spectral Functions'!D61</f>
        <v>989.24872433714017</v>
      </c>
      <c r="T63" s="61">
        <f>'Spectral Functions'!I61*'Spectral Functions'!D61</f>
        <v>39.447009999999999</v>
      </c>
      <c r="U63" s="61">
        <f>L63*'Spectral Functions'!I61*'Spectral Functions'!F61</f>
        <v>3498.8836017952808</v>
      </c>
      <c r="V63" s="62">
        <f>'Spectral Functions'!I61*'Spectral Functions'!F61</f>
        <v>139.52052</v>
      </c>
      <c r="W63" s="31"/>
      <c r="X63" s="60">
        <f>L63*'Spectral Functions'!J61*'Spectral Functions'!D61</f>
        <v>389.26327491808996</v>
      </c>
      <c r="Y63" s="61">
        <f>'Spectral Functions'!J61*'Spectral Functions'!D61</f>
        <v>15.522155268500001</v>
      </c>
      <c r="Z63" s="61">
        <f>L63*'Spectral Functions'!J61*'Spectral Functions'!F61</f>
        <v>1376.7891288458839</v>
      </c>
      <c r="AA63" s="62">
        <f>'Spectral Functions'!J61*'Spectral Functions'!F61</f>
        <v>54.900464562000003</v>
      </c>
      <c r="AB63" s="31"/>
      <c r="AC63" s="60">
        <f>L63*'Spectral Functions'!K61*'Spectral Functions'!D61</f>
        <v>785.57189794279475</v>
      </c>
      <c r="AD63" s="61">
        <f>'Spectral Functions'!K61*'Spectral Functions'!D61</f>
        <v>31.325248900000002</v>
      </c>
      <c r="AE63" s="61">
        <f>L63*'Spectral Functions'!K61*'Spectral Functions'!F61</f>
        <v>2778.4970191242796</v>
      </c>
      <c r="AF63" s="62">
        <f>'Spectral Functions'!K61*'Spectral Functions'!F61</f>
        <v>110.7945828</v>
      </c>
      <c r="AG63" s="31"/>
    </row>
    <row r="64" spans="1:33">
      <c r="A64" s="42">
        <v>498</v>
      </c>
      <c r="B64" s="31"/>
      <c r="C64" s="157">
        <v>25.083290999999999</v>
      </c>
      <c r="D64" s="47">
        <f t="shared" si="0"/>
        <v>25.083290999999999</v>
      </c>
      <c r="E64" s="31"/>
      <c r="F64" s="157">
        <v>25.083290999999999</v>
      </c>
      <c r="G64" s="47">
        <f t="shared" si="1"/>
        <v>25.083290999999999</v>
      </c>
      <c r="H64" s="31"/>
      <c r="I64" s="157">
        <v>25.083290999999999</v>
      </c>
      <c r="J64" s="47">
        <f t="shared" si="2"/>
        <v>25.083290999999999</v>
      </c>
      <c r="K64" s="54"/>
      <c r="L64" s="47">
        <f t="shared" si="3"/>
        <v>25.083290999999999</v>
      </c>
      <c r="M64" s="133"/>
      <c r="N64" s="60">
        <f>L64*'Spectral Functions'!H62*'Spectral Functions'!D62</f>
        <v>808.51326924250793</v>
      </c>
      <c r="O64" s="61">
        <f>'Spectral Functions'!H62*'Spectral Functions'!D62</f>
        <v>32.233141545999999</v>
      </c>
      <c r="P64" s="61">
        <f>L64*'Spectral Functions'!H62*'Spectral Functions'!F62</f>
        <v>2654.3697983889147</v>
      </c>
      <c r="Q64" s="62">
        <f>'Spectral Functions'!H62*'Spectral Functions'!F62</f>
        <v>105.82223035999999</v>
      </c>
      <c r="R64" s="31"/>
      <c r="S64" s="60">
        <f>L64*'Spectral Functions'!I62*'Spectral Functions'!D62</f>
        <v>673.47735844853094</v>
      </c>
      <c r="T64" s="61">
        <f>'Spectral Functions'!I62*'Spectral Functions'!D62</f>
        <v>26.849641000000002</v>
      </c>
      <c r="U64" s="61">
        <f>L64*'Spectral Functions'!I62*'Spectral Functions'!F62</f>
        <v>2211.0434400654599</v>
      </c>
      <c r="V64" s="62">
        <f>'Spectral Functions'!I62*'Spectral Functions'!F62</f>
        <v>88.148060000000001</v>
      </c>
      <c r="W64" s="31"/>
      <c r="X64" s="60">
        <f>L64*'Spectral Functions'!J62*'Spectral Functions'!D62</f>
        <v>434.06281828516177</v>
      </c>
      <c r="Y64" s="61">
        <f>'Spectral Functions'!J62*'Spectral Functions'!D62</f>
        <v>17.3048591704</v>
      </c>
      <c r="Z64" s="61">
        <f>L64*'Spectral Functions'!J62*'Spectral Functions'!F62</f>
        <v>1425.0393645847828</v>
      </c>
      <c r="AA64" s="62">
        <f>'Spectral Functions'!J62*'Spectral Functions'!F62</f>
        <v>56.812296463999999</v>
      </c>
      <c r="AB64" s="31"/>
      <c r="AC64" s="60">
        <f>L64*'Spectral Functions'!K62*'Spectral Functions'!D62</f>
        <v>843.84492758573083</v>
      </c>
      <c r="AD64" s="61">
        <f>'Spectral Functions'!K62*'Spectral Functions'!D62</f>
        <v>33.641715019999999</v>
      </c>
      <c r="AE64" s="61">
        <f>L64*'Spectral Functions'!K62*'Spectral Functions'!F62</f>
        <v>2770.3645388600412</v>
      </c>
      <c r="AF64" s="62">
        <f>'Spectral Functions'!K62*'Spectral Functions'!F62</f>
        <v>110.44661319999999</v>
      </c>
      <c r="AG64" s="31"/>
    </row>
    <row r="65" spans="1:33">
      <c r="A65" s="42">
        <v>500</v>
      </c>
      <c r="B65" s="31"/>
      <c r="C65" s="157">
        <v>24.979907000000001</v>
      </c>
      <c r="D65" s="47">
        <f t="shared" si="0"/>
        <v>24.979907000000001</v>
      </c>
      <c r="E65" s="31"/>
      <c r="F65" s="157">
        <v>24.979907000000001</v>
      </c>
      <c r="G65" s="47">
        <f t="shared" si="1"/>
        <v>24.979907000000001</v>
      </c>
      <c r="H65" s="31"/>
      <c r="I65" s="157">
        <v>24.979907000000001</v>
      </c>
      <c r="J65" s="47">
        <f t="shared" si="2"/>
        <v>24.979907000000001</v>
      </c>
      <c r="K65" s="54"/>
      <c r="L65" s="47">
        <f t="shared" si="3"/>
        <v>24.979907000000001</v>
      </c>
      <c r="M65" s="133"/>
      <c r="N65" s="60">
        <f>L65*'Spectral Functions'!H63*'Spectral Functions'!D63</f>
        <v>882.32383827519413</v>
      </c>
      <c r="O65" s="61">
        <f>'Spectral Functions'!H63*'Spectral Functions'!D63</f>
        <v>35.321342000000001</v>
      </c>
      <c r="P65" s="61">
        <f>L65*'Spectral Functions'!H63*'Spectral Functions'!F63</f>
        <v>2681.6635047515729</v>
      </c>
      <c r="Q65" s="62">
        <f>'Spectral Functions'!H63*'Spectral Functions'!F63</f>
        <v>107.3528218</v>
      </c>
      <c r="R65" s="31"/>
      <c r="S65" s="60">
        <f>L65*'Spectral Functions'!I63*'Spectral Functions'!D63</f>
        <v>290.46635859600002</v>
      </c>
      <c r="T65" s="61">
        <f>'Spectral Functions'!I63*'Spectral Functions'!D63</f>
        <v>11.628</v>
      </c>
      <c r="U65" s="61">
        <f>L65*'Spectral Functions'!I63*'Spectral Functions'!F63</f>
        <v>882.81988926840006</v>
      </c>
      <c r="V65" s="62">
        <f>'Spectral Functions'!I63*'Spectral Functions'!F63</f>
        <v>35.341200000000001</v>
      </c>
      <c r="W65" s="31"/>
      <c r="X65" s="60">
        <f>L65*'Spectral Functions'!J63*'Spectral Functions'!D63</f>
        <v>482.98988162641712</v>
      </c>
      <c r="Y65" s="61">
        <f>'Spectral Functions'!J63*'Spectral Functions'!D63</f>
        <v>19.335135300000001</v>
      </c>
      <c r="Z65" s="61">
        <f>L65*'Spectral Functions'!J63*'Spectral Functions'!F63</f>
        <v>1467.9602687079062</v>
      </c>
      <c r="AA65" s="62">
        <f>'Spectral Functions'!J63*'Spectral Functions'!F63</f>
        <v>58.765641870000003</v>
      </c>
      <c r="AB65" s="31"/>
      <c r="AC65" s="60">
        <f>L65*'Spectral Functions'!K63*'Spectral Functions'!D63</f>
        <v>904.47996662809999</v>
      </c>
      <c r="AD65" s="61">
        <f>'Spectral Functions'!K63*'Spectral Functions'!D63</f>
        <v>36.208300000000001</v>
      </c>
      <c r="AE65" s="61">
        <f>L65*'Spectral Functions'!K63*'Spectral Functions'!F63</f>
        <v>2749.0030440829901</v>
      </c>
      <c r="AF65" s="62">
        <f>'Spectral Functions'!K63*'Spectral Functions'!F63</f>
        <v>110.04857</v>
      </c>
      <c r="AG65" s="31"/>
    </row>
    <row r="66" spans="1:33">
      <c r="A66" s="42">
        <v>502</v>
      </c>
      <c r="B66" s="31"/>
      <c r="C66" s="157">
        <v>24.8322</v>
      </c>
      <c r="D66" s="47">
        <f t="shared" si="0"/>
        <v>24.8322</v>
      </c>
      <c r="E66" s="31"/>
      <c r="F66" s="157">
        <v>24.8322</v>
      </c>
      <c r="G66" s="47">
        <f t="shared" si="1"/>
        <v>24.8322</v>
      </c>
      <c r="H66" s="31"/>
      <c r="I66" s="157">
        <v>24.8322</v>
      </c>
      <c r="J66" s="47">
        <f t="shared" si="2"/>
        <v>24.8322</v>
      </c>
      <c r="K66" s="54"/>
      <c r="L66" s="47">
        <f t="shared" si="3"/>
        <v>24.8322</v>
      </c>
      <c r="M66" s="133"/>
      <c r="N66" s="60">
        <f>L66*'Spectral Functions'!H64*'Spectral Functions'!D64</f>
        <v>939.29874915408493</v>
      </c>
      <c r="O66" s="61">
        <f>'Spectral Functions'!H64*'Spectral Functions'!D64</f>
        <v>37.825836983999999</v>
      </c>
      <c r="P66" s="61">
        <f>L66*'Spectral Functions'!H64*'Spectral Functions'!F64</f>
        <v>2676.3377527167841</v>
      </c>
      <c r="Q66" s="62">
        <f>'Spectral Functions'!H64*'Spectral Functions'!F64</f>
        <v>107.77690871999999</v>
      </c>
      <c r="R66" s="31"/>
      <c r="S66" s="60">
        <f>L66*'Spectral Functions'!I64*'Spectral Functions'!D64</f>
        <v>223.96250575920001</v>
      </c>
      <c r="T66" s="61">
        <f>'Spectral Functions'!I64*'Spectral Functions'!D64</f>
        <v>9.0190359999999998</v>
      </c>
      <c r="U66" s="61">
        <f>L66*'Spectral Functions'!I64*'Spectral Functions'!F64</f>
        <v>638.13489573599998</v>
      </c>
      <c r="V66" s="62">
        <f>'Spectral Functions'!I64*'Spectral Functions'!F64</f>
        <v>25.697880000000001</v>
      </c>
      <c r="W66" s="31"/>
      <c r="X66" s="60">
        <f>L66*'Spectral Functions'!J64*'Spectral Functions'!D64</f>
        <v>526.15683756859448</v>
      </c>
      <c r="Y66" s="61">
        <f>'Spectral Functions'!J64*'Spectral Functions'!D64</f>
        <v>21.188490652000002</v>
      </c>
      <c r="Z66" s="61">
        <f>L66*'Spectral Functions'!J64*'Spectral Functions'!F64</f>
        <v>1499.1752192825522</v>
      </c>
      <c r="AA66" s="62">
        <f>'Spectral Functions'!J64*'Spectral Functions'!F64</f>
        <v>60.372227160000001</v>
      </c>
      <c r="AB66" s="31"/>
      <c r="AC66" s="60">
        <f>L66*'Spectral Functions'!K64*'Spectral Functions'!D64</f>
        <v>947.96437533846006</v>
      </c>
      <c r="AD66" s="61">
        <f>'Spectral Functions'!K64*'Spectral Functions'!D64</f>
        <v>38.174804300000005</v>
      </c>
      <c r="AE66" s="61">
        <f>L66*'Spectral Functions'!K64*'Spectral Functions'!F64</f>
        <v>2701.0286644518001</v>
      </c>
      <c r="AF66" s="62">
        <f>'Spectral Functions'!K64*'Spectral Functions'!F64</f>
        <v>108.771219</v>
      </c>
      <c r="AG66" s="31"/>
    </row>
    <row r="67" spans="1:33">
      <c r="A67" s="42">
        <v>504</v>
      </c>
      <c r="B67" s="31"/>
      <c r="C67" s="157">
        <v>25.0823</v>
      </c>
      <c r="D67" s="47">
        <f t="shared" si="0"/>
        <v>25.0823</v>
      </c>
      <c r="E67" s="31"/>
      <c r="F67" s="157">
        <v>25.0823</v>
      </c>
      <c r="G67" s="47">
        <f t="shared" si="1"/>
        <v>25.0823</v>
      </c>
      <c r="H67" s="31"/>
      <c r="I67" s="157">
        <v>25.0823</v>
      </c>
      <c r="J67" s="47">
        <f t="shared" si="2"/>
        <v>25.0823</v>
      </c>
      <c r="K67" s="54"/>
      <c r="L67" s="47">
        <f t="shared" si="3"/>
        <v>25.0823</v>
      </c>
      <c r="M67" s="133"/>
      <c r="N67" s="60">
        <f>L67*'Spectral Functions'!H65*'Spectral Functions'!D65</f>
        <v>1061.6949342081593</v>
      </c>
      <c r="O67" s="61">
        <f>'Spectral Functions'!H65*'Spectral Functions'!D65</f>
        <v>42.328452104000007</v>
      </c>
      <c r="P67" s="61">
        <f>L67*'Spectral Functions'!H65*'Spectral Functions'!F65</f>
        <v>2713.8009936940539</v>
      </c>
      <c r="Q67" s="62">
        <f>'Spectral Functions'!H65*'Spectral Functions'!F65</f>
        <v>108.19585898</v>
      </c>
      <c r="R67" s="31"/>
      <c r="S67" s="60">
        <f>L67*'Spectral Functions'!I65*'Spectral Functions'!D65</f>
        <v>146.46357603600001</v>
      </c>
      <c r="T67" s="61">
        <f>'Spectral Functions'!I65*'Spectral Functions'!D65</f>
        <v>5.8393200000000007</v>
      </c>
      <c r="U67" s="61">
        <f>L67*'Spectral Functions'!I65*'Spectral Functions'!F65</f>
        <v>374.37590157</v>
      </c>
      <c r="V67" s="62">
        <f>'Spectral Functions'!I65*'Spectral Functions'!F65</f>
        <v>14.925899999999999</v>
      </c>
      <c r="W67" s="31"/>
      <c r="X67" s="60">
        <f>L67*'Spectral Functions'!J65*'Spectral Functions'!D65</f>
        <v>608.43703472107086</v>
      </c>
      <c r="Y67" s="61">
        <f>'Spectral Functions'!J65*'Spectral Functions'!D65</f>
        <v>24.257625286400003</v>
      </c>
      <c r="Z67" s="61">
        <f>L67*'Spectral Functions'!J65*'Spectral Functions'!F65</f>
        <v>1555.2273786234064</v>
      </c>
      <c r="AA67" s="62">
        <f>'Spectral Functions'!J65*'Spectral Functions'!F65</f>
        <v>62.004974767999997</v>
      </c>
      <c r="AB67" s="31"/>
      <c r="AC67" s="60">
        <f>L67*'Spectral Functions'!K65*'Spectral Functions'!D65</f>
        <v>1054.5377474592001</v>
      </c>
      <c r="AD67" s="61">
        <f>'Spectral Functions'!K65*'Spectral Functions'!D65</f>
        <v>42.043104</v>
      </c>
      <c r="AE67" s="61">
        <f>L67*'Spectral Functions'!K65*'Spectral Functions'!F65</f>
        <v>2695.5064913039996</v>
      </c>
      <c r="AF67" s="62">
        <f>'Spectral Functions'!K65*'Spectral Functions'!F65</f>
        <v>107.46647999999999</v>
      </c>
      <c r="AG67" s="31"/>
    </row>
    <row r="68" spans="1:33">
      <c r="A68" s="42">
        <v>506</v>
      </c>
      <c r="B68" s="31"/>
      <c r="C68" s="157">
        <v>25.253342</v>
      </c>
      <c r="D68" s="47">
        <f t="shared" si="0"/>
        <v>25.253342</v>
      </c>
      <c r="E68" s="31"/>
      <c r="F68" s="157">
        <v>25.253342</v>
      </c>
      <c r="G68" s="47">
        <f t="shared" si="1"/>
        <v>25.253342</v>
      </c>
      <c r="H68" s="31"/>
      <c r="I68" s="157">
        <v>25.253342</v>
      </c>
      <c r="J68" s="47">
        <f t="shared" si="2"/>
        <v>25.253342</v>
      </c>
      <c r="K68" s="54"/>
      <c r="L68" s="47">
        <f t="shared" si="3"/>
        <v>25.253342</v>
      </c>
      <c r="M68" s="133"/>
      <c r="N68" s="60">
        <f>L68*'Spectral Functions'!H66*'Spectral Functions'!D66</f>
        <v>1165.3932845108397</v>
      </c>
      <c r="O68" s="61">
        <f>'Spectral Functions'!H66*'Spectral Functions'!D66</f>
        <v>46.148081490000003</v>
      </c>
      <c r="P68" s="61">
        <f>L68*'Spectral Functions'!H66*'Spectral Functions'!F66</f>
        <v>2732.6765351906552</v>
      </c>
      <c r="Q68" s="62">
        <f>'Spectral Functions'!H66*'Spectral Functions'!F66</f>
        <v>108.21049092000001</v>
      </c>
      <c r="R68" s="31"/>
      <c r="S68" s="60">
        <f>L68*'Spectral Functions'!I66*'Spectral Functions'!D66</f>
        <v>85.988639643680003</v>
      </c>
      <c r="T68" s="61">
        <f>'Spectral Functions'!I66*'Spectral Functions'!D66</f>
        <v>3.4050400000000001</v>
      </c>
      <c r="U68" s="61">
        <f>L68*'Spectral Functions'!I66*'Spectral Functions'!F66</f>
        <v>201.63076359743999</v>
      </c>
      <c r="V68" s="62">
        <f>'Spectral Functions'!I66*'Spectral Functions'!F66</f>
        <v>7.9843200000000003</v>
      </c>
      <c r="W68" s="31"/>
      <c r="X68" s="60">
        <f>L68*'Spectral Functions'!J66*'Spectral Functions'!D66</f>
        <v>683.10987619932712</v>
      </c>
      <c r="Y68" s="61">
        <f>'Spectral Functions'!J66*'Spectral Functions'!D66</f>
        <v>27.050276204999999</v>
      </c>
      <c r="Z68" s="61">
        <f>L68*'Spectral Functions'!J66*'Spectral Functions'!F66</f>
        <v>1601.7925917862381</v>
      </c>
      <c r="AA68" s="62">
        <f>'Spectral Functions'!J66*'Spectral Functions'!F66</f>
        <v>63.42893514</v>
      </c>
      <c r="AB68" s="31"/>
      <c r="AC68" s="60">
        <f>L68*'Spectral Functions'!K66*'Spectral Functions'!D66</f>
        <v>1139.7794184769784</v>
      </c>
      <c r="AD68" s="61">
        <f>'Spectral Functions'!K66*'Spectral Functions'!D66</f>
        <v>45.133805200000005</v>
      </c>
      <c r="AE68" s="61">
        <f>L68*'Spectral Functions'!K66*'Spectral Functions'!F66</f>
        <v>2672.6157714840674</v>
      </c>
      <c r="AF68" s="62">
        <f>'Spectral Functions'!K66*'Spectral Functions'!F66</f>
        <v>105.83216160000001</v>
      </c>
      <c r="AG68" s="31"/>
    </row>
    <row r="69" spans="1:33">
      <c r="A69" s="42">
        <v>508</v>
      </c>
      <c r="B69" s="31"/>
      <c r="C69" s="157">
        <v>25.244745999999999</v>
      </c>
      <c r="D69" s="47">
        <f t="shared" si="0"/>
        <v>25.244745999999999</v>
      </c>
      <c r="E69" s="31"/>
      <c r="F69" s="157">
        <v>25.244745999999999</v>
      </c>
      <c r="G69" s="47">
        <f t="shared" si="1"/>
        <v>25.244745999999999</v>
      </c>
      <c r="H69" s="31"/>
      <c r="I69" s="157">
        <v>25.244745999999999</v>
      </c>
      <c r="J69" s="47">
        <f t="shared" si="2"/>
        <v>25.244745999999999</v>
      </c>
      <c r="K69" s="54"/>
      <c r="L69" s="47">
        <f t="shared" si="3"/>
        <v>25.244746000000003</v>
      </c>
      <c r="M69" s="133"/>
      <c r="N69" s="60">
        <f>L69*'Spectral Functions'!H67*'Spectral Functions'!D67</f>
        <v>1264.7226989645194</v>
      </c>
      <c r="O69" s="61">
        <f>'Spectral Functions'!H67*'Spectral Functions'!D67</f>
        <v>50.098452127999998</v>
      </c>
      <c r="P69" s="61">
        <f>L69*'Spectral Functions'!H67*'Spectral Functions'!F67</f>
        <v>2721.9455628068008</v>
      </c>
      <c r="Q69" s="62">
        <f>'Spectral Functions'!H67*'Spectral Functions'!F67</f>
        <v>107.82225983999999</v>
      </c>
      <c r="R69" s="31"/>
      <c r="S69" s="60">
        <f>L69*'Spectral Functions'!I67*'Spectral Functions'!D67</f>
        <v>46.793055311696001</v>
      </c>
      <c r="T69" s="61">
        <f>'Spectral Functions'!I67*'Spectral Functions'!D67</f>
        <v>1.8535759999999999</v>
      </c>
      <c r="U69" s="61">
        <f>L69*'Spectral Functions'!I67*'Spectral Functions'!F67</f>
        <v>100.70836032288001</v>
      </c>
      <c r="V69" s="62">
        <f>'Spectral Functions'!I67*'Spectral Functions'!F67</f>
        <v>3.9892799999999999</v>
      </c>
      <c r="W69" s="31"/>
      <c r="X69" s="60">
        <f>L69*'Spectral Functions'!J67*'Spectral Functions'!D67</f>
        <v>758.09194945202125</v>
      </c>
      <c r="Y69" s="61">
        <f>'Spectral Functions'!J67*'Spectral Functions'!D67</f>
        <v>30.029692097199995</v>
      </c>
      <c r="Z69" s="61">
        <f>L69*'Spectral Functions'!J67*'Spectral Functions'!F67</f>
        <v>1631.5711101729628</v>
      </c>
      <c r="AA69" s="62">
        <f>'Spectral Functions'!J67*'Spectral Functions'!F67</f>
        <v>64.630125815999989</v>
      </c>
      <c r="AB69" s="31"/>
      <c r="AC69" s="60">
        <f>L69*'Spectral Functions'!K67*'Spectral Functions'!D67</f>
        <v>1218.6081429548433</v>
      </c>
      <c r="AD69" s="61">
        <f>'Spectral Functions'!K67*'Spectral Functions'!D67</f>
        <v>48.271752979999995</v>
      </c>
      <c r="AE69" s="61">
        <f>L69*'Spectral Functions'!K67*'Spectral Functions'!F67</f>
        <v>2622.697473708603</v>
      </c>
      <c r="AF69" s="62">
        <f>'Spectral Functions'!K67*'Spectral Functions'!F67</f>
        <v>103.8908244</v>
      </c>
      <c r="AG69" s="31"/>
    </row>
    <row r="70" spans="1:33">
      <c r="A70" s="42">
        <v>510</v>
      </c>
      <c r="B70" s="31"/>
      <c r="C70" s="157">
        <v>25.372287</v>
      </c>
      <c r="D70" s="47">
        <f t="shared" ref="D70:D133" si="4">IF(C70&lt;0,0,IF(C70&gt;100,100,C70))</f>
        <v>25.372287</v>
      </c>
      <c r="E70" s="31"/>
      <c r="F70" s="157">
        <v>25.372287</v>
      </c>
      <c r="G70" s="47">
        <f t="shared" ref="G70:G133" si="5">IF(F70&lt;0,0,IF(F70&gt;100,100,F70))</f>
        <v>25.372287</v>
      </c>
      <c r="H70" s="31"/>
      <c r="I70" s="157">
        <v>25.372287</v>
      </c>
      <c r="J70" s="47">
        <f t="shared" ref="J70:J133" si="6">IF(I70&lt;0,0,IF(I70&gt;100,100,I70))</f>
        <v>25.372287</v>
      </c>
      <c r="K70" s="54"/>
      <c r="L70" s="47">
        <f t="shared" ref="L70:L133" si="7">(D70+G70+J70)/3</f>
        <v>25.372287</v>
      </c>
      <c r="M70" s="133"/>
      <c r="N70" s="60">
        <f>L70*'Spectral Functions'!H68*'Spectral Functions'!D68</f>
        <v>1375.7971914365221</v>
      </c>
      <c r="O70" s="61">
        <f>'Spectral Functions'!H68*'Spectral Functions'!D68</f>
        <v>54.224406000000002</v>
      </c>
      <c r="P70" s="61">
        <f>L70*'Spectral Functions'!H68*'Spectral Functions'!F68</f>
        <v>2725.8836600112086</v>
      </c>
      <c r="Q70" s="62">
        <f>'Spectral Functions'!H68*'Spectral Functions'!F68</f>
        <v>107.4354732</v>
      </c>
      <c r="R70" s="31"/>
      <c r="S70" s="60">
        <f>L70*'Spectral Functions'!I68*'Spectral Functions'!D68</f>
        <v>0</v>
      </c>
      <c r="T70" s="61">
        <f>'Spectral Functions'!I68*'Spectral Functions'!D68</f>
        <v>0</v>
      </c>
      <c r="U70" s="61">
        <f>L70*'Spectral Functions'!I68*'Spectral Functions'!F68</f>
        <v>0</v>
      </c>
      <c r="V70" s="62">
        <f>'Spectral Functions'!I68*'Spectral Functions'!F68</f>
        <v>0</v>
      </c>
      <c r="W70" s="31"/>
      <c r="X70" s="60">
        <f>L70*'Spectral Functions'!J68*'Spectral Functions'!D68</f>
        <v>843.11958735892358</v>
      </c>
      <c r="Y70" s="61">
        <f>'Spectral Functions'!J68*'Spectral Functions'!D68</f>
        <v>33.229940500000005</v>
      </c>
      <c r="Z70" s="61">
        <f>L70*'Spectral Functions'!J68*'Spectral Functions'!F68</f>
        <v>1670.483063144937</v>
      </c>
      <c r="AA70" s="62">
        <f>'Spectral Functions'!J68*'Spectral Functions'!F68</f>
        <v>65.838884100000001</v>
      </c>
      <c r="AB70" s="31"/>
      <c r="AC70" s="60">
        <f>L70*'Spectral Functions'!K68*'Spectral Functions'!D68</f>
        <v>1305.5792349302999</v>
      </c>
      <c r="AD70" s="61">
        <f>'Spectral Functions'!K68*'Spectral Functions'!D68</f>
        <v>51.456899999999997</v>
      </c>
      <c r="AE70" s="61">
        <f>L70*'Spectral Functions'!K68*'Spectral Functions'!F68</f>
        <v>2586.75997123566</v>
      </c>
      <c r="AF70" s="62">
        <f>'Spectral Functions'!K68*'Spectral Functions'!F68</f>
        <v>101.95218</v>
      </c>
      <c r="AG70" s="31"/>
    </row>
    <row r="71" spans="1:33">
      <c r="A71" s="42">
        <v>512</v>
      </c>
      <c r="B71" s="31"/>
      <c r="C71" s="157">
        <v>25.765716000000001</v>
      </c>
      <c r="D71" s="47">
        <f t="shared" si="4"/>
        <v>25.765716000000001</v>
      </c>
      <c r="E71" s="31"/>
      <c r="F71" s="157">
        <v>25.765716000000001</v>
      </c>
      <c r="G71" s="47">
        <f t="shared" si="5"/>
        <v>25.765716000000001</v>
      </c>
      <c r="H71" s="31"/>
      <c r="I71" s="157">
        <v>25.765716000000001</v>
      </c>
      <c r="J71" s="47">
        <f t="shared" si="6"/>
        <v>25.765716000000001</v>
      </c>
      <c r="K71" s="54"/>
      <c r="L71" s="47">
        <f t="shared" si="7"/>
        <v>25.765716000000001</v>
      </c>
      <c r="M71" s="133"/>
      <c r="N71" s="60">
        <f>L71*'Spectral Functions'!H69*'Spectral Functions'!D69</f>
        <v>1503.9742644819119</v>
      </c>
      <c r="O71" s="61">
        <f>'Spectral Functions'!H69*'Spectral Functions'!D69</f>
        <v>58.371141887999997</v>
      </c>
      <c r="P71" s="61">
        <f>L71*'Spectral Functions'!H69*'Spectral Functions'!F69</f>
        <v>2728.8037992506124</v>
      </c>
      <c r="Q71" s="62">
        <f>'Spectral Functions'!H69*'Spectral Functions'!F69</f>
        <v>105.90832404</v>
      </c>
      <c r="R71" s="31"/>
      <c r="S71" s="60">
        <f>L71*'Spectral Functions'!I69*'Spectral Functions'!D69</f>
        <v>0</v>
      </c>
      <c r="T71" s="61">
        <f>'Spectral Functions'!I69*'Spectral Functions'!D69</f>
        <v>0</v>
      </c>
      <c r="U71" s="61">
        <f>L71*'Spectral Functions'!I69*'Spectral Functions'!F69</f>
        <v>0</v>
      </c>
      <c r="V71" s="62">
        <f>'Spectral Functions'!I69*'Spectral Functions'!F69</f>
        <v>0</v>
      </c>
      <c r="W71" s="31"/>
      <c r="X71" s="60">
        <f>L71*'Spectral Functions'!J69*'Spectral Functions'!D69</f>
        <v>944.65616998108089</v>
      </c>
      <c r="Y71" s="61">
        <f>'Spectral Functions'!J69*'Spectral Functions'!D69</f>
        <v>36.663299788800003</v>
      </c>
      <c r="Z71" s="61">
        <f>L71*'Spectral Functions'!J69*'Spectral Functions'!F69</f>
        <v>1713.9796913465796</v>
      </c>
      <c r="AA71" s="62">
        <f>'Spectral Functions'!J69*'Spectral Functions'!F69</f>
        <v>66.521717903999999</v>
      </c>
      <c r="AB71" s="31"/>
      <c r="AC71" s="60">
        <f>L71*'Spectral Functions'!K69*'Spectral Functions'!D69</f>
        <v>1415.6009224547331</v>
      </c>
      <c r="AD71" s="61">
        <f>'Spectral Functions'!K69*'Spectral Functions'!D69</f>
        <v>54.941260800000002</v>
      </c>
      <c r="AE71" s="61">
        <f>L71*'Spectral Functions'!K69*'Spectral Functions'!F69</f>
        <v>2568.4596250374243</v>
      </c>
      <c r="AF71" s="62">
        <f>'Spectral Functions'!K69*'Spectral Functions'!F69</f>
        <v>99.685164</v>
      </c>
      <c r="AG71" s="31"/>
    </row>
    <row r="72" spans="1:33">
      <c r="A72" s="42">
        <v>514</v>
      </c>
      <c r="B72" s="31"/>
      <c r="C72" s="157">
        <v>26.273765999999998</v>
      </c>
      <c r="D72" s="47">
        <f t="shared" si="4"/>
        <v>26.273765999999998</v>
      </c>
      <c r="E72" s="31"/>
      <c r="F72" s="157">
        <v>26.273765999999998</v>
      </c>
      <c r="G72" s="47">
        <f t="shared" si="5"/>
        <v>26.273765999999998</v>
      </c>
      <c r="H72" s="31"/>
      <c r="I72" s="157">
        <v>26.273765999999998</v>
      </c>
      <c r="J72" s="47">
        <f t="shared" si="6"/>
        <v>26.273765999999998</v>
      </c>
      <c r="K72" s="54"/>
      <c r="L72" s="47">
        <f t="shared" si="7"/>
        <v>26.273765999999998</v>
      </c>
      <c r="M72" s="133"/>
      <c r="N72" s="60">
        <f>L72*'Spectral Functions'!H70*'Spectral Functions'!D70</f>
        <v>1643.9155956730731</v>
      </c>
      <c r="O72" s="61">
        <f>'Spectral Functions'!H70*'Spectral Functions'!D70</f>
        <v>62.568708104999992</v>
      </c>
      <c r="P72" s="61">
        <f>L72*'Spectral Functions'!H70*'Spectral Functions'!F70</f>
        <v>2742.7860624646341</v>
      </c>
      <c r="Q72" s="62">
        <f>'Spectral Functions'!H70*'Spectral Functions'!F70</f>
        <v>104.39257403999999</v>
      </c>
      <c r="R72" s="31"/>
      <c r="S72" s="60">
        <f>L72*'Spectral Functions'!I70*'Spectral Functions'!D70</f>
        <v>0</v>
      </c>
      <c r="T72" s="61">
        <f>'Spectral Functions'!I70*'Spectral Functions'!D70</f>
        <v>0</v>
      </c>
      <c r="U72" s="61">
        <f>L72*'Spectral Functions'!I70*'Spectral Functions'!F70</f>
        <v>0</v>
      </c>
      <c r="V72" s="62">
        <f>'Spectral Functions'!I70*'Spectral Functions'!F70</f>
        <v>0</v>
      </c>
      <c r="W72" s="31"/>
      <c r="X72" s="60">
        <f>L72*'Spectral Functions'!J70*'Spectral Functions'!D70</f>
        <v>1058.091482895848</v>
      </c>
      <c r="Y72" s="61">
        <f>'Spectral Functions'!J70*'Spectral Functions'!D70</f>
        <v>40.271786042999999</v>
      </c>
      <c r="Z72" s="61">
        <f>L72*'Spectral Functions'!J70*'Spectral Functions'!F70</f>
        <v>1765.369572341727</v>
      </c>
      <c r="AA72" s="62">
        <f>'Spectral Functions'!J70*'Spectral Functions'!F70</f>
        <v>67.191341064</v>
      </c>
      <c r="AB72" s="31"/>
      <c r="AC72" s="60">
        <f>L72*'Spectral Functions'!K70*'Spectral Functions'!D70</f>
        <v>1534.6214332995066</v>
      </c>
      <c r="AD72" s="61">
        <f>'Spectral Functions'!K70*'Spectral Functions'!D70</f>
        <v>58.408887149999998</v>
      </c>
      <c r="AE72" s="61">
        <f>L72*'Spectral Functions'!K70*'Spectral Functions'!F70</f>
        <v>2560.4345438976311</v>
      </c>
      <c r="AF72" s="62">
        <f>'Spectral Functions'!K70*'Spectral Functions'!F70</f>
        <v>97.452133200000006</v>
      </c>
      <c r="AG72" s="31"/>
    </row>
    <row r="73" spans="1:33">
      <c r="A73" s="42">
        <v>516</v>
      </c>
      <c r="B73" s="31"/>
      <c r="C73" s="157">
        <v>27.045960999999998</v>
      </c>
      <c r="D73" s="47">
        <f t="shared" si="4"/>
        <v>27.045960999999998</v>
      </c>
      <c r="E73" s="31"/>
      <c r="F73" s="157">
        <v>27.045960999999998</v>
      </c>
      <c r="G73" s="47">
        <f t="shared" si="5"/>
        <v>27.045960999999998</v>
      </c>
      <c r="H73" s="31"/>
      <c r="I73" s="157">
        <v>27.045960999999998</v>
      </c>
      <c r="J73" s="47">
        <f t="shared" si="6"/>
        <v>27.045960999999998</v>
      </c>
      <c r="K73" s="54"/>
      <c r="L73" s="47">
        <f t="shared" si="7"/>
        <v>27.045960999999995</v>
      </c>
      <c r="M73" s="133"/>
      <c r="N73" s="60">
        <f>L73*'Spectral Functions'!H71*'Spectral Functions'!D71</f>
        <v>1804.1692350427779</v>
      </c>
      <c r="O73" s="61">
        <f>'Spectral Functions'!H71*'Spectral Functions'!D71</f>
        <v>66.707529269999995</v>
      </c>
      <c r="P73" s="61">
        <f>L73*'Spectral Functions'!H71*'Spectral Functions'!F71</f>
        <v>2772.2489966660123</v>
      </c>
      <c r="Q73" s="62">
        <f>'Spectral Functions'!H71*'Spectral Functions'!F71</f>
        <v>102.5014048</v>
      </c>
      <c r="R73" s="31"/>
      <c r="S73" s="60">
        <f>L73*'Spectral Functions'!I71*'Spectral Functions'!D71</f>
        <v>0</v>
      </c>
      <c r="T73" s="61">
        <f>'Spectral Functions'!I71*'Spectral Functions'!D71</f>
        <v>0</v>
      </c>
      <c r="U73" s="61">
        <f>L73*'Spectral Functions'!I71*'Spectral Functions'!F71</f>
        <v>0</v>
      </c>
      <c r="V73" s="62">
        <f>'Spectral Functions'!I71*'Spectral Functions'!F71</f>
        <v>0</v>
      </c>
      <c r="W73" s="31"/>
      <c r="X73" s="60">
        <f>L73*'Spectral Functions'!J71*'Spectral Functions'!D71</f>
        <v>1189.7338233394175</v>
      </c>
      <c r="Y73" s="61">
        <f>'Spectral Functions'!J71*'Spectral Functions'!D71</f>
        <v>43.989334427399996</v>
      </c>
      <c r="Z73" s="61">
        <f>L73*'Spectral Functions'!J71*'Spectral Functions'!F71</f>
        <v>1828.120297137267</v>
      </c>
      <c r="AA73" s="62">
        <f>'Spectral Functions'!J71*'Spectral Functions'!F71</f>
        <v>67.593098175999998</v>
      </c>
      <c r="AB73" s="31"/>
      <c r="AC73" s="60">
        <f>L73*'Spectral Functions'!K71*'Spectral Functions'!D71</f>
        <v>1675.4033473773354</v>
      </c>
      <c r="AD73" s="61">
        <f>'Spectral Functions'!K71*'Spectral Functions'!D71</f>
        <v>61.946526779999999</v>
      </c>
      <c r="AE73" s="61">
        <f>L73*'Spectral Functions'!K71*'Spectral Functions'!F71</f>
        <v>2574.3900065270591</v>
      </c>
      <c r="AF73" s="62">
        <f>'Spectral Functions'!K71*'Spectral Functions'!F71</f>
        <v>95.185747200000009</v>
      </c>
      <c r="AG73" s="31"/>
    </row>
    <row r="74" spans="1:33">
      <c r="A74" s="42">
        <v>518</v>
      </c>
      <c r="B74" s="31"/>
      <c r="C74" s="157">
        <v>28.073751999999999</v>
      </c>
      <c r="D74" s="47">
        <f t="shared" si="4"/>
        <v>28.073751999999999</v>
      </c>
      <c r="E74" s="31"/>
      <c r="F74" s="157">
        <v>28.073751999999999</v>
      </c>
      <c r="G74" s="47">
        <f t="shared" si="5"/>
        <v>28.073751999999999</v>
      </c>
      <c r="H74" s="31"/>
      <c r="I74" s="157">
        <v>28.073751999999999</v>
      </c>
      <c r="J74" s="47">
        <f t="shared" si="6"/>
        <v>28.073751999999999</v>
      </c>
      <c r="K74" s="54"/>
      <c r="L74" s="47">
        <f t="shared" si="7"/>
        <v>28.073751999999999</v>
      </c>
      <c r="M74" s="133"/>
      <c r="N74" s="60">
        <f>L74*'Spectral Functions'!H72*'Spectral Functions'!D72</f>
        <v>1984.9506486872158</v>
      </c>
      <c r="O74" s="61">
        <f>'Spectral Functions'!H72*'Spectral Functions'!D72</f>
        <v>70.704858000000002</v>
      </c>
      <c r="P74" s="61">
        <f>L74*'Spectral Functions'!H72*'Spectral Functions'!F72</f>
        <v>2814.1252259800776</v>
      </c>
      <c r="Q74" s="62">
        <f>'Spectral Functions'!H72*'Spectral Functions'!F72</f>
        <v>100.24043904</v>
      </c>
      <c r="R74" s="31"/>
      <c r="S74" s="60">
        <f>L74*'Spectral Functions'!I72*'Spectral Functions'!D72</f>
        <v>0</v>
      </c>
      <c r="T74" s="61">
        <f>'Spectral Functions'!I72*'Spectral Functions'!D72</f>
        <v>0</v>
      </c>
      <c r="U74" s="61">
        <f>L74*'Spectral Functions'!I72*'Spectral Functions'!F72</f>
        <v>0</v>
      </c>
      <c r="V74" s="62">
        <f>'Spectral Functions'!I72*'Spectral Functions'!F72</f>
        <v>0</v>
      </c>
      <c r="W74" s="31"/>
      <c r="X74" s="60">
        <f>L74*'Spectral Functions'!J72*'Spectral Functions'!D72</f>
        <v>1340.8323551262906</v>
      </c>
      <c r="Y74" s="61">
        <f>'Spectral Functions'!J72*'Spectral Functions'!D72</f>
        <v>47.761067175000001</v>
      </c>
      <c r="Z74" s="61">
        <f>L74*'Spectral Functions'!J72*'Spectral Functions'!F72</f>
        <v>1900.9390268048703</v>
      </c>
      <c r="AA74" s="62">
        <f>'Spectral Functions'!J72*'Spectral Functions'!F72</f>
        <v>67.712325264</v>
      </c>
      <c r="AB74" s="31"/>
      <c r="AC74" s="60">
        <f>L74*'Spectral Functions'!K72*'Spectral Functions'!D72</f>
        <v>1839.3263279071798</v>
      </c>
      <c r="AD74" s="61">
        <f>'Spectral Functions'!K72*'Spectral Functions'!D72</f>
        <v>65.517652499999997</v>
      </c>
      <c r="AE74" s="61">
        <f>L74*'Spectral Functions'!K72*'Spectral Functions'!F72</f>
        <v>2607.6691738387581</v>
      </c>
      <c r="AF74" s="62">
        <f>'Spectral Functions'!K72*'Spectral Functions'!F72</f>
        <v>92.886379199999993</v>
      </c>
      <c r="AG74" s="31"/>
    </row>
    <row r="75" spans="1:33">
      <c r="A75" s="42">
        <v>520</v>
      </c>
      <c r="B75" s="31"/>
      <c r="C75" s="157">
        <v>28.997420000000002</v>
      </c>
      <c r="D75" s="47">
        <f t="shared" si="4"/>
        <v>28.997420000000002</v>
      </c>
      <c r="E75" s="31"/>
      <c r="F75" s="157">
        <v>28.997420000000002</v>
      </c>
      <c r="G75" s="47">
        <f t="shared" si="5"/>
        <v>28.997420000000002</v>
      </c>
      <c r="H75" s="31"/>
      <c r="I75" s="157">
        <v>28.997420000000002</v>
      </c>
      <c r="J75" s="47">
        <f t="shared" si="6"/>
        <v>28.997420000000002</v>
      </c>
      <c r="K75" s="54"/>
      <c r="L75" s="47">
        <f t="shared" si="7"/>
        <v>28.997420000000002</v>
      </c>
      <c r="M75" s="133"/>
      <c r="N75" s="60">
        <f>L75*'Spectral Functions'!H73*'Spectral Functions'!D73</f>
        <v>2157.4341456780003</v>
      </c>
      <c r="O75" s="61">
        <f>'Spectral Functions'!H73*'Spectral Functions'!D73</f>
        <v>74.400900000000007</v>
      </c>
      <c r="P75" s="61">
        <f>L75*'Spectral Functions'!H73*'Spectral Functions'!F73</f>
        <v>2841.7357930113603</v>
      </c>
      <c r="Q75" s="62">
        <f>'Spectral Functions'!H73*'Spectral Functions'!F73</f>
        <v>97.999608000000009</v>
      </c>
      <c r="R75" s="31"/>
      <c r="S75" s="60">
        <f>L75*'Spectral Functions'!I73*'Spectral Functions'!D73</f>
        <v>0</v>
      </c>
      <c r="T75" s="61">
        <f>'Spectral Functions'!I73*'Spectral Functions'!D73</f>
        <v>0</v>
      </c>
      <c r="U75" s="61">
        <f>L75*'Spectral Functions'!I73*'Spectral Functions'!F73</f>
        <v>0</v>
      </c>
      <c r="V75" s="62">
        <f>'Spectral Functions'!I73*'Spectral Functions'!F73</f>
        <v>0</v>
      </c>
      <c r="W75" s="31"/>
      <c r="X75" s="60">
        <f>L75*'Spectral Functions'!J73*'Spectral Functions'!D73</f>
        <v>1492.5577830103803</v>
      </c>
      <c r="Y75" s="61">
        <f>'Spectral Functions'!J73*'Spectral Functions'!D73</f>
        <v>51.472089000000004</v>
      </c>
      <c r="Z75" s="61">
        <f>L75*'Spectral Functions'!J73*'Spectral Functions'!F73</f>
        <v>1965.9718854525461</v>
      </c>
      <c r="AA75" s="62">
        <f>'Spectral Functions'!J73*'Spectral Functions'!F73</f>
        <v>67.798165680000011</v>
      </c>
      <c r="AB75" s="31"/>
      <c r="AC75" s="60">
        <f>L75*'Spectral Functions'!K73*'Spectral Functions'!D73</f>
        <v>1994.9934985800001</v>
      </c>
      <c r="AD75" s="61">
        <f>'Spectral Functions'!K73*'Spectral Functions'!D73</f>
        <v>68.799000000000007</v>
      </c>
      <c r="AE75" s="61">
        <f>L75*'Spectral Functions'!K73*'Spectral Functions'!F73</f>
        <v>2627.7717181296002</v>
      </c>
      <c r="AF75" s="62">
        <f>'Spectral Functions'!K73*'Spectral Functions'!F73</f>
        <v>90.620880000000014</v>
      </c>
      <c r="AG75" s="31"/>
    </row>
    <row r="76" spans="1:33">
      <c r="A76" s="42">
        <v>522</v>
      </c>
      <c r="B76" s="31"/>
      <c r="C76" s="157">
        <v>29.941279999999999</v>
      </c>
      <c r="D76" s="47">
        <f t="shared" si="4"/>
        <v>29.941279999999999</v>
      </c>
      <c r="E76" s="31"/>
      <c r="F76" s="157">
        <v>29.941279999999999</v>
      </c>
      <c r="G76" s="47">
        <f t="shared" si="5"/>
        <v>29.941279999999999</v>
      </c>
      <c r="H76" s="31"/>
      <c r="I76" s="157">
        <v>29.941279999999999</v>
      </c>
      <c r="J76" s="47">
        <f t="shared" si="6"/>
        <v>29.941279999999999</v>
      </c>
      <c r="K76" s="54"/>
      <c r="L76" s="47">
        <f t="shared" si="7"/>
        <v>29.941279999999995</v>
      </c>
      <c r="M76" s="133"/>
      <c r="N76" s="60">
        <f>L76*'Spectral Functions'!H74*'Spectral Functions'!D74</f>
        <v>2351.8738213125503</v>
      </c>
      <c r="O76" s="61">
        <f>'Spectral Functions'!H74*'Spectral Functions'!D74</f>
        <v>78.549541680000004</v>
      </c>
      <c r="P76" s="61">
        <f>L76*'Spectral Functions'!H74*'Spectral Functions'!F74</f>
        <v>2880.3090744898559</v>
      </c>
      <c r="Q76" s="62">
        <f>'Spectral Functions'!H74*'Spectral Functions'!F74</f>
        <v>96.1985952</v>
      </c>
      <c r="R76" s="31"/>
      <c r="S76" s="60">
        <f>L76*'Spectral Functions'!I74*'Spectral Functions'!D74</f>
        <v>0</v>
      </c>
      <c r="T76" s="61">
        <f>'Spectral Functions'!I74*'Spectral Functions'!D74</f>
        <v>0</v>
      </c>
      <c r="U76" s="61">
        <f>L76*'Spectral Functions'!I74*'Spectral Functions'!F74</f>
        <v>0</v>
      </c>
      <c r="V76" s="62">
        <f>'Spectral Functions'!I74*'Spectral Functions'!F74</f>
        <v>0</v>
      </c>
      <c r="W76" s="31"/>
      <c r="X76" s="60">
        <f>L76*'Spectral Functions'!J74*'Spectral Functions'!D74</f>
        <v>1647.398666046221</v>
      </c>
      <c r="Y76" s="61">
        <f>'Spectral Functions'!J74*'Spectral Functions'!D74</f>
        <v>55.020983272800002</v>
      </c>
      <c r="Z76" s="61">
        <f>L76*'Spectral Functions'!J74*'Spectral Functions'!F74</f>
        <v>2017.5475759440533</v>
      </c>
      <c r="AA76" s="62">
        <f>'Spectral Functions'!J74*'Spectral Functions'!F74</f>
        <v>67.383477791999994</v>
      </c>
      <c r="AB76" s="31"/>
      <c r="AC76" s="60">
        <f>L76*'Spectral Functions'!K74*'Spectral Functions'!D74</f>
        <v>2161.7061743771515</v>
      </c>
      <c r="AD76" s="61">
        <f>'Spectral Functions'!K74*'Spectral Functions'!D74</f>
        <v>72.198188399999992</v>
      </c>
      <c r="AE76" s="61">
        <f>L76*'Spectral Functions'!K74*'Spectral Functions'!F74</f>
        <v>2647.4132472652791</v>
      </c>
      <c r="AF76" s="62">
        <f>'Spectral Functions'!K74*'Spectral Functions'!F74</f>
        <v>88.420175999999998</v>
      </c>
      <c r="AG76" s="31"/>
    </row>
    <row r="77" spans="1:33">
      <c r="A77" s="42">
        <v>524</v>
      </c>
      <c r="B77" s="31"/>
      <c r="C77" s="157">
        <v>31.122237999999999</v>
      </c>
      <c r="D77" s="47">
        <f t="shared" si="4"/>
        <v>31.122237999999999</v>
      </c>
      <c r="E77" s="31"/>
      <c r="F77" s="157">
        <v>31.122237999999999</v>
      </c>
      <c r="G77" s="47">
        <f t="shared" si="5"/>
        <v>31.122237999999999</v>
      </c>
      <c r="H77" s="31"/>
      <c r="I77" s="157">
        <v>31.122237999999999</v>
      </c>
      <c r="J77" s="47">
        <f t="shared" si="6"/>
        <v>31.122237999999999</v>
      </c>
      <c r="K77" s="54"/>
      <c r="L77" s="47">
        <f t="shared" si="7"/>
        <v>31.122237999999999</v>
      </c>
      <c r="M77" s="133"/>
      <c r="N77" s="60">
        <f>L77*'Spectral Functions'!H75*'Spectral Functions'!D75</f>
        <v>2564.8405919438756</v>
      </c>
      <c r="O77" s="61">
        <f>'Spectral Functions'!H75*'Spectral Functions'!D75</f>
        <v>82.41183015</v>
      </c>
      <c r="P77" s="61">
        <f>L77*'Spectral Functions'!H75*'Spectral Functions'!F75</f>
        <v>2937.0611221325917</v>
      </c>
      <c r="Q77" s="62">
        <f>'Spectral Functions'!H75*'Spectral Functions'!F75</f>
        <v>94.371783999999991</v>
      </c>
      <c r="R77" s="31"/>
      <c r="S77" s="60">
        <f>L77*'Spectral Functions'!I75*'Spectral Functions'!D75</f>
        <v>0</v>
      </c>
      <c r="T77" s="61">
        <f>'Spectral Functions'!I75*'Spectral Functions'!D75</f>
        <v>0</v>
      </c>
      <c r="U77" s="61">
        <f>L77*'Spectral Functions'!I75*'Spectral Functions'!F75</f>
        <v>0</v>
      </c>
      <c r="V77" s="62">
        <f>'Spectral Functions'!I75*'Spectral Functions'!F75</f>
        <v>0</v>
      </c>
      <c r="W77" s="31"/>
      <c r="X77" s="60">
        <f>L77*'Spectral Functions'!J75*'Spectral Functions'!D75</f>
        <v>1818.6886415409485</v>
      </c>
      <c r="Y77" s="61">
        <f>'Spectral Functions'!J75*'Spectral Functions'!D75</f>
        <v>58.4369492175</v>
      </c>
      <c r="Z77" s="61">
        <f>L77*'Spectral Functions'!J75*'Spectral Functions'!F75</f>
        <v>2082.6244403304981</v>
      </c>
      <c r="AA77" s="62">
        <f>'Spectral Functions'!J75*'Spectral Functions'!F75</f>
        <v>66.917566799999989</v>
      </c>
      <c r="AB77" s="31"/>
      <c r="AC77" s="60">
        <f>L77*'Spectral Functions'!K75*'Spectral Functions'!D75</f>
        <v>2343.3371335551406</v>
      </c>
      <c r="AD77" s="61">
        <f>'Spectral Functions'!K75*'Spectral Functions'!D75</f>
        <v>75.294621599999999</v>
      </c>
      <c r="AE77" s="61">
        <f>L77*'Spectral Functions'!K75*'Spectral Functions'!F75</f>
        <v>2683.4121436756477</v>
      </c>
      <c r="AF77" s="62">
        <f>'Spectral Functions'!K75*'Spectral Functions'!F75</f>
        <v>86.221695999999994</v>
      </c>
      <c r="AG77" s="31"/>
    </row>
    <row r="78" spans="1:33">
      <c r="A78" s="42">
        <v>526</v>
      </c>
      <c r="B78" s="31"/>
      <c r="C78" s="157">
        <v>32.370758000000002</v>
      </c>
      <c r="D78" s="47">
        <f t="shared" si="4"/>
        <v>32.370758000000002</v>
      </c>
      <c r="E78" s="31"/>
      <c r="F78" s="157">
        <v>32.370758000000002</v>
      </c>
      <c r="G78" s="47">
        <f t="shared" si="5"/>
        <v>32.370758000000002</v>
      </c>
      <c r="H78" s="31"/>
      <c r="I78" s="157">
        <v>32.370758000000002</v>
      </c>
      <c r="J78" s="47">
        <f t="shared" si="6"/>
        <v>32.370758000000002</v>
      </c>
      <c r="K78" s="54"/>
      <c r="L78" s="47">
        <f t="shared" si="7"/>
        <v>32.370758000000002</v>
      </c>
      <c r="M78" s="133"/>
      <c r="N78" s="60">
        <f>L78*'Spectral Functions'!H76*'Spectral Functions'!D76</f>
        <v>2786.7324648433914</v>
      </c>
      <c r="O78" s="61">
        <f>'Spectral Functions'!H76*'Spectral Functions'!D76</f>
        <v>86.087958299999997</v>
      </c>
      <c r="P78" s="61">
        <f>L78*'Spectral Functions'!H76*'Spectral Functions'!F76</f>
        <v>2985.9498170528714</v>
      </c>
      <c r="Q78" s="62">
        <f>'Spectral Functions'!H76*'Spectral Functions'!F76</f>
        <v>92.242196399999997</v>
      </c>
      <c r="R78" s="31"/>
      <c r="S78" s="60">
        <f>L78*'Spectral Functions'!I76*'Spectral Functions'!D76</f>
        <v>0</v>
      </c>
      <c r="T78" s="61">
        <f>'Spectral Functions'!I76*'Spectral Functions'!D76</f>
        <v>0</v>
      </c>
      <c r="U78" s="61">
        <f>L78*'Spectral Functions'!I76*'Spectral Functions'!F76</f>
        <v>0</v>
      </c>
      <c r="V78" s="62">
        <f>'Spectral Functions'!I76*'Spectral Functions'!F76</f>
        <v>0</v>
      </c>
      <c r="W78" s="31"/>
      <c r="X78" s="60">
        <f>L78*'Spectral Functions'!J76*'Spectral Functions'!D76</f>
        <v>1999.999148341763</v>
      </c>
      <c r="Y78" s="61">
        <f>'Spectral Functions'!J76*'Spectral Functions'!D76</f>
        <v>61.784130861000001</v>
      </c>
      <c r="Z78" s="61">
        <f>L78*'Spectral Functions'!J76*'Spectral Functions'!F76</f>
        <v>2142.974672465587</v>
      </c>
      <c r="AA78" s="62">
        <f>'Spectral Functions'!J76*'Spectral Functions'!F76</f>
        <v>66.200941987999997</v>
      </c>
      <c r="AB78" s="31"/>
      <c r="AC78" s="60">
        <f>L78*'Spectral Functions'!K76*'Spectral Functions'!D76</f>
        <v>2537.9591076608076</v>
      </c>
      <c r="AD78" s="61">
        <f>'Spectral Functions'!K76*'Spectral Functions'!D76</f>
        <v>78.402832199999992</v>
      </c>
      <c r="AE78" s="61">
        <f>L78*'Spectral Functions'!K76*'Spectral Functions'!F76</f>
        <v>2719.3922017316208</v>
      </c>
      <c r="AF78" s="62">
        <f>'Spectral Functions'!K76*'Spectral Functions'!F76</f>
        <v>84.007677599999994</v>
      </c>
      <c r="AG78" s="31"/>
    </row>
    <row r="79" spans="1:33">
      <c r="A79" s="42">
        <v>528</v>
      </c>
      <c r="B79" s="31"/>
      <c r="C79" s="157">
        <v>33.614170999999999</v>
      </c>
      <c r="D79" s="47">
        <f t="shared" si="4"/>
        <v>33.614170999999999</v>
      </c>
      <c r="E79" s="31"/>
      <c r="F79" s="157">
        <v>33.614170999999999</v>
      </c>
      <c r="G79" s="47">
        <f t="shared" si="5"/>
        <v>33.614170999999999</v>
      </c>
      <c r="H79" s="31"/>
      <c r="I79" s="157">
        <v>33.614170999999999</v>
      </c>
      <c r="J79" s="47">
        <f t="shared" si="6"/>
        <v>33.614170999999999</v>
      </c>
      <c r="K79" s="54"/>
      <c r="L79" s="47">
        <f t="shared" si="7"/>
        <v>33.614170999999999</v>
      </c>
      <c r="M79" s="133"/>
      <c r="N79" s="60">
        <f>L79*'Spectral Functions'!H77*'Spectral Functions'!D77</f>
        <v>3011.0513105108935</v>
      </c>
      <c r="O79" s="61">
        <f>'Spectral Functions'!H77*'Spectral Functions'!D77</f>
        <v>89.576842769999999</v>
      </c>
      <c r="P79" s="61">
        <f>L79*'Spectral Functions'!H77*'Spectral Functions'!F77</f>
        <v>3018.7309932653361</v>
      </c>
      <c r="Q79" s="62">
        <f>'Spectral Functions'!H77*'Spectral Functions'!F77</f>
        <v>89.805308400000001</v>
      </c>
      <c r="R79" s="31"/>
      <c r="S79" s="60">
        <f>L79*'Spectral Functions'!I77*'Spectral Functions'!D77</f>
        <v>0</v>
      </c>
      <c r="T79" s="61">
        <f>'Spectral Functions'!I77*'Spectral Functions'!D77</f>
        <v>0</v>
      </c>
      <c r="U79" s="61">
        <f>L79*'Spectral Functions'!I77*'Spectral Functions'!F77</f>
        <v>0</v>
      </c>
      <c r="V79" s="62">
        <f>'Spectral Functions'!I77*'Spectral Functions'!F77</f>
        <v>0</v>
      </c>
      <c r="W79" s="31"/>
      <c r="X79" s="60">
        <f>L79*'Spectral Functions'!J77*'Spectral Functions'!D77</f>
        <v>2186.8199388937028</v>
      </c>
      <c r="Y79" s="61">
        <f>'Spectral Functions'!J77*'Spectral Functions'!D77</f>
        <v>65.0564887914</v>
      </c>
      <c r="Z79" s="61">
        <f>L79*'Spectral Functions'!J77*'Spectral Functions'!F77</f>
        <v>2192.397420523846</v>
      </c>
      <c r="AA79" s="62">
        <f>'Spectral Functions'!J77*'Spectral Functions'!F77</f>
        <v>65.222415287999993</v>
      </c>
      <c r="AB79" s="31"/>
      <c r="AC79" s="60">
        <f>L79*'Spectral Functions'!K77*'Spectral Functions'!D77</f>
        <v>2741.1783520485228</v>
      </c>
      <c r="AD79" s="61">
        <f>'Spectral Functions'!K77*'Spectral Functions'!D77</f>
        <v>81.548295570000008</v>
      </c>
      <c r="AE79" s="61">
        <f>L79*'Spectral Functions'!K77*'Spectral Functions'!F77</f>
        <v>2748.1697241462325</v>
      </c>
      <c r="AF79" s="62">
        <f>'Spectral Functions'!K77*'Spectral Functions'!F77</f>
        <v>81.756284399999998</v>
      </c>
      <c r="AG79" s="31"/>
    </row>
    <row r="80" spans="1:33">
      <c r="A80" s="42">
        <v>530</v>
      </c>
      <c r="B80" s="31"/>
      <c r="C80" s="157">
        <v>34.758786000000001</v>
      </c>
      <c r="D80" s="47">
        <f t="shared" si="4"/>
        <v>34.758786000000001</v>
      </c>
      <c r="E80" s="31"/>
      <c r="F80" s="157">
        <v>34.758786000000001</v>
      </c>
      <c r="G80" s="47">
        <f t="shared" si="5"/>
        <v>34.758786000000001</v>
      </c>
      <c r="H80" s="31"/>
      <c r="I80" s="157">
        <v>34.758786000000001</v>
      </c>
      <c r="J80" s="47">
        <f t="shared" si="6"/>
        <v>34.758786000000001</v>
      </c>
      <c r="K80" s="54"/>
      <c r="L80" s="47">
        <f t="shared" si="7"/>
        <v>34.758786000000001</v>
      </c>
      <c r="M80" s="133"/>
      <c r="N80" s="60">
        <f>L80*'Spectral Functions'!H78*'Spectral Functions'!D78</f>
        <v>3226.5857365875477</v>
      </c>
      <c r="O80" s="61">
        <f>'Spectral Functions'!H78*'Spectral Functions'!D78</f>
        <v>92.827917999999997</v>
      </c>
      <c r="P80" s="61">
        <f>L80*'Spectral Functions'!H78*'Spectral Functions'!F78</f>
        <v>3035.6856524042942</v>
      </c>
      <c r="Q80" s="62">
        <f>'Spectral Functions'!H78*'Spectral Functions'!F78</f>
        <v>87.335779000000002</v>
      </c>
      <c r="R80" s="31"/>
      <c r="S80" s="60">
        <f>L80*'Spectral Functions'!I78*'Spectral Functions'!D78</f>
        <v>0</v>
      </c>
      <c r="T80" s="61">
        <f>'Spectral Functions'!I78*'Spectral Functions'!D78</f>
        <v>0</v>
      </c>
      <c r="U80" s="61">
        <f>L80*'Spectral Functions'!I78*'Spectral Functions'!F78</f>
        <v>0</v>
      </c>
      <c r="V80" s="62">
        <f>'Spectral Functions'!I78*'Spectral Functions'!F78</f>
        <v>0</v>
      </c>
      <c r="W80" s="31"/>
      <c r="X80" s="60">
        <f>L80*'Spectral Functions'!J78*'Spectral Functions'!D78</f>
        <v>2370.9767799783431</v>
      </c>
      <c r="Y80" s="61">
        <f>'Spectral Functions'!J78*'Spectral Functions'!D78</f>
        <v>68.212301199999999</v>
      </c>
      <c r="Z80" s="61">
        <f>L80*'Spectral Functions'!J78*'Spectral Functions'!F78</f>
        <v>2230.6985714181396</v>
      </c>
      <c r="AA80" s="62">
        <f>'Spectral Functions'!J78*'Spectral Functions'!F78</f>
        <v>64.176538600000001</v>
      </c>
      <c r="AB80" s="31"/>
      <c r="AC80" s="60">
        <f>L80*'Spectral Functions'!K78*'Spectral Functions'!D78</f>
        <v>2936.283206136</v>
      </c>
      <c r="AD80" s="61">
        <f>'Spectral Functions'!K78*'Spectral Functions'!D78</f>
        <v>84.475999999999999</v>
      </c>
      <c r="AE80" s="61">
        <f>L80*'Spectral Functions'!K78*'Spectral Functions'!F78</f>
        <v>2762.5587937080004</v>
      </c>
      <c r="AF80" s="62">
        <f>'Spectral Functions'!K78*'Spectral Functions'!F78</f>
        <v>79.478000000000009</v>
      </c>
      <c r="AG80" s="31"/>
    </row>
    <row r="81" spans="1:33">
      <c r="A81" s="42">
        <v>532</v>
      </c>
      <c r="B81" s="31"/>
      <c r="C81" s="157">
        <v>35.750788</v>
      </c>
      <c r="D81" s="47">
        <f t="shared" si="4"/>
        <v>35.750788</v>
      </c>
      <c r="E81" s="31"/>
      <c r="F81" s="157">
        <v>35.750788</v>
      </c>
      <c r="G81" s="47">
        <f t="shared" si="5"/>
        <v>35.750788</v>
      </c>
      <c r="H81" s="31"/>
      <c r="I81" s="157">
        <v>35.750788</v>
      </c>
      <c r="J81" s="47">
        <f t="shared" si="6"/>
        <v>35.750788</v>
      </c>
      <c r="K81" s="54"/>
      <c r="L81" s="47">
        <f t="shared" si="7"/>
        <v>35.750788</v>
      </c>
      <c r="M81" s="133"/>
      <c r="N81" s="60">
        <f>L81*'Spectral Functions'!H79*'Spectral Functions'!D79</f>
        <v>3386.3195638880438</v>
      </c>
      <c r="O81" s="61">
        <f>'Spectral Functions'!H79*'Spectral Functions'!D79</f>
        <v>94.720137746000006</v>
      </c>
      <c r="P81" s="61">
        <f>L81*'Spectral Functions'!H79*'Spectral Functions'!F79</f>
        <v>2984.2218100720793</v>
      </c>
      <c r="Q81" s="62">
        <f>'Spectral Functions'!H79*'Spectral Functions'!F79</f>
        <v>83.472896040000009</v>
      </c>
      <c r="R81" s="31"/>
      <c r="S81" s="60">
        <f>L81*'Spectral Functions'!I79*'Spectral Functions'!D79</f>
        <v>0</v>
      </c>
      <c r="T81" s="61">
        <f>'Spectral Functions'!I79*'Spectral Functions'!D79</f>
        <v>0</v>
      </c>
      <c r="U81" s="61">
        <f>L81*'Spectral Functions'!I79*'Spectral Functions'!F79</f>
        <v>0</v>
      </c>
      <c r="V81" s="62">
        <f>'Spectral Functions'!I79*'Spectral Functions'!F79</f>
        <v>0</v>
      </c>
      <c r="W81" s="31"/>
      <c r="X81" s="60">
        <f>L81*'Spectral Functions'!J79*'Spectral Functions'!D79</f>
        <v>2546.2998306390923</v>
      </c>
      <c r="Y81" s="61">
        <f>'Spectral Functions'!J79*'Spectral Functions'!D79</f>
        <v>71.223600180200009</v>
      </c>
      <c r="Z81" s="61">
        <f>L81*'Spectral Functions'!J79*'Spectral Functions'!F79</f>
        <v>2243.9475501985567</v>
      </c>
      <c r="AA81" s="62">
        <f>'Spectral Functions'!J79*'Spectral Functions'!F79</f>
        <v>62.766380148000003</v>
      </c>
      <c r="AB81" s="31"/>
      <c r="AC81" s="60">
        <f>L81*'Spectral Functions'!K79*'Spectral Functions'!D79</f>
        <v>3125.2104166085319</v>
      </c>
      <c r="AD81" s="61">
        <f>'Spectral Functions'!K79*'Spectral Functions'!D79</f>
        <v>87.416546359999998</v>
      </c>
      <c r="AE81" s="61">
        <f>L81*'Spectral Functions'!K79*'Spectral Functions'!F79</f>
        <v>2754.1172385985633</v>
      </c>
      <c r="AF81" s="62">
        <f>'Spectral Functions'!K79*'Spectral Functions'!F79</f>
        <v>77.036546400000006</v>
      </c>
      <c r="AG81" s="31"/>
    </row>
    <row r="82" spans="1:33">
      <c r="A82" s="42">
        <v>534</v>
      </c>
      <c r="B82" s="31"/>
      <c r="C82" s="157">
        <v>36.909387000000002</v>
      </c>
      <c r="D82" s="47">
        <f t="shared" si="4"/>
        <v>36.909387000000002</v>
      </c>
      <c r="E82" s="31"/>
      <c r="F82" s="157">
        <v>36.909387000000002</v>
      </c>
      <c r="G82" s="47">
        <f t="shared" si="5"/>
        <v>36.909387000000002</v>
      </c>
      <c r="H82" s="31"/>
      <c r="I82" s="157">
        <v>36.909387000000002</v>
      </c>
      <c r="J82" s="47">
        <f t="shared" si="6"/>
        <v>36.909387000000002</v>
      </c>
      <c r="K82" s="54"/>
      <c r="L82" s="47">
        <f t="shared" si="7"/>
        <v>36.909387000000002</v>
      </c>
      <c r="M82" s="133"/>
      <c r="N82" s="60">
        <f>L82*'Spectral Functions'!H80*'Spectral Functions'!D80</f>
        <v>3555.0163600358801</v>
      </c>
      <c r="O82" s="61">
        <f>'Spectral Functions'!H80*'Spectral Functions'!D80</f>
        <v>96.317404568000001</v>
      </c>
      <c r="P82" s="61">
        <f>L82*'Spectral Functions'!H80*'Spectral Functions'!F80</f>
        <v>2939.8361351741255</v>
      </c>
      <c r="Q82" s="62">
        <f>'Spectral Functions'!H80*'Spectral Functions'!F80</f>
        <v>79.650093760000004</v>
      </c>
      <c r="R82" s="31"/>
      <c r="S82" s="60">
        <f>L82*'Spectral Functions'!I80*'Spectral Functions'!D80</f>
        <v>0</v>
      </c>
      <c r="T82" s="61">
        <f>'Spectral Functions'!I80*'Spectral Functions'!D80</f>
        <v>0</v>
      </c>
      <c r="U82" s="61">
        <f>L82*'Spectral Functions'!I80*'Spectral Functions'!F80</f>
        <v>0</v>
      </c>
      <c r="V82" s="62">
        <f>'Spectral Functions'!I80*'Spectral Functions'!F80</f>
        <v>0</v>
      </c>
      <c r="W82" s="31"/>
      <c r="X82" s="60">
        <f>L82*'Spectral Functions'!J80*'Spectral Functions'!D80</f>
        <v>2734.9924972026806</v>
      </c>
      <c r="Y82" s="61">
        <f>'Spectral Functions'!J80*'Spectral Functions'!D80</f>
        <v>74.100187499800001</v>
      </c>
      <c r="Z82" s="61">
        <f>L82*'Spectral Functions'!J80*'Spectral Functions'!F80</f>
        <v>2261.7138596305667</v>
      </c>
      <c r="AA82" s="62">
        <f>'Spectral Functions'!J80*'Spectral Functions'!F80</f>
        <v>61.277470135999998</v>
      </c>
      <c r="AB82" s="31"/>
      <c r="AC82" s="60">
        <f>L82*'Spectral Functions'!K80*'Spectral Functions'!D80</f>
        <v>3326.8959036020515</v>
      </c>
      <c r="AD82" s="61">
        <f>'Spectral Functions'!K80*'Spectral Functions'!D80</f>
        <v>90.13685065</v>
      </c>
      <c r="AE82" s="61">
        <f>L82*'Spectral Functions'!K80*'Spectral Functions'!F80</f>
        <v>2751.1909383374459</v>
      </c>
      <c r="AF82" s="62">
        <f>'Spectral Functions'!K80*'Spectral Functions'!F80</f>
        <v>74.539057999999997</v>
      </c>
      <c r="AG82" s="31"/>
    </row>
    <row r="83" spans="1:33">
      <c r="A83" s="42">
        <v>536</v>
      </c>
      <c r="B83" s="31"/>
      <c r="C83" s="157">
        <v>37.969073999999999</v>
      </c>
      <c r="D83" s="47">
        <f t="shared" si="4"/>
        <v>37.969073999999999</v>
      </c>
      <c r="E83" s="31"/>
      <c r="F83" s="157">
        <v>37.969073999999999</v>
      </c>
      <c r="G83" s="47">
        <f t="shared" si="5"/>
        <v>37.969073999999999</v>
      </c>
      <c r="H83" s="31"/>
      <c r="I83" s="157">
        <v>37.969073999999999</v>
      </c>
      <c r="J83" s="47">
        <f t="shared" si="6"/>
        <v>37.969073999999999</v>
      </c>
      <c r="K83" s="54"/>
      <c r="L83" s="47">
        <f t="shared" si="7"/>
        <v>37.969073999999999</v>
      </c>
      <c r="M83" s="133"/>
      <c r="N83" s="60">
        <f>L83*'Spectral Functions'!H81*'Spectral Functions'!D81</f>
        <v>3707.9208176847787</v>
      </c>
      <c r="O83" s="61">
        <f>'Spectral Functions'!H81*'Spectral Functions'!D81</f>
        <v>97.656340464999985</v>
      </c>
      <c r="P83" s="61">
        <f>L83*'Spectral Functions'!H81*'Spectral Functions'!F81</f>
        <v>2876.0686407585986</v>
      </c>
      <c r="Q83" s="62">
        <f>'Spectral Functions'!H81*'Spectral Functions'!F81</f>
        <v>75.747663500000002</v>
      </c>
      <c r="R83" s="31"/>
      <c r="S83" s="60">
        <f>L83*'Spectral Functions'!I81*'Spectral Functions'!D81</f>
        <v>561.17380114223999</v>
      </c>
      <c r="T83" s="61">
        <f>'Spectral Functions'!I81*'Spectral Functions'!D81</f>
        <v>14.77976</v>
      </c>
      <c r="U83" s="61">
        <f>L83*'Spectral Functions'!I81*'Spectral Functions'!F81</f>
        <v>435.27746433599998</v>
      </c>
      <c r="V83" s="62">
        <f>'Spectral Functions'!I81*'Spectral Functions'!F81</f>
        <v>11.464</v>
      </c>
      <c r="W83" s="31"/>
      <c r="X83" s="60">
        <f>L83*'Spectral Functions'!J81*'Spectral Functions'!D81</f>
        <v>2918.1633906560196</v>
      </c>
      <c r="Y83" s="61">
        <f>'Spectral Functions'!J81*'Spectral Functions'!D81</f>
        <v>76.856322349500005</v>
      </c>
      <c r="Z83" s="61">
        <f>L83*'Spectral Functions'!J81*'Spectral Functions'!F81</f>
        <v>2263.4890627777859</v>
      </c>
      <c r="AA83" s="62">
        <f>'Spectral Functions'!J81*'Spectral Functions'!F81</f>
        <v>59.614018050000006</v>
      </c>
      <c r="AB83" s="31"/>
      <c r="AC83" s="60">
        <f>L83*'Spectral Functions'!K81*'Spectral Functions'!D81</f>
        <v>3520.3134012904143</v>
      </c>
      <c r="AD83" s="61">
        <f>'Spectral Functions'!K81*'Spectral Functions'!D81</f>
        <v>92.715281950000005</v>
      </c>
      <c r="AE83" s="61">
        <f>L83*'Spectral Functions'!K81*'Spectral Functions'!F81</f>
        <v>2730.5499434627704</v>
      </c>
      <c r="AF83" s="62">
        <f>'Spectral Functions'!K81*'Spectral Functions'!F81</f>
        <v>71.915105000000011</v>
      </c>
      <c r="AG83" s="31"/>
    </row>
    <row r="84" spans="1:33">
      <c r="A84" s="42">
        <v>538</v>
      </c>
      <c r="B84" s="31"/>
      <c r="C84" s="157">
        <v>38.885196000000001</v>
      </c>
      <c r="D84" s="47">
        <f t="shared" si="4"/>
        <v>38.885196000000001</v>
      </c>
      <c r="E84" s="31"/>
      <c r="F84" s="157">
        <v>38.885196000000001</v>
      </c>
      <c r="G84" s="47">
        <f t="shared" si="5"/>
        <v>38.885196000000001</v>
      </c>
      <c r="H84" s="31"/>
      <c r="I84" s="157">
        <v>38.885196000000001</v>
      </c>
      <c r="J84" s="47">
        <f t="shared" si="6"/>
        <v>38.885196000000001</v>
      </c>
      <c r="K84" s="54"/>
      <c r="L84" s="47">
        <f t="shared" si="7"/>
        <v>38.885196000000001</v>
      </c>
      <c r="M84" s="133"/>
      <c r="N84" s="60">
        <f>L84*'Spectral Functions'!H82*'Spectral Functions'!D82</f>
        <v>3839.920501975294</v>
      </c>
      <c r="O84" s="61">
        <f>'Spectral Functions'!H82*'Spectral Functions'!D82</f>
        <v>98.750190225999987</v>
      </c>
      <c r="P84" s="61">
        <f>L84*'Spectral Functions'!H82*'Spectral Functions'!F82</f>
        <v>2790.7069992960314</v>
      </c>
      <c r="Q84" s="62">
        <f>'Spectral Functions'!H82*'Spectral Functions'!F82</f>
        <v>71.767852200000007</v>
      </c>
      <c r="R84" s="31"/>
      <c r="S84" s="60">
        <f>L84*'Spectral Functions'!I82*'Spectral Functions'!D82</f>
        <v>1754.3563238355839</v>
      </c>
      <c r="T84" s="61">
        <f>'Spectral Functions'!I82*'Spectral Functions'!D82</f>
        <v>45.116304</v>
      </c>
      <c r="U84" s="61">
        <f>L84*'Spectral Functions'!I82*'Spectral Functions'!F82</f>
        <v>1274.9989146048001</v>
      </c>
      <c r="V84" s="62">
        <f>'Spectral Functions'!I82*'Spectral Functions'!F82</f>
        <v>32.788800000000002</v>
      </c>
      <c r="W84" s="31"/>
      <c r="X84" s="60">
        <f>L84*'Spectral Functions'!J82*'Spectral Functions'!D82</f>
        <v>3091.0004069659153</v>
      </c>
      <c r="Y84" s="61">
        <f>'Spectral Functions'!J82*'Spectral Functions'!D82</f>
        <v>79.490416017599998</v>
      </c>
      <c r="Z84" s="61">
        <f>L84*'Spectral Functions'!J82*'Spectral Functions'!F82</f>
        <v>2246.4205876421975</v>
      </c>
      <c r="AA84" s="62">
        <f>'Spectral Functions'!J82*'Spectral Functions'!F82</f>
        <v>57.770586720000004</v>
      </c>
      <c r="AB84" s="31"/>
      <c r="AC84" s="60">
        <f>L84*'Spectral Functions'!K82*'Spectral Functions'!D82</f>
        <v>3700.2298796898858</v>
      </c>
      <c r="AD84" s="61">
        <f>'Spectral Functions'!K82*'Spectral Functions'!D82</f>
        <v>95.157804519999985</v>
      </c>
      <c r="AE84" s="61">
        <f>L84*'Spectral Functions'!K82*'Spectral Functions'!F82</f>
        <v>2689.1852107206241</v>
      </c>
      <c r="AF84" s="62">
        <f>'Spectral Functions'!K82*'Spectral Functions'!F82</f>
        <v>69.157043999999999</v>
      </c>
      <c r="AG84" s="31"/>
    </row>
    <row r="85" spans="1:33">
      <c r="A85" s="42">
        <v>540</v>
      </c>
      <c r="B85" s="31"/>
      <c r="C85" s="157">
        <v>40.031165999999999</v>
      </c>
      <c r="D85" s="47">
        <f t="shared" si="4"/>
        <v>40.031165999999999</v>
      </c>
      <c r="E85" s="31"/>
      <c r="F85" s="157">
        <v>40.031165999999999</v>
      </c>
      <c r="G85" s="47">
        <f t="shared" si="5"/>
        <v>40.031165999999999</v>
      </c>
      <c r="H85" s="31"/>
      <c r="I85" s="157">
        <v>40.031165999999999</v>
      </c>
      <c r="J85" s="47">
        <f t="shared" si="6"/>
        <v>40.031165999999999</v>
      </c>
      <c r="K85" s="54"/>
      <c r="L85" s="47">
        <f t="shared" si="7"/>
        <v>40.031165999999999</v>
      </c>
      <c r="M85" s="133"/>
      <c r="N85" s="60">
        <f>L85*'Spectral Functions'!H83*'Spectral Functions'!D83</f>
        <v>3987.1990074634195</v>
      </c>
      <c r="O85" s="61">
        <f>'Spectral Functions'!H83*'Spectral Functions'!D83</f>
        <v>99.602369999999993</v>
      </c>
      <c r="P85" s="61">
        <f>L85*'Spectral Functions'!H83*'Spectral Functions'!F83</f>
        <v>2715.3911898836309</v>
      </c>
      <c r="Q85" s="62">
        <f>'Spectral Functions'!H83*'Spectral Functions'!F83</f>
        <v>67.831928500000004</v>
      </c>
      <c r="R85" s="31"/>
      <c r="S85" s="60">
        <f>L85*'Spectral Functions'!I83*'Spectral Functions'!D83</f>
        <v>1909.4866181999998</v>
      </c>
      <c r="T85" s="61">
        <f>'Spectral Functions'!I83*'Spectral Functions'!D83</f>
        <v>47.699999999999996</v>
      </c>
      <c r="U85" s="61">
        <f>L85*'Spectral Functions'!I83*'Spectral Functions'!F83</f>
        <v>1300.41242751</v>
      </c>
      <c r="V85" s="62">
        <f>'Spectral Functions'!I83*'Spectral Functions'!F83</f>
        <v>32.484999999999999</v>
      </c>
      <c r="W85" s="31"/>
      <c r="X85" s="60">
        <f>L85*'Spectral Functions'!J83*'Spectral Functions'!D83</f>
        <v>3282.2929274887078</v>
      </c>
      <c r="Y85" s="61">
        <f>'Spectral Functions'!J83*'Spectral Functions'!D83</f>
        <v>81.993437999999998</v>
      </c>
      <c r="Z85" s="61">
        <f>L85*'Spectral Functions'!J83*'Spectral Functions'!F83</f>
        <v>2235.3309381440395</v>
      </c>
      <c r="AA85" s="62">
        <f>'Spectral Functions'!J83*'Spectral Functions'!F83</f>
        <v>55.839765900000003</v>
      </c>
      <c r="AB85" s="31"/>
      <c r="AC85" s="60">
        <f>L85*'Spectral Functions'!K83*'Spectral Functions'!D83</f>
        <v>3899.1716743643997</v>
      </c>
      <c r="AD85" s="61">
        <f>'Spectral Functions'!K83*'Spectral Functions'!D83</f>
        <v>97.403399999999991</v>
      </c>
      <c r="AE85" s="61">
        <f>L85*'Spectral Functions'!K83*'Spectral Functions'!F83</f>
        <v>2655.4421769754199</v>
      </c>
      <c r="AF85" s="62">
        <f>'Spectral Functions'!K83*'Spectral Functions'!F83</f>
        <v>66.334370000000007</v>
      </c>
      <c r="AG85" s="31"/>
    </row>
    <row r="86" spans="1:33">
      <c r="A86" s="42">
        <v>542</v>
      </c>
      <c r="B86" s="31"/>
      <c r="C86" s="157">
        <v>41.057777000000002</v>
      </c>
      <c r="D86" s="47">
        <f t="shared" si="4"/>
        <v>41.057777000000002</v>
      </c>
      <c r="E86" s="31"/>
      <c r="F86" s="157">
        <v>41.057777000000002</v>
      </c>
      <c r="G86" s="47">
        <f t="shared" si="5"/>
        <v>41.057777000000002</v>
      </c>
      <c r="H86" s="31"/>
      <c r="I86" s="157">
        <v>41.057777000000002</v>
      </c>
      <c r="J86" s="47">
        <f t="shared" si="6"/>
        <v>41.057777000000002</v>
      </c>
      <c r="K86" s="54"/>
      <c r="L86" s="47">
        <f t="shared" si="7"/>
        <v>41.057777000000002</v>
      </c>
      <c r="M86" s="133"/>
      <c r="N86" s="60">
        <f>L86*'Spectral Functions'!H84*'Spectral Functions'!D84</f>
        <v>4138.1055399851275</v>
      </c>
      <c r="O86" s="61">
        <f>'Spectral Functions'!H84*'Spectral Functions'!D84</f>
        <v>100.78737433799999</v>
      </c>
      <c r="P86" s="61">
        <f>L86*'Spectral Functions'!H84*'Spectral Functions'!F84</f>
        <v>2636.973653714771</v>
      </c>
      <c r="Q86" s="62">
        <f>'Spectral Functions'!H84*'Spectral Functions'!F84</f>
        <v>64.225923719999997</v>
      </c>
      <c r="R86" s="31"/>
      <c r="S86" s="60">
        <f>L86*'Spectral Functions'!I84*'Spectral Functions'!D84</f>
        <v>7853.0957973149216</v>
      </c>
      <c r="T86" s="61">
        <f>'Spectral Functions'!I84*'Spectral Functions'!D84</f>
        <v>191.269386</v>
      </c>
      <c r="U86" s="61">
        <f>L86*'Spectral Functions'!I84*'Spectral Functions'!F84</f>
        <v>5004.3205804006802</v>
      </c>
      <c r="V86" s="62">
        <f>'Spectral Functions'!I84*'Spectral Functions'!F84</f>
        <v>121.88484</v>
      </c>
      <c r="W86" s="31"/>
      <c r="X86" s="60">
        <f>L86*'Spectral Functions'!J84*'Spectral Functions'!D84</f>
        <v>3463.6435972957343</v>
      </c>
      <c r="Y86" s="61">
        <f>'Spectral Functions'!J84*'Spectral Functions'!D84</f>
        <v>84.360232101599991</v>
      </c>
      <c r="Z86" s="61">
        <f>L86*'Spectral Functions'!J84*'Spectral Functions'!F84</f>
        <v>2207.1783388974491</v>
      </c>
      <c r="AA86" s="62">
        <f>'Spectral Functions'!J84*'Spectral Functions'!F84</f>
        <v>53.757862704000004</v>
      </c>
      <c r="AB86" s="31"/>
      <c r="AC86" s="60">
        <f>L86*'Spectral Functions'!K84*'Spectral Functions'!D84</f>
        <v>4078.8503626053866</v>
      </c>
      <c r="AD86" s="61">
        <f>'Spectral Functions'!K84*'Spectral Functions'!D84</f>
        <v>99.344159879999992</v>
      </c>
      <c r="AE86" s="61">
        <f>L86*'Spectral Functions'!K84*'Spectral Functions'!F84</f>
        <v>2599.2137802444745</v>
      </c>
      <c r="AF86" s="62">
        <f>'Spectral Functions'!K84*'Spectral Functions'!F84</f>
        <v>63.306247200000001</v>
      </c>
      <c r="AG86" s="31"/>
    </row>
    <row r="87" spans="1:33">
      <c r="A87" s="42">
        <v>544</v>
      </c>
      <c r="B87" s="31"/>
      <c r="C87" s="157">
        <v>41.833513000000004</v>
      </c>
      <c r="D87" s="47">
        <f t="shared" si="4"/>
        <v>41.833513000000004</v>
      </c>
      <c r="E87" s="31"/>
      <c r="F87" s="157">
        <v>41.833513000000004</v>
      </c>
      <c r="G87" s="47">
        <f t="shared" si="5"/>
        <v>41.833513000000004</v>
      </c>
      <c r="H87" s="31"/>
      <c r="I87" s="157">
        <v>41.833513000000004</v>
      </c>
      <c r="J87" s="47">
        <f t="shared" si="6"/>
        <v>41.833513000000004</v>
      </c>
      <c r="K87" s="54"/>
      <c r="L87" s="47">
        <f t="shared" si="7"/>
        <v>41.833513000000004</v>
      </c>
      <c r="M87" s="133"/>
      <c r="N87" s="60">
        <f>L87*'Spectral Functions'!H85*'Spectral Functions'!D85</f>
        <v>4257.0665526801013</v>
      </c>
      <c r="O87" s="61">
        <f>'Spectral Functions'!H85*'Spectral Functions'!D85</f>
        <v>101.762110026</v>
      </c>
      <c r="P87" s="61">
        <f>L87*'Spectral Functions'!H85*'Spectral Functions'!F85</f>
        <v>2536.1225275647926</v>
      </c>
      <c r="Q87" s="62">
        <f>'Spectral Functions'!H85*'Spectral Functions'!F85</f>
        <v>60.624182519999998</v>
      </c>
      <c r="R87" s="31"/>
      <c r="S87" s="60">
        <f>L87*'Spectral Functions'!I85*'Spectral Functions'!D85</f>
        <v>17720.424352718768</v>
      </c>
      <c r="T87" s="61">
        <f>'Spectral Functions'!I85*'Spectral Functions'!D85</f>
        <v>423.59398199999998</v>
      </c>
      <c r="U87" s="61">
        <f>L87*'Spectral Functions'!I85*'Spectral Functions'!F85</f>
        <v>10556.83927953732</v>
      </c>
      <c r="V87" s="62">
        <f>'Spectral Functions'!I85*'Spectral Functions'!F85</f>
        <v>252.35363999999998</v>
      </c>
      <c r="W87" s="31"/>
      <c r="X87" s="60">
        <f>L87*'Spectral Functions'!J85*'Spectral Functions'!D85</f>
        <v>3622.3364679446418</v>
      </c>
      <c r="Y87" s="61">
        <f>'Spectral Functions'!J85*'Spectral Functions'!D85</f>
        <v>86.589344479499999</v>
      </c>
      <c r="Z87" s="61">
        <f>L87*'Spectral Functions'!J85*'Spectral Functions'!F85</f>
        <v>2157.985787887264</v>
      </c>
      <c r="AA87" s="62">
        <f>'Spectral Functions'!J85*'Spectral Functions'!F85</f>
        <v>51.585096089999993</v>
      </c>
      <c r="AB87" s="31"/>
      <c r="AC87" s="60">
        <f>L87*'Spectral Functions'!K85*'Spectral Functions'!D85</f>
        <v>4229.2201715544006</v>
      </c>
      <c r="AD87" s="61">
        <f>'Spectral Functions'!K85*'Spectral Functions'!D85</f>
        <v>101.09646234</v>
      </c>
      <c r="AE87" s="61">
        <f>L87*'Spectral Functions'!K85*'Spectral Functions'!F85</f>
        <v>2519.5332086969483</v>
      </c>
      <c r="AF87" s="62">
        <f>'Spectral Functions'!K85*'Spectral Functions'!F85</f>
        <v>60.227626799999996</v>
      </c>
      <c r="AG87" s="31"/>
    </row>
    <row r="88" spans="1:33">
      <c r="A88" s="42">
        <v>546</v>
      </c>
      <c r="B88" s="31"/>
      <c r="C88" s="157">
        <v>42.582124999999998</v>
      </c>
      <c r="D88" s="47">
        <f t="shared" si="4"/>
        <v>42.582124999999998</v>
      </c>
      <c r="E88" s="31"/>
      <c r="F88" s="157">
        <v>42.582124999999998</v>
      </c>
      <c r="G88" s="47">
        <f t="shared" si="5"/>
        <v>42.582124999999998</v>
      </c>
      <c r="H88" s="31"/>
      <c r="I88" s="157">
        <v>42.582124999999998</v>
      </c>
      <c r="J88" s="47">
        <f t="shared" si="6"/>
        <v>42.582124999999998</v>
      </c>
      <c r="K88" s="54"/>
      <c r="L88" s="47">
        <f t="shared" si="7"/>
        <v>42.582124999999998</v>
      </c>
      <c r="M88" s="133"/>
      <c r="N88" s="60">
        <f>L88*'Spectral Functions'!H86*'Spectral Functions'!D86</f>
        <v>4366.0536681975445</v>
      </c>
      <c r="O88" s="61">
        <f>'Spectral Functions'!H86*'Spectral Functions'!D86</f>
        <v>102.53254548</v>
      </c>
      <c r="P88" s="61">
        <f>L88*'Spectral Functions'!H86*'Spectral Functions'!F86</f>
        <v>2429.8543967418</v>
      </c>
      <c r="Q88" s="62">
        <f>'Spectral Functions'!H86*'Spectral Functions'!F86</f>
        <v>57.062779199999994</v>
      </c>
      <c r="R88" s="31"/>
      <c r="S88" s="60">
        <f>L88*'Spectral Functions'!I86*'Spectral Functions'!D86</f>
        <v>28034.263403629498</v>
      </c>
      <c r="T88" s="61">
        <f>'Spectral Functions'!I86*'Spectral Functions'!D86</f>
        <v>658.35754799999995</v>
      </c>
      <c r="U88" s="61">
        <f>L88*'Spectral Functions'!I86*'Spectral Functions'!F86</f>
        <v>15602.002029179997</v>
      </c>
      <c r="V88" s="62">
        <f>'Spectral Functions'!I86*'Spectral Functions'!F86</f>
        <v>366.39791999999994</v>
      </c>
      <c r="W88" s="31"/>
      <c r="X88" s="60">
        <f>L88*'Spectral Functions'!J86*'Spectral Functions'!D86</f>
        <v>3776.0225187175379</v>
      </c>
      <c r="Y88" s="61">
        <f>'Spectral Functions'!J86*'Spectral Functions'!D86</f>
        <v>88.676234892400004</v>
      </c>
      <c r="Z88" s="61">
        <f>L88*'Spectral Functions'!J86*'Spectral Functions'!F86</f>
        <v>2101.4823949907336</v>
      </c>
      <c r="AA88" s="62">
        <f>'Spectral Functions'!J86*'Spectral Functions'!F86</f>
        <v>49.351280495999994</v>
      </c>
      <c r="AB88" s="31"/>
      <c r="AC88" s="60">
        <f>L88*'Spectral Functions'!K86*'Spectral Functions'!D86</f>
        <v>4366.4727154830998</v>
      </c>
      <c r="AD88" s="61">
        <f>'Spectral Functions'!K86*'Spectral Functions'!D86</f>
        <v>102.5423864</v>
      </c>
      <c r="AE88" s="61">
        <f>L88*'Spectral Functions'!K86*'Spectral Functions'!F86</f>
        <v>2430.087610524</v>
      </c>
      <c r="AF88" s="62">
        <f>'Spectral Functions'!K86*'Spectral Functions'!F86</f>
        <v>57.068255999999998</v>
      </c>
      <c r="AG88" s="31"/>
    </row>
    <row r="89" spans="1:33">
      <c r="A89" s="42">
        <v>548</v>
      </c>
      <c r="B89" s="31"/>
      <c r="C89" s="157">
        <v>43.463729000000001</v>
      </c>
      <c r="D89" s="47">
        <f t="shared" si="4"/>
        <v>43.463729000000001</v>
      </c>
      <c r="E89" s="31"/>
      <c r="F89" s="157">
        <v>43.463729000000001</v>
      </c>
      <c r="G89" s="47">
        <f t="shared" si="5"/>
        <v>43.463729000000001</v>
      </c>
      <c r="H89" s="31"/>
      <c r="I89" s="157">
        <v>43.463729000000001</v>
      </c>
      <c r="J89" s="47">
        <f t="shared" si="6"/>
        <v>43.463729000000001</v>
      </c>
      <c r="K89" s="54"/>
      <c r="L89" s="47">
        <f t="shared" si="7"/>
        <v>43.463729000000001</v>
      </c>
      <c r="M89" s="133"/>
      <c r="N89" s="60">
        <f>L89*'Spectral Functions'!H87*'Spectral Functions'!D87</f>
        <v>4481.519407257555</v>
      </c>
      <c r="O89" s="61">
        <f>'Spectral Functions'!H87*'Spectral Functions'!D87</f>
        <v>103.109408934</v>
      </c>
      <c r="P89" s="61">
        <f>L89*'Spectral Functions'!H87*'Spectral Functions'!F87</f>
        <v>2327.1193450839532</v>
      </c>
      <c r="Q89" s="62">
        <f>'Spectral Functions'!H87*'Spectral Functions'!F87</f>
        <v>53.541640319999999</v>
      </c>
      <c r="R89" s="31"/>
      <c r="S89" s="60">
        <f>L89*'Spectral Functions'!I87*'Spectral Functions'!D87</f>
        <v>41923.585764890398</v>
      </c>
      <c r="T89" s="61">
        <f>'Spectral Functions'!I87*'Spectral Functions'!D87</f>
        <v>964.56486199999995</v>
      </c>
      <c r="U89" s="61">
        <f>L89*'Spectral Functions'!I87*'Spectral Functions'!F87</f>
        <v>21769.667512935041</v>
      </c>
      <c r="V89" s="62">
        <f>'Spectral Functions'!I87*'Spectral Functions'!F87</f>
        <v>500.86976000000004</v>
      </c>
      <c r="W89" s="31"/>
      <c r="X89" s="60">
        <f>L89*'Spectral Functions'!J87*'Spectral Functions'!D87</f>
        <v>3938.7596210377246</v>
      </c>
      <c r="Y89" s="61">
        <f>'Spectral Functions'!J87*'Spectral Functions'!D87</f>
        <v>90.621760066600004</v>
      </c>
      <c r="Z89" s="61">
        <f>L89*'Spectral Functions'!J87*'Spectral Functions'!F87</f>
        <v>2045.2803785494482</v>
      </c>
      <c r="AA89" s="62">
        <f>'Spectral Functions'!J87*'Spectral Functions'!F87</f>
        <v>47.057176768000005</v>
      </c>
      <c r="AB89" s="31"/>
      <c r="AC89" s="60">
        <f>L89*'Spectral Functions'!K87*'Spectral Functions'!D87</f>
        <v>4506.5702562464321</v>
      </c>
      <c r="AD89" s="61">
        <f>'Spectral Functions'!K87*'Spectral Functions'!D87</f>
        <v>103.6857711</v>
      </c>
      <c r="AE89" s="61">
        <f>L89*'Spectral Functions'!K87*'Spectral Functions'!F87</f>
        <v>2340.1275037005121</v>
      </c>
      <c r="AF89" s="62">
        <f>'Spectral Functions'!K87*'Spectral Functions'!F87</f>
        <v>53.840928000000005</v>
      </c>
      <c r="AG89" s="31"/>
    </row>
    <row r="90" spans="1:33">
      <c r="A90" s="42">
        <v>550</v>
      </c>
      <c r="B90" s="31"/>
      <c r="C90" s="157">
        <v>44.447778999999997</v>
      </c>
      <c r="D90" s="47">
        <f t="shared" si="4"/>
        <v>44.447778999999997</v>
      </c>
      <c r="E90" s="31"/>
      <c r="F90" s="157">
        <v>44.447778999999997</v>
      </c>
      <c r="G90" s="47">
        <f t="shared" si="5"/>
        <v>44.447778999999997</v>
      </c>
      <c r="H90" s="31"/>
      <c r="I90" s="157">
        <v>44.447778999999997</v>
      </c>
      <c r="J90" s="47">
        <f t="shared" si="6"/>
        <v>44.447778999999997</v>
      </c>
      <c r="K90" s="54"/>
      <c r="L90" s="47">
        <f t="shared" si="7"/>
        <v>44.447778999999997</v>
      </c>
      <c r="M90" s="133"/>
      <c r="N90" s="60">
        <f>L90*'Spectral Functions'!H88*'Spectral Functions'!D88</f>
        <v>4601.2593150841385</v>
      </c>
      <c r="O90" s="61">
        <f>'Spectral Functions'!H88*'Spectral Functions'!D88</f>
        <v>103.5205677</v>
      </c>
      <c r="P90" s="61">
        <f>L90*'Spectral Functions'!H88*'Spectral Functions'!F88</f>
        <v>2223.5142255313872</v>
      </c>
      <c r="Q90" s="62">
        <f>'Spectral Functions'!H88*'Spectral Functions'!F88</f>
        <v>50.025316800000006</v>
      </c>
      <c r="R90" s="31"/>
      <c r="S90" s="60">
        <f>L90*'Spectral Functions'!I88*'Spectral Functions'!D88</f>
        <v>26224.427405617651</v>
      </c>
      <c r="T90" s="61">
        <f>'Spectral Functions'!I88*'Spectral Functions'!D88</f>
        <v>590.00535000000002</v>
      </c>
      <c r="U90" s="61">
        <f>L90*'Spectral Functions'!I88*'Spectral Functions'!F88</f>
        <v>12672.7018409176</v>
      </c>
      <c r="V90" s="62">
        <f>'Spectral Functions'!I88*'Spectral Functions'!F88</f>
        <v>285.11439999999999</v>
      </c>
      <c r="W90" s="31"/>
      <c r="X90" s="60">
        <f>L90*'Spectral Functions'!J88*'Spectral Functions'!D88</f>
        <v>4108.876895633638</v>
      </c>
      <c r="Y90" s="61">
        <f>'Spectral Functions'!J88*'Spectral Functions'!D88</f>
        <v>92.442794400000011</v>
      </c>
      <c r="Z90" s="61">
        <f>L90*'Spectral Functions'!J88*'Spectral Functions'!F88</f>
        <v>1985.5751660089986</v>
      </c>
      <c r="AA90" s="62">
        <f>'Spectral Functions'!J88*'Spectral Functions'!F88</f>
        <v>44.672089600000007</v>
      </c>
      <c r="AB90" s="31"/>
      <c r="AC90" s="60">
        <f>L90*'Spectral Functions'!K88*'Spectral Functions'!D88</f>
        <v>4652.29302372846</v>
      </c>
      <c r="AD90" s="61">
        <f>'Spectral Functions'!K88*'Spectral Functions'!D88</f>
        <v>104.66874</v>
      </c>
      <c r="AE90" s="61">
        <f>L90*'Spectral Functions'!K88*'Spectral Functions'!F88</f>
        <v>2248.1757734646399</v>
      </c>
      <c r="AF90" s="62">
        <f>'Spectral Functions'!K88*'Spectral Functions'!F88</f>
        <v>50.580159999999999</v>
      </c>
      <c r="AG90" s="31"/>
    </row>
    <row r="91" spans="1:33">
      <c r="A91" s="42">
        <v>552</v>
      </c>
      <c r="B91" s="31"/>
      <c r="C91" s="157">
        <v>45.630833000000003</v>
      </c>
      <c r="D91" s="47">
        <f t="shared" si="4"/>
        <v>45.630833000000003</v>
      </c>
      <c r="E91" s="31"/>
      <c r="F91" s="157">
        <v>45.630833000000003</v>
      </c>
      <c r="G91" s="47">
        <f t="shared" si="5"/>
        <v>45.630833000000003</v>
      </c>
      <c r="H91" s="31"/>
      <c r="I91" s="157">
        <v>45.630833000000003</v>
      </c>
      <c r="J91" s="47">
        <f t="shared" si="6"/>
        <v>45.630833000000003</v>
      </c>
      <c r="K91" s="54"/>
      <c r="L91" s="47">
        <f t="shared" si="7"/>
        <v>45.630833000000003</v>
      </c>
      <c r="M91" s="133"/>
      <c r="N91" s="60">
        <f>L91*'Spectral Functions'!H89*'Spectral Functions'!D89</f>
        <v>4701.8303832581878</v>
      </c>
      <c r="O91" s="61">
        <f>'Spectral Functions'!H89*'Spectral Functions'!D89</f>
        <v>103.040643226</v>
      </c>
      <c r="P91" s="61">
        <f>L91*'Spectral Functions'!H89*'Spectral Functions'!F89</f>
        <v>2115.5217108075426</v>
      </c>
      <c r="Q91" s="62">
        <f>'Spectral Functions'!H89*'Spectral Functions'!F89</f>
        <v>46.361671959999995</v>
      </c>
      <c r="R91" s="31"/>
      <c r="S91" s="60">
        <f>L91*'Spectral Functions'!I89*'Spectral Functions'!D89</f>
        <v>21086.891981058543</v>
      </c>
      <c r="T91" s="61">
        <f>'Spectral Functions'!I89*'Spectral Functions'!D89</f>
        <v>462.11937399999999</v>
      </c>
      <c r="U91" s="61">
        <f>L91*'Spectral Functions'!I89*'Spectral Functions'!F89</f>
        <v>9487.7471459253211</v>
      </c>
      <c r="V91" s="62">
        <f>'Spectral Functions'!I89*'Spectral Functions'!F89</f>
        <v>207.92403999999999</v>
      </c>
      <c r="W91" s="31"/>
      <c r="X91" s="60">
        <f>L91*'Spectral Functions'!J89*'Spectral Functions'!D89</f>
        <v>4295.7414768652925</v>
      </c>
      <c r="Y91" s="61">
        <f>'Spectral Functions'!J89*'Spectral Functions'!D89</f>
        <v>94.141202218800004</v>
      </c>
      <c r="Z91" s="61">
        <f>L91*'Spectral Functions'!J89*'Spectral Functions'!F89</f>
        <v>1932.8077828336152</v>
      </c>
      <c r="AA91" s="62">
        <f>'Spectral Functions'!J89*'Spectral Functions'!F89</f>
        <v>42.357495047999997</v>
      </c>
      <c r="AB91" s="31"/>
      <c r="AC91" s="60">
        <f>L91*'Spectral Functions'!K89*'Spectral Functions'!D89</f>
        <v>4799.8867081722674</v>
      </c>
      <c r="AD91" s="61">
        <f>'Spectral Functions'!K89*'Spectral Functions'!D89</f>
        <v>105.18954822000001</v>
      </c>
      <c r="AE91" s="61">
        <f>L91*'Spectral Functions'!K89*'Spectral Functions'!F89</f>
        <v>2159.6407596308195</v>
      </c>
      <c r="AF91" s="62">
        <f>'Spectral Functions'!K89*'Spectral Functions'!F89</f>
        <v>47.328541199999997</v>
      </c>
      <c r="AG91" s="31"/>
    </row>
    <row r="92" spans="1:33">
      <c r="A92" s="42">
        <v>554</v>
      </c>
      <c r="B92" s="31"/>
      <c r="C92" s="157">
        <v>46.876787999999998</v>
      </c>
      <c r="D92" s="47">
        <f t="shared" si="4"/>
        <v>46.876787999999998</v>
      </c>
      <c r="E92" s="31"/>
      <c r="F92" s="157">
        <v>46.876787999999998</v>
      </c>
      <c r="G92" s="47">
        <f t="shared" si="5"/>
        <v>46.876787999999998</v>
      </c>
      <c r="H92" s="31"/>
      <c r="I92" s="157">
        <v>46.876787999999998</v>
      </c>
      <c r="J92" s="47">
        <f t="shared" si="6"/>
        <v>46.876787999999998</v>
      </c>
      <c r="K92" s="54"/>
      <c r="L92" s="47">
        <f t="shared" si="7"/>
        <v>46.876787999999998</v>
      </c>
      <c r="M92" s="133"/>
      <c r="N92" s="60">
        <f>L92*'Spectral Functions'!H90*'Spectral Functions'!D90</f>
        <v>4800.2856643624009</v>
      </c>
      <c r="O92" s="61">
        <f>'Spectral Functions'!H90*'Spectral Functions'!D90</f>
        <v>102.40218814399999</v>
      </c>
      <c r="P92" s="61">
        <f>L92*'Spectral Functions'!H90*'Spectral Functions'!F90</f>
        <v>2003.9522208379428</v>
      </c>
      <c r="Q92" s="62">
        <f>'Spectral Functions'!H90*'Spectral Functions'!F90</f>
        <v>42.749350079999999</v>
      </c>
      <c r="R92" s="31"/>
      <c r="S92" s="60">
        <f>L92*'Spectral Functions'!I90*'Spectral Functions'!D90</f>
        <v>11153.864061762912</v>
      </c>
      <c r="T92" s="61">
        <f>'Spectral Functions'!I90*'Spectral Functions'!D90</f>
        <v>237.94002399999999</v>
      </c>
      <c r="U92" s="61">
        <f>L92*'Spectral Functions'!I90*'Spectral Functions'!F90</f>
        <v>4656.3501050438399</v>
      </c>
      <c r="V92" s="62">
        <f>'Spectral Functions'!I90*'Spectral Functions'!F90</f>
        <v>99.331680000000006</v>
      </c>
      <c r="W92" s="31"/>
      <c r="X92" s="60">
        <f>L92*'Spectral Functions'!J90*'Spectral Functions'!D90</f>
        <v>4486.5668348840518</v>
      </c>
      <c r="Y92" s="61">
        <f>'Spectral Functions'!J90*'Spectral Functions'!D90</f>
        <v>95.709775057200005</v>
      </c>
      <c r="Z92" s="61">
        <f>L92*'Spectral Functions'!J90*'Spectral Functions'!F90</f>
        <v>1872.985526559901</v>
      </c>
      <c r="AA92" s="62">
        <f>'Spectral Functions'!J90*'Spectral Functions'!F90</f>
        <v>39.955500504</v>
      </c>
      <c r="AB92" s="31"/>
      <c r="AC92" s="60">
        <f>L92*'Spectral Functions'!K90*'Spectral Functions'!D90</f>
        <v>4948.0040657181853</v>
      </c>
      <c r="AD92" s="61">
        <f>'Spectral Functions'!K90*'Spectral Functions'!D90</f>
        <v>105.55339384</v>
      </c>
      <c r="AE92" s="61">
        <f>L92*'Spectral Functions'!K90*'Spectral Functions'!F90</f>
        <v>2065.6195129854145</v>
      </c>
      <c r="AF92" s="62">
        <f>'Spectral Functions'!K90*'Spectral Functions'!F90</f>
        <v>44.064868799999999</v>
      </c>
      <c r="AG92" s="31"/>
    </row>
    <row r="93" spans="1:33">
      <c r="A93" s="42">
        <v>556</v>
      </c>
      <c r="B93" s="31"/>
      <c r="C93" s="157">
        <v>48.135255000000001</v>
      </c>
      <c r="D93" s="47">
        <f t="shared" si="4"/>
        <v>48.135255000000001</v>
      </c>
      <c r="E93" s="31"/>
      <c r="F93" s="157">
        <v>48.135255000000001</v>
      </c>
      <c r="G93" s="47">
        <f t="shared" si="5"/>
        <v>48.135255000000001</v>
      </c>
      <c r="H93" s="31"/>
      <c r="I93" s="157">
        <v>48.135255000000001</v>
      </c>
      <c r="J93" s="47">
        <f t="shared" si="6"/>
        <v>48.135255000000001</v>
      </c>
      <c r="K93" s="54"/>
      <c r="L93" s="47">
        <f t="shared" si="7"/>
        <v>48.135255000000001</v>
      </c>
      <c r="M93" s="133"/>
      <c r="N93" s="60">
        <f>L93*'Spectral Functions'!H91*'Spectral Functions'!D91</f>
        <v>4890.7088711970091</v>
      </c>
      <c r="O93" s="61">
        <f>'Spectral Functions'!H91*'Spectral Functions'!D91</f>
        <v>101.60346862599999</v>
      </c>
      <c r="P93" s="61">
        <f>L93*'Spectral Functions'!H91*'Spectral Functions'!F91</f>
        <v>1892.7793722486265</v>
      </c>
      <c r="Q93" s="62">
        <f>'Spectral Functions'!H91*'Spectral Functions'!F91</f>
        <v>39.322101279999998</v>
      </c>
      <c r="R93" s="31"/>
      <c r="S93" s="60">
        <f>L93*'Spectral Functions'!I91*'Spectral Functions'!D91</f>
        <v>6593.5869172192952</v>
      </c>
      <c r="T93" s="61">
        <f>'Spectral Functions'!I91*'Spectral Functions'!D91</f>
        <v>136.98040900000001</v>
      </c>
      <c r="U93" s="61">
        <f>L93*'Spectral Functions'!I91*'Spectral Functions'!F91</f>
        <v>2551.8193036476005</v>
      </c>
      <c r="V93" s="62">
        <f>'Spectral Functions'!I91*'Spectral Functions'!F91</f>
        <v>53.013520000000007</v>
      </c>
      <c r="W93" s="31"/>
      <c r="X93" s="60">
        <f>L93*'Spectral Functions'!J91*'Spectral Functions'!D91</f>
        <v>4675.7579376956601</v>
      </c>
      <c r="Y93" s="61">
        <f>'Spectral Functions'!J91*'Spectral Functions'!D91</f>
        <v>97.137907292599991</v>
      </c>
      <c r="Z93" s="61">
        <f>L93*'Spectral Functions'!J91*'Spectral Functions'!F91</f>
        <v>1809.5900629497146</v>
      </c>
      <c r="AA93" s="62">
        <f>'Spectral Functions'!J91*'Spectral Functions'!F91</f>
        <v>37.593860528</v>
      </c>
      <c r="AB93" s="31"/>
      <c r="AC93" s="60">
        <f>L93*'Spectral Functions'!K91*'Spectral Functions'!D91</f>
        <v>5082.3560471412957</v>
      </c>
      <c r="AD93" s="61">
        <f>'Spectral Functions'!K91*'Spectral Functions'!D91</f>
        <v>105.5848992</v>
      </c>
      <c r="AE93" s="61">
        <f>L93*'Spectral Functions'!K91*'Spectral Functions'!F91</f>
        <v>1966.94976981888</v>
      </c>
      <c r="AF93" s="62">
        <f>'Spectral Functions'!K91*'Spectral Functions'!F91</f>
        <v>40.862976000000003</v>
      </c>
      <c r="AG93" s="31"/>
    </row>
    <row r="94" spans="1:33">
      <c r="A94" s="42">
        <v>558</v>
      </c>
      <c r="B94" s="31"/>
      <c r="C94" s="157">
        <v>49.792439000000002</v>
      </c>
      <c r="D94" s="47">
        <f t="shared" si="4"/>
        <v>49.792439000000002</v>
      </c>
      <c r="E94" s="31"/>
      <c r="F94" s="157">
        <v>49.792439000000002</v>
      </c>
      <c r="G94" s="47">
        <f t="shared" si="5"/>
        <v>49.792439000000002</v>
      </c>
      <c r="H94" s="31"/>
      <c r="I94" s="157">
        <v>49.792439000000002</v>
      </c>
      <c r="J94" s="47">
        <f t="shared" si="6"/>
        <v>49.792439000000002</v>
      </c>
      <c r="K94" s="54"/>
      <c r="L94" s="47">
        <f t="shared" si="7"/>
        <v>49.792439000000002</v>
      </c>
      <c r="M94" s="133"/>
      <c r="N94" s="60">
        <f>L94*'Spectral Functions'!H92*'Spectral Functions'!D92</f>
        <v>5011.1232966552061</v>
      </c>
      <c r="O94" s="61">
        <f>'Spectral Functions'!H92*'Spectral Functions'!D92</f>
        <v>100.640245734</v>
      </c>
      <c r="P94" s="61">
        <f>L94*'Spectral Functions'!H92*'Spectral Functions'!F92</f>
        <v>1796.3879588500799</v>
      </c>
      <c r="Q94" s="62">
        <f>'Spectral Functions'!H92*'Spectral Functions'!F92</f>
        <v>36.077524919999995</v>
      </c>
      <c r="R94" s="31"/>
      <c r="S94" s="60">
        <f>L94*'Spectral Functions'!I92*'Spectral Functions'!D92</f>
        <v>1789.5271124561041</v>
      </c>
      <c r="T94" s="61">
        <f>'Spectral Functions'!I92*'Spectral Functions'!D92</f>
        <v>35.939736000000003</v>
      </c>
      <c r="U94" s="61">
        <f>L94*'Spectral Functions'!I92*'Spectral Functions'!F92</f>
        <v>641.50985049552003</v>
      </c>
      <c r="V94" s="62">
        <f>'Spectral Functions'!I92*'Spectral Functions'!F92</f>
        <v>12.883679999999998</v>
      </c>
      <c r="W94" s="31"/>
      <c r="X94" s="60">
        <f>L94*'Spectral Functions'!J92*'Spectral Functions'!D92</f>
        <v>4900.0185175149099</v>
      </c>
      <c r="Y94" s="61">
        <f>'Spectral Functions'!J92*'Spectral Functions'!D92</f>
        <v>98.408887291400006</v>
      </c>
      <c r="Z94" s="61">
        <f>L94*'Spectral Functions'!J92*'Spectral Functions'!F92</f>
        <v>1756.5591069933425</v>
      </c>
      <c r="AA94" s="62">
        <f>'Spectral Functions'!J92*'Spectral Functions'!F92</f>
        <v>35.277627331999994</v>
      </c>
      <c r="AB94" s="31"/>
      <c r="AC94" s="60">
        <f>L94*'Spectral Functions'!K92*'Spectral Functions'!D92</f>
        <v>5241.8231669026718</v>
      </c>
      <c r="AD94" s="61">
        <f>'Spectral Functions'!K92*'Spectral Functions'!D92</f>
        <v>105.2734767</v>
      </c>
      <c r="AE94" s="61">
        <f>L94*'Spectral Functions'!K92*'Spectral Functions'!F92</f>
        <v>1879.0892704097939</v>
      </c>
      <c r="AF94" s="62">
        <f>'Spectral Functions'!K92*'Spectral Functions'!F92</f>
        <v>37.738445999999996</v>
      </c>
      <c r="AG94" s="31"/>
    </row>
    <row r="95" spans="1:33">
      <c r="A95" s="42">
        <v>560</v>
      </c>
      <c r="B95" s="31"/>
      <c r="C95" s="157">
        <v>51.297255999999997</v>
      </c>
      <c r="D95" s="47">
        <f t="shared" si="4"/>
        <v>51.297255999999997</v>
      </c>
      <c r="E95" s="31"/>
      <c r="F95" s="157">
        <v>51.297255999999997</v>
      </c>
      <c r="G95" s="47">
        <f t="shared" si="5"/>
        <v>51.297255999999997</v>
      </c>
      <c r="H95" s="31"/>
      <c r="I95" s="157">
        <v>51.297255999999997</v>
      </c>
      <c r="J95" s="47">
        <f t="shared" si="6"/>
        <v>51.297255999999997</v>
      </c>
      <c r="K95" s="54"/>
      <c r="L95" s="47">
        <f t="shared" si="7"/>
        <v>51.297255999999997</v>
      </c>
      <c r="M95" s="133"/>
      <c r="N95" s="60">
        <f>L95*'Spectral Functions'!H93*'Spectral Functions'!D93</f>
        <v>5104.0769719999998</v>
      </c>
      <c r="O95" s="61">
        <f>'Spectral Functions'!H93*'Spectral Functions'!D93</f>
        <v>99.5</v>
      </c>
      <c r="P95" s="61">
        <f>L95*'Spectral Functions'!H93*'Spectral Functions'!F93</f>
        <v>1686.6537772799998</v>
      </c>
      <c r="Q95" s="62">
        <f>'Spectral Functions'!H93*'Spectral Functions'!F93</f>
        <v>32.879999999999995</v>
      </c>
      <c r="R95" s="31"/>
      <c r="S95" s="60">
        <f>L95*'Spectral Functions'!I93*'Spectral Functions'!D93</f>
        <v>1173.93770356</v>
      </c>
      <c r="T95" s="61">
        <f>'Spectral Functions'!I93*'Spectral Functions'!D93</f>
        <v>22.885000000000002</v>
      </c>
      <c r="U95" s="61">
        <f>L95*'Spectral Functions'!I93*'Spectral Functions'!F93</f>
        <v>387.93036877439999</v>
      </c>
      <c r="V95" s="62">
        <f>'Spectral Functions'!I93*'Spectral Functions'!F93</f>
        <v>7.5623999999999993</v>
      </c>
      <c r="W95" s="31"/>
      <c r="X95" s="60">
        <f>L95*'Spectral Functions'!J93*'Spectral Functions'!D93</f>
        <v>5104.0769719999998</v>
      </c>
      <c r="Y95" s="61">
        <f>'Spectral Functions'!J93*'Spectral Functions'!D93</f>
        <v>99.5</v>
      </c>
      <c r="Z95" s="61">
        <f>L95*'Spectral Functions'!J93*'Spectral Functions'!F93</f>
        <v>1686.6537772799998</v>
      </c>
      <c r="AA95" s="62">
        <f>'Spectral Functions'!J93*'Spectral Functions'!F93</f>
        <v>32.879999999999995</v>
      </c>
      <c r="AB95" s="31"/>
      <c r="AC95" s="60">
        <f>L95*'Spectral Functions'!K93*'Spectral Functions'!D93</f>
        <v>5374.5930515159989</v>
      </c>
      <c r="AD95" s="61">
        <f>'Spectral Functions'!K93*'Spectral Functions'!D93</f>
        <v>104.7735</v>
      </c>
      <c r="AE95" s="61">
        <f>L95*'Spectral Functions'!K93*'Spectral Functions'!F93</f>
        <v>1776.0464274758397</v>
      </c>
      <c r="AF95" s="62">
        <f>'Spectral Functions'!K93*'Spectral Functions'!F93</f>
        <v>34.622639999999997</v>
      </c>
      <c r="AG95" s="31"/>
    </row>
    <row r="96" spans="1:33">
      <c r="A96" s="42">
        <v>562</v>
      </c>
      <c r="B96" s="31"/>
      <c r="C96" s="157">
        <v>53.255761999999997</v>
      </c>
      <c r="D96" s="47">
        <f t="shared" si="4"/>
        <v>53.255761999999997</v>
      </c>
      <c r="E96" s="31"/>
      <c r="F96" s="157">
        <v>53.255761999999997</v>
      </c>
      <c r="G96" s="47">
        <f t="shared" si="5"/>
        <v>53.255761999999997</v>
      </c>
      <c r="H96" s="31"/>
      <c r="I96" s="157">
        <v>53.255761999999997</v>
      </c>
      <c r="J96" s="47">
        <f t="shared" si="6"/>
        <v>53.255761999999997</v>
      </c>
      <c r="K96" s="54"/>
      <c r="L96" s="47">
        <f t="shared" si="7"/>
        <v>53.255761999999997</v>
      </c>
      <c r="M96" s="133"/>
      <c r="N96" s="60">
        <f>L96*'Spectral Functions'!H94*'Spectral Functions'!D94</f>
        <v>5232.305146576231</v>
      </c>
      <c r="O96" s="61">
        <f>'Spectral Functions'!H94*'Spectral Functions'!D94</f>
        <v>98.248620432400003</v>
      </c>
      <c r="P96" s="61">
        <f>L96*'Spectral Functions'!H94*'Spectral Functions'!F94</f>
        <v>1600.9724651643364</v>
      </c>
      <c r="Q96" s="62">
        <f>'Spectral Functions'!H94*'Spectral Functions'!F94</f>
        <v>30.061957712000002</v>
      </c>
      <c r="R96" s="31"/>
      <c r="S96" s="60">
        <f>L96*'Spectral Functions'!I94*'Spectral Functions'!D94</f>
        <v>896.06180003582199</v>
      </c>
      <c r="T96" s="61">
        <f>'Spectral Functions'!I94*'Spectral Functions'!D94</f>
        <v>16.825631000000001</v>
      </c>
      <c r="U96" s="61">
        <f>L96*'Spectral Functions'!I94*'Spectral Functions'!F94</f>
        <v>274.17557438936001</v>
      </c>
      <c r="V96" s="62">
        <f>'Spectral Functions'!I94*'Spectral Functions'!F94</f>
        <v>5.1482799999999997</v>
      </c>
      <c r="W96" s="31"/>
      <c r="X96" s="60">
        <f>L96*'Spectral Functions'!J94*'Spectral Functions'!D94</f>
        <v>5346.3263751549075</v>
      </c>
      <c r="Y96" s="61">
        <f>'Spectral Functions'!J94*'Spectral Functions'!D94</f>
        <v>100.38963249000001</v>
      </c>
      <c r="Z96" s="61">
        <f>L96*'Spectral Functions'!J94*'Spectral Functions'!F94</f>
        <v>1635.8605006066343</v>
      </c>
      <c r="AA96" s="62">
        <f>'Spectral Functions'!J94*'Spectral Functions'!F94</f>
        <v>30.717061200000003</v>
      </c>
      <c r="AB96" s="31"/>
      <c r="AC96" s="60">
        <f>L96*'Spectral Functions'!K94*'Spectral Functions'!D94</f>
        <v>5525.0116399855797</v>
      </c>
      <c r="AD96" s="61">
        <f>'Spectral Functions'!K94*'Spectral Functions'!D94</f>
        <v>103.74486125999999</v>
      </c>
      <c r="AE96" s="61">
        <f>L96*'Spectral Functions'!K94*'Spectral Functions'!F94</f>
        <v>1690.5343357348654</v>
      </c>
      <c r="AF96" s="62">
        <f>'Spectral Functions'!K94*'Spectral Functions'!F94</f>
        <v>31.743688799999997</v>
      </c>
      <c r="AG96" s="31"/>
    </row>
    <row r="97" spans="1:33">
      <c r="A97" s="42">
        <v>564</v>
      </c>
      <c r="B97" s="31"/>
      <c r="C97" s="157">
        <v>55.012858999999999</v>
      </c>
      <c r="D97" s="47">
        <f t="shared" si="4"/>
        <v>55.012858999999999</v>
      </c>
      <c r="E97" s="31"/>
      <c r="F97" s="157">
        <v>55.012858999999999</v>
      </c>
      <c r="G97" s="47">
        <f t="shared" si="5"/>
        <v>55.012858999999999</v>
      </c>
      <c r="H97" s="31"/>
      <c r="I97" s="157">
        <v>55.012858999999999</v>
      </c>
      <c r="J97" s="47">
        <f t="shared" si="6"/>
        <v>55.012858999999999</v>
      </c>
      <c r="K97" s="54"/>
      <c r="L97" s="47">
        <f t="shared" si="7"/>
        <v>55.012858999999999</v>
      </c>
      <c r="M97" s="133"/>
      <c r="N97" s="60">
        <f>L97*'Spectral Functions'!H95*'Spectral Functions'!D95</f>
        <v>5326.9739043155005</v>
      </c>
      <c r="O97" s="61">
        <f>'Spectral Functions'!H95*'Spectral Functions'!D95</f>
        <v>96.831431798799997</v>
      </c>
      <c r="P97" s="61">
        <f>L97*'Spectral Functions'!H95*'Spectral Functions'!F95</f>
        <v>1500.8614164575972</v>
      </c>
      <c r="Q97" s="62">
        <f>'Spectral Functions'!H95*'Spectral Functions'!F95</f>
        <v>27.282010855999999</v>
      </c>
      <c r="R97" s="31"/>
      <c r="S97" s="60">
        <f>L97*'Spectral Functions'!I95*'Spectral Functions'!D95</f>
        <v>648.74948217499207</v>
      </c>
      <c r="T97" s="61">
        <f>'Spectral Functions'!I95*'Spectral Functions'!D95</f>
        <v>11.792688</v>
      </c>
      <c r="U97" s="61">
        <f>L97*'Spectral Functions'!I95*'Spectral Functions'!F95</f>
        <v>182.78352479904001</v>
      </c>
      <c r="V97" s="62">
        <f>'Spectral Functions'!I95*'Spectral Functions'!F95</f>
        <v>3.3225600000000002</v>
      </c>
      <c r="W97" s="31"/>
      <c r="X97" s="60">
        <f>L97*'Spectral Functions'!J95*'Spectral Functions'!D95</f>
        <v>5561.0805612040322</v>
      </c>
      <c r="Y97" s="61">
        <f>'Spectral Functions'!J95*'Spectral Functions'!D95</f>
        <v>101.08692153600001</v>
      </c>
      <c r="Z97" s="61">
        <f>L97*'Spectral Functions'!J95*'Spectral Functions'!F95</f>
        <v>1566.820374577371</v>
      </c>
      <c r="AA97" s="62">
        <f>'Spectral Functions'!J95*'Spectral Functions'!F95</f>
        <v>28.480984320000001</v>
      </c>
      <c r="AB97" s="31"/>
      <c r="AC97" s="60">
        <f>L97*'Spectral Functions'!K95*'Spectral Functions'!D95</f>
        <v>5641.4173720800345</v>
      </c>
      <c r="AD97" s="61">
        <f>'Spectral Functions'!K95*'Spectral Functions'!D95</f>
        <v>102.5472494</v>
      </c>
      <c r="AE97" s="61">
        <f>L97*'Spectral Functions'!K95*'Spectral Functions'!F95</f>
        <v>1589.455067731652</v>
      </c>
      <c r="AF97" s="62">
        <f>'Spectral Functions'!K95*'Spectral Functions'!F95</f>
        <v>28.892427999999999</v>
      </c>
      <c r="AG97" s="31"/>
    </row>
    <row r="98" spans="1:33">
      <c r="A98" s="42">
        <v>566</v>
      </c>
      <c r="B98" s="31"/>
      <c r="C98" s="157">
        <v>57.420037000000001</v>
      </c>
      <c r="D98" s="47">
        <f t="shared" si="4"/>
        <v>57.420037000000001</v>
      </c>
      <c r="E98" s="31"/>
      <c r="F98" s="157">
        <v>57.420037000000001</v>
      </c>
      <c r="G98" s="47">
        <f t="shared" si="5"/>
        <v>57.420037000000001</v>
      </c>
      <c r="H98" s="31"/>
      <c r="I98" s="157">
        <v>57.420037000000001</v>
      </c>
      <c r="J98" s="47">
        <f t="shared" si="6"/>
        <v>57.420037000000001</v>
      </c>
      <c r="K98" s="54"/>
      <c r="L98" s="47">
        <f t="shared" si="7"/>
        <v>57.420037000000001</v>
      </c>
      <c r="M98" s="133"/>
      <c r="N98" s="60">
        <f>L98*'Spectral Functions'!H96*'Spectral Functions'!D96</f>
        <v>5495.5321703860636</v>
      </c>
      <c r="O98" s="61">
        <f>'Spectral Functions'!H96*'Spectral Functions'!D96</f>
        <v>95.707569300000003</v>
      </c>
      <c r="P98" s="61">
        <f>L98*'Spectral Functions'!H96*'Spectral Functions'!F96</f>
        <v>1418.7525521421776</v>
      </c>
      <c r="Q98" s="62">
        <f>'Spectral Functions'!H96*'Spectral Functions'!F96</f>
        <v>24.708318319999997</v>
      </c>
      <c r="R98" s="31"/>
      <c r="S98" s="60">
        <f>L98*'Spectral Functions'!I96*'Spectral Functions'!D96</f>
        <v>393.33873745740004</v>
      </c>
      <c r="T98" s="61">
        <f>'Spectral Functions'!I96*'Spectral Functions'!D96</f>
        <v>6.8502000000000001</v>
      </c>
      <c r="U98" s="61">
        <f>L98*'Spectral Functions'!I96*'Spectral Functions'!F96</f>
        <v>101.54618703375999</v>
      </c>
      <c r="V98" s="62">
        <f>'Spectral Functions'!I96*'Spectral Functions'!F96</f>
        <v>1.7684799999999998</v>
      </c>
      <c r="W98" s="31"/>
      <c r="X98" s="60">
        <f>L98*'Spectral Functions'!J96*'Spectral Functions'!D96</f>
        <v>5860.8033793634686</v>
      </c>
      <c r="Y98" s="61">
        <f>'Spectral Functions'!J96*'Spectral Functions'!D96</f>
        <v>102.0689586</v>
      </c>
      <c r="Z98" s="61">
        <f>L98*'Spectral Functions'!J96*'Spectral Functions'!F96</f>
        <v>1513.0526934011716</v>
      </c>
      <c r="AA98" s="62">
        <f>'Spectral Functions'!J96*'Spectral Functions'!F96</f>
        <v>26.350604639999997</v>
      </c>
      <c r="AB98" s="31"/>
      <c r="AC98" s="60">
        <f>L98*'Spectral Functions'!K96*'Spectral Functions'!D96</f>
        <v>5829.8420016007494</v>
      </c>
      <c r="AD98" s="61">
        <f>'Spectral Functions'!K96*'Spectral Functions'!D96</f>
        <v>101.52975000000001</v>
      </c>
      <c r="AE98" s="61">
        <f>L98*'Spectral Functions'!K96*'Spectral Functions'!F96</f>
        <v>1505.0595578217997</v>
      </c>
      <c r="AF98" s="62">
        <f>'Spectral Functions'!K96*'Spectral Functions'!F96</f>
        <v>26.211399999999998</v>
      </c>
      <c r="AG98" s="31"/>
    </row>
    <row r="99" spans="1:33">
      <c r="A99" s="42">
        <v>568</v>
      </c>
      <c r="B99" s="31"/>
      <c r="C99" s="157">
        <v>59.885354999999997</v>
      </c>
      <c r="D99" s="47">
        <f t="shared" si="4"/>
        <v>59.885354999999997</v>
      </c>
      <c r="E99" s="31"/>
      <c r="F99" s="157">
        <v>59.885354999999997</v>
      </c>
      <c r="G99" s="47">
        <f t="shared" si="5"/>
        <v>59.885354999999997</v>
      </c>
      <c r="H99" s="31"/>
      <c r="I99" s="157">
        <v>59.885354999999997</v>
      </c>
      <c r="J99" s="47">
        <f t="shared" si="6"/>
        <v>59.885354999999997</v>
      </c>
      <c r="K99" s="54"/>
      <c r="L99" s="47">
        <f t="shared" si="7"/>
        <v>59.885354999999997</v>
      </c>
      <c r="M99" s="133"/>
      <c r="N99" s="60">
        <f>L99*'Spectral Functions'!H97*'Spectral Functions'!D97</f>
        <v>5633.7093295673185</v>
      </c>
      <c r="O99" s="61">
        <f>'Spectral Functions'!H97*'Spectral Functions'!D97</f>
        <v>94.074909125400012</v>
      </c>
      <c r="P99" s="61">
        <f>L99*'Spectral Functions'!H97*'Spectral Functions'!F97</f>
        <v>1337.6681627081612</v>
      </c>
      <c r="Q99" s="62">
        <f>'Spectral Functions'!H97*'Spectral Functions'!F97</f>
        <v>22.337150088000001</v>
      </c>
      <c r="R99" s="31"/>
      <c r="S99" s="60">
        <f>L99*'Spectral Functions'!I97*'Spectral Functions'!D97</f>
        <v>232.15659756282</v>
      </c>
      <c r="T99" s="61">
        <f>'Spectral Functions'!I97*'Spectral Functions'!D97</f>
        <v>3.876684</v>
      </c>
      <c r="U99" s="61">
        <f>L99*'Spectral Functions'!I97*'Spectral Functions'!F97</f>
        <v>55.123271570399993</v>
      </c>
      <c r="V99" s="62">
        <f>'Spectral Functions'!I97*'Spectral Functions'!F97</f>
        <v>0.92047999999999996</v>
      </c>
      <c r="W99" s="31"/>
      <c r="X99" s="60">
        <f>L99*'Spectral Functions'!J97*'Spectral Functions'!D97</f>
        <v>6137.1176957225371</v>
      </c>
      <c r="Y99" s="61">
        <f>'Spectral Functions'!J97*'Spectral Functions'!D97</f>
        <v>102.481110711</v>
      </c>
      <c r="Z99" s="61">
        <f>L99*'Spectral Functions'!J97*'Spectral Functions'!F97</f>
        <v>1457.1974647814166</v>
      </c>
      <c r="AA99" s="62">
        <f>'Spectral Functions'!J97*'Spectral Functions'!F97</f>
        <v>24.33311892</v>
      </c>
      <c r="AB99" s="31"/>
      <c r="AC99" s="60">
        <f>L99*'Spectral Functions'!K97*'Spectral Functions'!D97</f>
        <v>5979.1931702304282</v>
      </c>
      <c r="AD99" s="61">
        <f>'Spectral Functions'!K97*'Spectral Functions'!D97</f>
        <v>99.843996419999996</v>
      </c>
      <c r="AE99" s="61">
        <f>L99*'Spectral Functions'!K97*'Spectral Functions'!F97</f>
        <v>1419.6998592956518</v>
      </c>
      <c r="AF99" s="62">
        <f>'Spectral Functions'!K97*'Spectral Functions'!F97</f>
        <v>23.706962399999998</v>
      </c>
      <c r="AG99" s="31"/>
    </row>
    <row r="100" spans="1:33">
      <c r="A100" s="42">
        <v>570</v>
      </c>
      <c r="B100" s="31"/>
      <c r="C100" s="157">
        <v>62.128019999999999</v>
      </c>
      <c r="D100" s="47">
        <f t="shared" si="4"/>
        <v>62.128019999999999</v>
      </c>
      <c r="E100" s="31"/>
      <c r="F100" s="157">
        <v>62.128019999999999</v>
      </c>
      <c r="G100" s="47">
        <f t="shared" si="5"/>
        <v>62.128019999999999</v>
      </c>
      <c r="H100" s="31"/>
      <c r="I100" s="157">
        <v>62.128019999999999</v>
      </c>
      <c r="J100" s="47">
        <f t="shared" si="6"/>
        <v>62.128019999999999</v>
      </c>
      <c r="K100" s="54"/>
      <c r="L100" s="47">
        <f t="shared" si="7"/>
        <v>62.128019999999999</v>
      </c>
      <c r="M100" s="133"/>
      <c r="N100" s="60">
        <f>L100*'Spectral Functions'!H98*'Spectral Functions'!D98</f>
        <v>5697.7705552783673</v>
      </c>
      <c r="O100" s="61">
        <f>'Spectral Functions'!H98*'Spectral Functions'!D98</f>
        <v>91.710158399999997</v>
      </c>
      <c r="P100" s="61">
        <f>L100*'Spectral Functions'!H98*'Spectral Functions'!F98</f>
        <v>1242.4970244493584</v>
      </c>
      <c r="Q100" s="62">
        <f>'Spectral Functions'!H98*'Spectral Functions'!F98</f>
        <v>19.99897992</v>
      </c>
      <c r="R100" s="31"/>
      <c r="S100" s="60">
        <f>L100*'Spectral Functions'!I98*'Spectral Functions'!D98</f>
        <v>0</v>
      </c>
      <c r="T100" s="61">
        <f>'Spectral Functions'!I98*'Spectral Functions'!D98</f>
        <v>0</v>
      </c>
      <c r="U100" s="61">
        <f>L100*'Spectral Functions'!I98*'Spectral Functions'!F98</f>
        <v>0</v>
      </c>
      <c r="V100" s="62">
        <f>'Spectral Functions'!I98*'Spectral Functions'!F98</f>
        <v>0</v>
      </c>
      <c r="W100" s="31"/>
      <c r="X100" s="60">
        <f>L100*'Spectral Functions'!J98*'Spectral Functions'!D98</f>
        <v>6339.4914702873593</v>
      </c>
      <c r="Y100" s="61">
        <f>'Spectral Functions'!J98*'Spectral Functions'!D98</f>
        <v>102.03916799999999</v>
      </c>
      <c r="Z100" s="61">
        <f>L100*'Spectral Functions'!J98*'Spectral Functions'!F98</f>
        <v>1382.435324823168</v>
      </c>
      <c r="AA100" s="62">
        <f>'Spectral Functions'!J98*'Spectral Functions'!F98</f>
        <v>22.251398399999999</v>
      </c>
      <c r="AB100" s="31"/>
      <c r="AC100" s="60">
        <f>L100*'Spectral Functions'!K98*'Spectral Functions'!D98</f>
        <v>6050.6230165919997</v>
      </c>
      <c r="AD100" s="61">
        <f>'Spectral Functions'!K98*'Spectral Functions'!D98</f>
        <v>97.389599999999987</v>
      </c>
      <c r="AE100" s="61">
        <f>L100*'Spectral Functions'!K98*'Spectral Functions'!F98</f>
        <v>1319.4425821896</v>
      </c>
      <c r="AF100" s="62">
        <f>'Spectral Functions'!K98*'Spectral Functions'!F98</f>
        <v>21.237480000000001</v>
      </c>
      <c r="AG100" s="31"/>
    </row>
    <row r="101" spans="1:33">
      <c r="A101" s="42">
        <v>572</v>
      </c>
      <c r="B101" s="31"/>
      <c r="C101" s="157">
        <v>65.365198000000007</v>
      </c>
      <c r="D101" s="47">
        <f t="shared" si="4"/>
        <v>65.365198000000007</v>
      </c>
      <c r="E101" s="31"/>
      <c r="F101" s="157">
        <v>65.365198000000007</v>
      </c>
      <c r="G101" s="47">
        <f t="shared" si="5"/>
        <v>65.365198000000007</v>
      </c>
      <c r="H101" s="31"/>
      <c r="I101" s="157">
        <v>65.365198000000007</v>
      </c>
      <c r="J101" s="47">
        <f t="shared" si="6"/>
        <v>65.365198000000007</v>
      </c>
      <c r="K101" s="54"/>
      <c r="L101" s="47">
        <f t="shared" si="7"/>
        <v>65.365198000000007</v>
      </c>
      <c r="M101" s="133"/>
      <c r="N101" s="60">
        <f>L101*'Spectral Functions'!H99*'Spectral Functions'!D99</f>
        <v>5902.9392678644972</v>
      </c>
      <c r="O101" s="61">
        <f>'Spectral Functions'!H99*'Spectral Functions'!D99</f>
        <v>90.307066274999997</v>
      </c>
      <c r="P101" s="61">
        <f>L101*'Spectral Functions'!H99*'Spectral Functions'!F99</f>
        <v>1186.501491733032</v>
      </c>
      <c r="Q101" s="62">
        <f>'Spectral Functions'!H99*'Spectral Functions'!F99</f>
        <v>18.151883999999999</v>
      </c>
      <c r="R101" s="31"/>
      <c r="S101" s="60">
        <f>L101*'Spectral Functions'!I99*'Spectral Functions'!D99</f>
        <v>0</v>
      </c>
      <c r="T101" s="61">
        <f>'Spectral Functions'!I99*'Spectral Functions'!D99</f>
        <v>0</v>
      </c>
      <c r="U101" s="61">
        <f>L101*'Spectral Functions'!I99*'Spectral Functions'!F99</f>
        <v>0</v>
      </c>
      <c r="V101" s="62">
        <f>'Spectral Functions'!I99*'Spectral Functions'!F99</f>
        <v>0</v>
      </c>
      <c r="W101" s="31"/>
      <c r="X101" s="60">
        <f>L101*'Spectral Functions'!J99*'Spectral Functions'!D99</f>
        <v>6663.926138406031</v>
      </c>
      <c r="Y101" s="61">
        <f>'Spectral Functions'!J99*'Spectral Functions'!D99</f>
        <v>101.94914636999999</v>
      </c>
      <c r="Z101" s="61">
        <f>L101*'Spectral Functions'!J99*'Spectral Functions'!F99</f>
        <v>1339.4612319767136</v>
      </c>
      <c r="AA101" s="62">
        <f>'Spectral Functions'!J99*'Spectral Functions'!F99</f>
        <v>20.491963200000001</v>
      </c>
      <c r="AB101" s="31"/>
      <c r="AC101" s="60">
        <f>L101*'Spectral Functions'!K99*'Spectral Functions'!D99</f>
        <v>6220.4005379211239</v>
      </c>
      <c r="AD101" s="61">
        <f>'Spectral Functions'!K99*'Spectral Functions'!D99</f>
        <v>95.163798600000007</v>
      </c>
      <c r="AE101" s="61">
        <f>L101*'Spectral Functions'!K99*'Spectral Functions'!F99</f>
        <v>1250.3117824030082</v>
      </c>
      <c r="AF101" s="62">
        <f>'Spectral Functions'!K99*'Spectral Functions'!F99</f>
        <v>19.128096000000003</v>
      </c>
      <c r="AG101" s="31"/>
    </row>
    <row r="102" spans="1:33">
      <c r="A102" s="42">
        <v>574</v>
      </c>
      <c r="B102" s="31"/>
      <c r="C102" s="157">
        <v>68.204173999999995</v>
      </c>
      <c r="D102" s="47">
        <f t="shared" si="4"/>
        <v>68.204173999999995</v>
      </c>
      <c r="E102" s="31"/>
      <c r="F102" s="157">
        <v>68.204173999999995</v>
      </c>
      <c r="G102" s="47">
        <f t="shared" si="5"/>
        <v>68.204173999999995</v>
      </c>
      <c r="H102" s="31"/>
      <c r="I102" s="157">
        <v>68.204173999999995</v>
      </c>
      <c r="J102" s="47">
        <f t="shared" si="6"/>
        <v>68.204173999999995</v>
      </c>
      <c r="K102" s="54"/>
      <c r="L102" s="47">
        <f t="shared" si="7"/>
        <v>68.204173999999995</v>
      </c>
      <c r="M102" s="133"/>
      <c r="N102" s="60">
        <f>L102*'Spectral Functions'!H100*'Spectral Functions'!D100</f>
        <v>6053.7214638605856</v>
      </c>
      <c r="O102" s="61">
        <f>'Spectral Functions'!H100*'Spectral Functions'!D100</f>
        <v>88.758812090600003</v>
      </c>
      <c r="P102" s="61">
        <f>L102*'Spectral Functions'!H100*'Spectral Functions'!F100</f>
        <v>1112.3358701617879</v>
      </c>
      <c r="Q102" s="62">
        <f>'Spectral Functions'!H100*'Spectral Functions'!F100</f>
        <v>16.308911976000001</v>
      </c>
      <c r="R102" s="31"/>
      <c r="S102" s="60">
        <f>L102*'Spectral Functions'!I100*'Spectral Functions'!D100</f>
        <v>0</v>
      </c>
      <c r="T102" s="61">
        <f>'Spectral Functions'!I100*'Spectral Functions'!D100</f>
        <v>0</v>
      </c>
      <c r="U102" s="61">
        <f>L102*'Spectral Functions'!I100*'Spectral Functions'!F100</f>
        <v>0</v>
      </c>
      <c r="V102" s="62">
        <f>'Spectral Functions'!I100*'Spectral Functions'!F100</f>
        <v>0</v>
      </c>
      <c r="W102" s="31"/>
      <c r="X102" s="60">
        <f>L102*'Spectral Functions'!J100*'Spectral Functions'!D100</f>
        <v>6933.1186403349884</v>
      </c>
      <c r="Y102" s="61">
        <f>'Spectral Functions'!J100*'Spectral Functions'!D100</f>
        <v>101.65240972400001</v>
      </c>
      <c r="Z102" s="61">
        <f>L102*'Spectral Functions'!J100*'Spectral Functions'!F100</f>
        <v>1273.9199518462569</v>
      </c>
      <c r="AA102" s="62">
        <f>'Spectral Functions'!J100*'Spectral Functions'!F100</f>
        <v>18.678035040000001</v>
      </c>
      <c r="AB102" s="31"/>
      <c r="AC102" s="60">
        <f>L102*'Spectral Functions'!K100*'Spectral Functions'!D100</f>
        <v>6329.8608564260458</v>
      </c>
      <c r="AD102" s="61">
        <f>'Spectral Functions'!K100*'Spectral Functions'!D100</f>
        <v>92.807529000000002</v>
      </c>
      <c r="AE102" s="61">
        <f>L102*'Spectral Functions'!K100*'Spectral Functions'!F100</f>
        <v>1163.0748665541598</v>
      </c>
      <c r="AF102" s="62">
        <f>'Spectral Functions'!K100*'Spectral Functions'!F100</f>
        <v>17.05284</v>
      </c>
      <c r="AG102" s="31"/>
    </row>
    <row r="103" spans="1:33">
      <c r="A103" s="42">
        <v>576</v>
      </c>
      <c r="B103" s="31"/>
      <c r="C103" s="157">
        <v>70.537988999999996</v>
      </c>
      <c r="D103" s="47">
        <f t="shared" si="4"/>
        <v>70.537988999999996</v>
      </c>
      <c r="E103" s="31"/>
      <c r="F103" s="157">
        <v>70.537988999999996</v>
      </c>
      <c r="G103" s="47">
        <f t="shared" si="5"/>
        <v>70.537988999999996</v>
      </c>
      <c r="H103" s="31"/>
      <c r="I103" s="157">
        <v>70.537988999999996</v>
      </c>
      <c r="J103" s="47">
        <f t="shared" si="6"/>
        <v>70.537988999999996</v>
      </c>
      <c r="K103" s="54"/>
      <c r="L103" s="47">
        <f t="shared" si="7"/>
        <v>70.537988999999996</v>
      </c>
      <c r="M103" s="133"/>
      <c r="N103" s="60">
        <f>L103*'Spectral Functions'!H101*'Spectral Functions'!D101</f>
        <v>6142.340267554795</v>
      </c>
      <c r="O103" s="61">
        <f>'Spectral Functions'!H101*'Spectral Functions'!D101</f>
        <v>87.078471539000006</v>
      </c>
      <c r="P103" s="61">
        <f>L103*'Spectral Functions'!H101*'Spectral Functions'!F101</f>
        <v>1032.0688691975033</v>
      </c>
      <c r="Q103" s="62">
        <f>'Spectral Functions'!H101*'Spectral Functions'!F101</f>
        <v>14.631390600000001</v>
      </c>
      <c r="R103" s="31"/>
      <c r="S103" s="60">
        <f>L103*'Spectral Functions'!I101*'Spectral Functions'!D101</f>
        <v>127.95675850186799</v>
      </c>
      <c r="T103" s="61">
        <f>'Spectral Functions'!I101*'Spectral Functions'!D101</f>
        <v>1.814012</v>
      </c>
      <c r="U103" s="61">
        <f>L103*'Spectral Functions'!I101*'Spectral Functions'!F101</f>
        <v>21.4999790472</v>
      </c>
      <c r="V103" s="62">
        <f>'Spectral Functions'!I101*'Spectral Functions'!F101</f>
        <v>0.30480000000000002</v>
      </c>
      <c r="W103" s="31"/>
      <c r="X103" s="60">
        <f>L103*'Spectral Functions'!J101*'Spectral Functions'!D101</f>
        <v>7135.4446594774172</v>
      </c>
      <c r="Y103" s="61">
        <f>'Spectral Functions'!J101*'Spectral Functions'!D101</f>
        <v>101.15747217399999</v>
      </c>
      <c r="Z103" s="61">
        <f>L103*'Spectral Functions'!J101*'Spectral Functions'!F101</f>
        <v>1198.9355815775843</v>
      </c>
      <c r="AA103" s="62">
        <f>'Spectral Functions'!J101*'Spectral Functions'!F101</f>
        <v>16.997019600000002</v>
      </c>
      <c r="AB103" s="31"/>
      <c r="AC103" s="60">
        <f>L103*'Spectral Functions'!K101*'Spectral Functions'!D101</f>
        <v>6372.2465733930258</v>
      </c>
      <c r="AD103" s="61">
        <f>'Spectral Functions'!K101*'Spectral Functions'!D101</f>
        <v>90.337797599999988</v>
      </c>
      <c r="AE103" s="61">
        <f>L103*'Spectral Functions'!K101*'Spectral Functions'!F101</f>
        <v>1070.6989565505598</v>
      </c>
      <c r="AF103" s="62">
        <f>'Spectral Functions'!K101*'Spectral Functions'!F101</f>
        <v>15.179040000000001</v>
      </c>
      <c r="AG103" s="31"/>
    </row>
    <row r="104" spans="1:33">
      <c r="A104" s="42">
        <v>578</v>
      </c>
      <c r="B104" s="31"/>
      <c r="C104" s="157">
        <v>73.077676999999994</v>
      </c>
      <c r="D104" s="47">
        <f t="shared" si="4"/>
        <v>73.077676999999994</v>
      </c>
      <c r="E104" s="31"/>
      <c r="F104" s="157">
        <v>73.077676999999994</v>
      </c>
      <c r="G104" s="47">
        <f t="shared" si="5"/>
        <v>73.077676999999994</v>
      </c>
      <c r="H104" s="31"/>
      <c r="I104" s="157">
        <v>73.077676999999994</v>
      </c>
      <c r="J104" s="47">
        <f t="shared" si="6"/>
        <v>73.077676999999994</v>
      </c>
      <c r="K104" s="54"/>
      <c r="L104" s="47">
        <f t="shared" si="7"/>
        <v>73.077676999999994</v>
      </c>
      <c r="M104" s="133"/>
      <c r="N104" s="60">
        <f>L104*'Spectral Functions'!H102*'Spectral Functions'!D102</f>
        <v>6231.4993840935058</v>
      </c>
      <c r="O104" s="61">
        <f>'Spectral Functions'!H102*'Spectral Functions'!D102</f>
        <v>85.272269726000005</v>
      </c>
      <c r="P104" s="61">
        <f>L104*'Spectral Functions'!H102*'Spectral Functions'!F102</f>
        <v>958.6868222108418</v>
      </c>
      <c r="Q104" s="62">
        <f>'Spectral Functions'!H102*'Spectral Functions'!F102</f>
        <v>13.11873696</v>
      </c>
      <c r="R104" s="31"/>
      <c r="S104" s="60">
        <f>L104*'Spectral Functions'!I102*'Spectral Functions'!D102</f>
        <v>454.86725043749499</v>
      </c>
      <c r="T104" s="61">
        <f>'Spectral Functions'!I102*'Spectral Functions'!D102</f>
        <v>6.2244349999999997</v>
      </c>
      <c r="U104" s="61">
        <f>L104*'Spectral Functions'!I102*'Spectral Functions'!F102</f>
        <v>69.97918349519999</v>
      </c>
      <c r="V104" s="62">
        <f>'Spectral Functions'!I102*'Spectral Functions'!F102</f>
        <v>0.95760000000000001</v>
      </c>
      <c r="W104" s="31"/>
      <c r="X104" s="60">
        <f>L104*'Spectral Functions'!J102*'Spectral Functions'!D102</f>
        <v>7341.6873841327224</v>
      </c>
      <c r="Y104" s="61">
        <f>'Spectral Functions'!J102*'Spectral Functions'!D102</f>
        <v>100.46415931</v>
      </c>
      <c r="Z104" s="61">
        <f>L104*'Spectral Functions'!J102*'Spectral Functions'!F102</f>
        <v>1129.4840156649552</v>
      </c>
      <c r="AA104" s="62">
        <f>'Spectral Functions'!J102*'Spectral Functions'!F102</f>
        <v>15.4559376</v>
      </c>
      <c r="AB104" s="31"/>
      <c r="AC104" s="60">
        <f>L104*'Spectral Functions'!K102*'Spectral Functions'!D102</f>
        <v>6413.6282311686791</v>
      </c>
      <c r="AD104" s="61">
        <f>'Spectral Functions'!K102*'Spectral Functions'!D102</f>
        <v>87.764533499999999</v>
      </c>
      <c r="AE104" s="61">
        <f>L104*'Spectral Functions'!K102*'Spectral Functions'!F102</f>
        <v>986.70648728232004</v>
      </c>
      <c r="AF104" s="62">
        <f>'Spectral Functions'!K102*'Spectral Functions'!F102</f>
        <v>13.502160000000002</v>
      </c>
      <c r="AG104" s="31"/>
    </row>
    <row r="105" spans="1:33">
      <c r="A105" s="42">
        <v>580</v>
      </c>
      <c r="B105" s="31"/>
      <c r="C105" s="157">
        <v>75.287988999999996</v>
      </c>
      <c r="D105" s="47">
        <f t="shared" si="4"/>
        <v>75.287988999999996</v>
      </c>
      <c r="E105" s="31"/>
      <c r="F105" s="157">
        <v>75.287988999999996</v>
      </c>
      <c r="G105" s="47">
        <f t="shared" si="5"/>
        <v>75.287988999999996</v>
      </c>
      <c r="H105" s="31"/>
      <c r="I105" s="157">
        <v>75.287988999999996</v>
      </c>
      <c r="J105" s="47">
        <f t="shared" si="6"/>
        <v>75.287988999999996</v>
      </c>
      <c r="K105" s="54"/>
      <c r="L105" s="47">
        <f t="shared" si="7"/>
        <v>75.287988999999996</v>
      </c>
      <c r="M105" s="133"/>
      <c r="N105" s="60">
        <f>L105*'Spectral Functions'!H103*'Spectral Functions'!D103</f>
        <v>6274.1667245888393</v>
      </c>
      <c r="O105" s="61">
        <f>'Spectral Functions'!H103*'Spectral Functions'!D103</f>
        <v>83.335560000000001</v>
      </c>
      <c r="P105" s="61">
        <f>L105*'Spectral Functions'!H103*'Spectral Functions'!F103</f>
        <v>874.05632990823824</v>
      </c>
      <c r="Q105" s="62">
        <f>'Spectral Functions'!H103*'Spectral Functions'!F103</f>
        <v>11.6095056</v>
      </c>
      <c r="R105" s="31"/>
      <c r="S105" s="60">
        <f>L105*'Spectral Functions'!I103*'Spectral Functions'!D103</f>
        <v>786.00660516000005</v>
      </c>
      <c r="T105" s="61">
        <f>'Spectral Functions'!I103*'Spectral Functions'!D103</f>
        <v>10.44</v>
      </c>
      <c r="U105" s="61">
        <f>L105*'Spectral Functions'!I103*'Spectral Functions'!F103</f>
        <v>109.4988512016</v>
      </c>
      <c r="V105" s="62">
        <f>'Spectral Functions'!I103*'Spectral Functions'!F103</f>
        <v>1.4544000000000001</v>
      </c>
      <c r="W105" s="31"/>
      <c r="X105" s="60">
        <f>L105*'Spectral Functions'!J103*'Spectral Functions'!D103</f>
        <v>7495.6209890074797</v>
      </c>
      <c r="Y105" s="61">
        <f>'Spectral Functions'!J103*'Spectral Functions'!D103</f>
        <v>99.55932</v>
      </c>
      <c r="Z105" s="61">
        <f>L105*'Spectral Functions'!J103*'Spectral Functions'!F103</f>
        <v>1044.2175446755248</v>
      </c>
      <c r="AA105" s="62">
        <f>'Spectral Functions'!J103*'Spectral Functions'!F103</f>
        <v>13.869643200000001</v>
      </c>
      <c r="AB105" s="31"/>
      <c r="AC105" s="60">
        <f>L105*'Spectral Functions'!K103*'Spectral Functions'!D103</f>
        <v>6405.9538320539996</v>
      </c>
      <c r="AD105" s="61">
        <f>'Spectral Functions'!K103*'Spectral Functions'!D103</f>
        <v>85.085999999999999</v>
      </c>
      <c r="AE105" s="61">
        <f>L105*'Spectral Functions'!K103*'Spectral Functions'!F103</f>
        <v>892.41563729303994</v>
      </c>
      <c r="AF105" s="62">
        <f>'Spectral Functions'!K103*'Spectral Functions'!F103</f>
        <v>11.85336</v>
      </c>
      <c r="AG105" s="31"/>
    </row>
    <row r="106" spans="1:33">
      <c r="A106" s="42">
        <v>582</v>
      </c>
      <c r="B106" s="31"/>
      <c r="C106" s="157">
        <v>77.549081999999999</v>
      </c>
      <c r="D106" s="47">
        <f t="shared" si="4"/>
        <v>77.549081999999999</v>
      </c>
      <c r="E106" s="31"/>
      <c r="F106" s="157">
        <v>77.549081999999999</v>
      </c>
      <c r="G106" s="47">
        <f t="shared" si="5"/>
        <v>77.549081999999999</v>
      </c>
      <c r="H106" s="31"/>
      <c r="I106" s="157">
        <v>77.549081999999999</v>
      </c>
      <c r="J106" s="47">
        <f t="shared" si="6"/>
        <v>77.549081999999999</v>
      </c>
      <c r="K106" s="54"/>
      <c r="L106" s="47">
        <f t="shared" si="7"/>
        <v>77.549081999999999</v>
      </c>
      <c r="M106" s="133"/>
      <c r="N106" s="60">
        <f>L106*'Spectral Functions'!H104*'Spectral Functions'!D104</f>
        <v>6215.9466335884044</v>
      </c>
      <c r="O106" s="61">
        <f>'Spectral Functions'!H104*'Spectral Functions'!D104</f>
        <v>80.154999560000007</v>
      </c>
      <c r="P106" s="61">
        <f>L106*'Spectral Functions'!H104*'Spectral Functions'!F104</f>
        <v>795.3325203656118</v>
      </c>
      <c r="Q106" s="62">
        <f>'Spectral Functions'!H104*'Spectral Functions'!F104</f>
        <v>10.255859900000001</v>
      </c>
      <c r="R106" s="31"/>
      <c r="S106" s="60">
        <f>L106*'Spectral Functions'!I104*'Spectral Functions'!D104</f>
        <v>1844.3479560280321</v>
      </c>
      <c r="T106" s="61">
        <f>'Spectral Functions'!I104*'Spectral Functions'!D104</f>
        <v>23.782976000000001</v>
      </c>
      <c r="U106" s="61">
        <f>L106*'Spectral Functions'!I104*'Spectral Functions'!F104</f>
        <v>235.98495848927999</v>
      </c>
      <c r="V106" s="62">
        <f>'Spectral Functions'!I104*'Spectral Functions'!F104</f>
        <v>3.04304</v>
      </c>
      <c r="W106" s="31"/>
      <c r="X106" s="60">
        <f>L106*'Spectral Functions'!J104*'Spectral Functions'!D104</f>
        <v>7633.8220595698831</v>
      </c>
      <c r="Y106" s="61">
        <f>'Spectral Functions'!J104*'Spectral Functions'!D104</f>
        <v>98.438587056000003</v>
      </c>
      <c r="Z106" s="61">
        <f>L106*'Spectral Functions'!J104*'Spectral Functions'!F104</f>
        <v>976.7501712213616</v>
      </c>
      <c r="AA106" s="62">
        <f>'Spectral Functions'!J104*'Spectral Functions'!F104</f>
        <v>12.59525124</v>
      </c>
      <c r="AB106" s="31"/>
      <c r="AC106" s="60">
        <f>L106*'Spectral Functions'!K104*'Spectral Functions'!D104</f>
        <v>6379.4678407612464</v>
      </c>
      <c r="AD106" s="61">
        <f>'Spectral Functions'!K104*'Spectral Functions'!D104</f>
        <v>82.263615200000004</v>
      </c>
      <c r="AE106" s="61">
        <f>L106*'Spectral Functions'!K104*'Spectral Functions'!F104</f>
        <v>816.25511534595591</v>
      </c>
      <c r="AF106" s="62">
        <f>'Spectral Functions'!K104*'Spectral Functions'!F104</f>
        <v>10.525658</v>
      </c>
      <c r="AG106" s="31"/>
    </row>
    <row r="107" spans="1:33">
      <c r="A107" s="42">
        <v>584</v>
      </c>
      <c r="B107" s="31"/>
      <c r="C107" s="157">
        <v>79.928966000000003</v>
      </c>
      <c r="D107" s="47">
        <f t="shared" si="4"/>
        <v>79.928966000000003</v>
      </c>
      <c r="E107" s="31"/>
      <c r="F107" s="157">
        <v>79.928966000000003</v>
      </c>
      <c r="G107" s="47">
        <f t="shared" si="5"/>
        <v>79.928966000000003</v>
      </c>
      <c r="H107" s="31"/>
      <c r="I107" s="157">
        <v>79.928966000000003</v>
      </c>
      <c r="J107" s="47">
        <f t="shared" si="6"/>
        <v>79.928966000000003</v>
      </c>
      <c r="K107" s="54"/>
      <c r="L107" s="47">
        <f t="shared" si="7"/>
        <v>79.928966000000003</v>
      </c>
      <c r="M107" s="133"/>
      <c r="N107" s="60">
        <f>L107*'Spectral Functions'!H105*'Spectral Functions'!D105</f>
        <v>6148.2296780844827</v>
      </c>
      <c r="O107" s="61">
        <f>'Spectral Functions'!H105*'Spectral Functions'!D105</f>
        <v>76.921171207</v>
      </c>
      <c r="P107" s="61">
        <f>L107*'Spectral Functions'!H105*'Spectral Functions'!F105</f>
        <v>714.38779508544042</v>
      </c>
      <c r="Q107" s="62">
        <f>'Spectral Functions'!H105*'Spectral Functions'!F105</f>
        <v>8.93778352</v>
      </c>
      <c r="R107" s="31"/>
      <c r="S107" s="60">
        <f>L107*'Spectral Functions'!I105*'Spectral Functions'!D105</f>
        <v>4035.009310286006</v>
      </c>
      <c r="T107" s="61">
        <f>'Spectral Functions'!I105*'Spectral Functions'!D105</f>
        <v>50.482441000000001</v>
      </c>
      <c r="U107" s="61">
        <f>L107*'Spectral Functions'!I105*'Spectral Functions'!F105</f>
        <v>468.84413160415994</v>
      </c>
      <c r="V107" s="62">
        <f>'Spectral Functions'!I105*'Spectral Functions'!F105</f>
        <v>5.8657599999999999</v>
      </c>
      <c r="W107" s="31"/>
      <c r="X107" s="60">
        <f>L107*'Spectral Functions'!J105*'Spectral Functions'!D105</f>
        <v>7762.497992973329</v>
      </c>
      <c r="Y107" s="61">
        <f>'Spectral Functions'!J105*'Spectral Functions'!D105</f>
        <v>97.117457931000004</v>
      </c>
      <c r="Z107" s="61">
        <f>L107*'Spectral Functions'!J105*'Spectral Functions'!F105</f>
        <v>901.95619160458648</v>
      </c>
      <c r="AA107" s="62">
        <f>'Spectral Functions'!J105*'Spectral Functions'!F105</f>
        <v>11.28447216</v>
      </c>
      <c r="AB107" s="31"/>
      <c r="AC107" s="60">
        <f>L107*'Spectral Functions'!K105*'Spectral Functions'!D105</f>
        <v>6343.5638173184916</v>
      </c>
      <c r="AD107" s="61">
        <f>'Spectral Functions'!K105*'Spectral Functions'!D105</f>
        <v>79.365017900000012</v>
      </c>
      <c r="AE107" s="61">
        <f>L107*'Spectral Functions'!K105*'Spectral Functions'!F105</f>
        <v>737.08446263670396</v>
      </c>
      <c r="AF107" s="62">
        <f>'Spectral Functions'!K105*'Spectral Functions'!F105</f>
        <v>9.2217439999999993</v>
      </c>
      <c r="AG107" s="31"/>
    </row>
    <row r="108" spans="1:33">
      <c r="A108" s="42">
        <v>586</v>
      </c>
      <c r="B108" s="31"/>
      <c r="C108" s="157">
        <v>81.701385999999999</v>
      </c>
      <c r="D108" s="47">
        <f t="shared" si="4"/>
        <v>81.701385999999999</v>
      </c>
      <c r="E108" s="31"/>
      <c r="F108" s="157">
        <v>81.701385999999999</v>
      </c>
      <c r="G108" s="47">
        <f t="shared" si="5"/>
        <v>81.701385999999999</v>
      </c>
      <c r="H108" s="31"/>
      <c r="I108" s="157">
        <v>81.701385999999999</v>
      </c>
      <c r="J108" s="47">
        <f t="shared" si="6"/>
        <v>81.701385999999999</v>
      </c>
      <c r="K108" s="54"/>
      <c r="L108" s="47">
        <f t="shared" si="7"/>
        <v>81.701385999999999</v>
      </c>
      <c r="M108" s="133"/>
      <c r="N108" s="60">
        <f>L108*'Spectral Functions'!H106*'Spectral Functions'!D106</f>
        <v>6018.1363518078651</v>
      </c>
      <c r="O108" s="61">
        <f>'Spectral Functions'!H106*'Spectral Functions'!D106</f>
        <v>73.660150047000002</v>
      </c>
      <c r="P108" s="61">
        <f>L108*'Spectral Functions'!H106*'Spectral Functions'!F106</f>
        <v>635.76681345026338</v>
      </c>
      <c r="Q108" s="62">
        <f>'Spectral Functions'!H106*'Spectral Functions'!F106</f>
        <v>7.7815915320000002</v>
      </c>
      <c r="R108" s="31"/>
      <c r="S108" s="60">
        <f>L108*'Spectral Functions'!I106*'Spectral Functions'!D106</f>
        <v>6838.29816237048</v>
      </c>
      <c r="T108" s="61">
        <f>'Spectral Functions'!I106*'Spectral Functions'!D106</f>
        <v>83.69868000000001</v>
      </c>
      <c r="U108" s="61">
        <f>L108*'Spectral Functions'!I106*'Spectral Functions'!F106</f>
        <v>722.41019112287995</v>
      </c>
      <c r="V108" s="62">
        <f>'Spectral Functions'!I106*'Spectral Functions'!F106</f>
        <v>8.8420799999999993</v>
      </c>
      <c r="W108" s="31"/>
      <c r="X108" s="60">
        <f>L108*'Spectral Functions'!J106*'Spectral Functions'!D106</f>
        <v>7812.0981218388151</v>
      </c>
      <c r="Y108" s="61">
        <f>'Spectral Functions'!J106*'Spectral Functions'!D106</f>
        <v>95.617693950000003</v>
      </c>
      <c r="Z108" s="61">
        <f>L108*'Spectral Functions'!J106*'Spectral Functions'!F106</f>
        <v>825.28418083951317</v>
      </c>
      <c r="AA108" s="62">
        <f>'Spectral Functions'!J106*'Spectral Functions'!F106</f>
        <v>10.101226199999999</v>
      </c>
      <c r="AB108" s="31"/>
      <c r="AC108" s="60">
        <f>L108*'Spectral Functions'!K106*'Spectral Functions'!D106</f>
        <v>6245.2073025187328</v>
      </c>
      <c r="AD108" s="61">
        <f>'Spectral Functions'!K106*'Spectral Functions'!D106</f>
        <v>76.439429100000012</v>
      </c>
      <c r="AE108" s="61">
        <f>L108*'Spectral Functions'!K106*'Spectral Functions'!F106</f>
        <v>659.75499954664554</v>
      </c>
      <c r="AF108" s="62">
        <f>'Spectral Functions'!K106*'Spectral Functions'!F106</f>
        <v>8.0751995999999995</v>
      </c>
      <c r="AG108" s="31"/>
    </row>
    <row r="109" spans="1:33">
      <c r="A109" s="42">
        <v>588</v>
      </c>
      <c r="B109" s="31"/>
      <c r="C109" s="157">
        <v>83.699697</v>
      </c>
      <c r="D109" s="47">
        <f t="shared" si="4"/>
        <v>83.699697</v>
      </c>
      <c r="E109" s="31"/>
      <c r="F109" s="157">
        <v>83.699697</v>
      </c>
      <c r="G109" s="47">
        <f t="shared" si="5"/>
        <v>83.699697</v>
      </c>
      <c r="H109" s="31"/>
      <c r="I109" s="157">
        <v>83.699697</v>
      </c>
      <c r="J109" s="47">
        <f t="shared" si="6"/>
        <v>83.699697</v>
      </c>
      <c r="K109" s="54"/>
      <c r="L109" s="47">
        <f t="shared" si="7"/>
        <v>83.699697</v>
      </c>
      <c r="M109" s="133"/>
      <c r="N109" s="60">
        <f>L109*'Spectral Functions'!H107*'Spectral Functions'!D107</f>
        <v>5885.7507399867109</v>
      </c>
      <c r="O109" s="61">
        <f>'Spectral Functions'!H107*'Spectral Functions'!D107</f>
        <v>70.319857191200001</v>
      </c>
      <c r="P109" s="61">
        <f>L109*'Spectral Functions'!H107*'Spectral Functions'!F107</f>
        <v>567.03294541085904</v>
      </c>
      <c r="Q109" s="62">
        <f>'Spectral Functions'!H107*'Spectral Functions'!F107</f>
        <v>6.7746116859999992</v>
      </c>
      <c r="R109" s="31"/>
      <c r="S109" s="60">
        <f>L109*'Spectral Functions'!I107*'Spectral Functions'!D107</f>
        <v>10461.68539181184</v>
      </c>
      <c r="T109" s="61">
        <f>'Spectral Functions'!I107*'Spectral Functions'!D107</f>
        <v>124.99072</v>
      </c>
      <c r="U109" s="61">
        <f>L109*'Spectral Functions'!I107*'Spectral Functions'!F107</f>
        <v>1007.8782713951999</v>
      </c>
      <c r="V109" s="62">
        <f>'Spectral Functions'!I107*'Spectral Functions'!F107</f>
        <v>12.041599999999999</v>
      </c>
      <c r="W109" s="31"/>
      <c r="X109" s="60">
        <f>L109*'Spectral Functions'!J107*'Spectral Functions'!D107</f>
        <v>7863.918137957563</v>
      </c>
      <c r="Y109" s="61">
        <f>'Spectral Functions'!J107*'Spectral Functions'!D107</f>
        <v>93.953961839999991</v>
      </c>
      <c r="Z109" s="61">
        <f>L109*'Spectral Functions'!J107*'Spectral Functions'!F107</f>
        <v>757.6094981293794</v>
      </c>
      <c r="AA109" s="62">
        <f>'Spectral Functions'!J107*'Spectral Functions'!F107</f>
        <v>9.0515201999999988</v>
      </c>
      <c r="AB109" s="31"/>
      <c r="AC109" s="60">
        <f>L109*'Spectral Functions'!K107*'Spectral Functions'!D107</f>
        <v>6152.1248657223505</v>
      </c>
      <c r="AD109" s="61">
        <f>'Spectral Functions'!K107*'Spectral Functions'!D107</f>
        <v>73.502355280000003</v>
      </c>
      <c r="AE109" s="61">
        <f>L109*'Spectral Functions'!K107*'Spectral Functions'!F107</f>
        <v>592.69541597233979</v>
      </c>
      <c r="AF109" s="62">
        <f>'Spectral Functions'!K107*'Spectral Functions'!F107</f>
        <v>7.0812133999999993</v>
      </c>
      <c r="AG109" s="31"/>
    </row>
    <row r="110" spans="1:33">
      <c r="A110" s="42">
        <v>590</v>
      </c>
      <c r="B110" s="31"/>
      <c r="C110" s="157">
        <v>84.503159999999994</v>
      </c>
      <c r="D110" s="47">
        <f t="shared" si="4"/>
        <v>84.503159999999994</v>
      </c>
      <c r="E110" s="31"/>
      <c r="F110" s="157">
        <v>84.503159999999994</v>
      </c>
      <c r="G110" s="47">
        <f t="shared" si="5"/>
        <v>84.503159999999994</v>
      </c>
      <c r="H110" s="31"/>
      <c r="I110" s="157">
        <v>84.503159999999994</v>
      </c>
      <c r="J110" s="47">
        <f t="shared" si="6"/>
        <v>84.503159999999994</v>
      </c>
      <c r="K110" s="54"/>
      <c r="L110" s="47">
        <f t="shared" si="7"/>
        <v>84.503159999999994</v>
      </c>
      <c r="M110" s="133"/>
      <c r="N110" s="60">
        <f>L110*'Spectral Functions'!H108*'Spectral Functions'!D108</f>
        <v>5673.1195789974718</v>
      </c>
      <c r="O110" s="61">
        <f>'Spectral Functions'!H108*'Spectral Functions'!D108</f>
        <v>67.134999199999996</v>
      </c>
      <c r="P110" s="61">
        <f>L110*'Spectral Functions'!H108*'Spectral Functions'!F108</f>
        <v>490.87098074548794</v>
      </c>
      <c r="Q110" s="62">
        <f>'Spectral Functions'!H108*'Spectral Functions'!F108</f>
        <v>5.8089067999999999</v>
      </c>
      <c r="R110" s="31"/>
      <c r="S110" s="60">
        <f>L110*'Spectral Functions'!I108*'Spectral Functions'!D108</f>
        <v>12729.809531879999</v>
      </c>
      <c r="T110" s="61">
        <f>'Spectral Functions'!I108*'Spectral Functions'!D108</f>
        <v>150.643</v>
      </c>
      <c r="U110" s="61">
        <f>L110*'Spectral Functions'!I108*'Spectral Functions'!F108</f>
        <v>1101.4564390199998</v>
      </c>
      <c r="V110" s="62">
        <f>'Spectral Functions'!I108*'Spectral Functions'!F108</f>
        <v>13.034500000000001</v>
      </c>
      <c r="W110" s="31"/>
      <c r="X110" s="60">
        <f>L110*'Spectral Functions'!J108*'Spectral Functions'!D108</f>
        <v>7786.9972066597193</v>
      </c>
      <c r="Y110" s="61">
        <f>'Spectral Functions'!J108*'Spectral Functions'!D108</f>
        <v>92.150367000000003</v>
      </c>
      <c r="Z110" s="61">
        <f>L110*'Spectral Functions'!J108*'Spectral Functions'!F108</f>
        <v>673.77584813237991</v>
      </c>
      <c r="AA110" s="62">
        <f>'Spectral Functions'!J108*'Spectral Functions'!F108</f>
        <v>7.9733805000000002</v>
      </c>
      <c r="AB110" s="31"/>
      <c r="AC110" s="60">
        <f>L110*'Spectral Functions'!K108*'Spectral Functions'!D108</f>
        <v>5961.9007455840001</v>
      </c>
      <c r="AD110" s="61">
        <f>'Spectral Functions'!K108*'Spectral Functions'!D108</f>
        <v>70.552400000000006</v>
      </c>
      <c r="AE110" s="61">
        <f>L110*'Spectral Functions'!K108*'Spectral Functions'!F108</f>
        <v>515.85799053599999</v>
      </c>
      <c r="AF110" s="62">
        <f>'Spectral Functions'!K108*'Spectral Functions'!F108</f>
        <v>6.1046000000000005</v>
      </c>
      <c r="AG110" s="31"/>
    </row>
    <row r="111" spans="1:33">
      <c r="A111" s="42">
        <v>592</v>
      </c>
      <c r="B111" s="31"/>
      <c r="C111" s="157">
        <v>85.981419000000002</v>
      </c>
      <c r="D111" s="47">
        <f t="shared" si="4"/>
        <v>85.981419000000002</v>
      </c>
      <c r="E111" s="31"/>
      <c r="F111" s="157">
        <v>85.981419000000002</v>
      </c>
      <c r="G111" s="47">
        <f t="shared" si="5"/>
        <v>85.981419000000002</v>
      </c>
      <c r="H111" s="31"/>
      <c r="I111" s="157">
        <v>85.981419000000002</v>
      </c>
      <c r="J111" s="47">
        <f t="shared" si="6"/>
        <v>85.981419000000002</v>
      </c>
      <c r="K111" s="54"/>
      <c r="L111" s="47">
        <f t="shared" si="7"/>
        <v>85.981419000000002</v>
      </c>
      <c r="M111" s="133"/>
      <c r="N111" s="60">
        <f>L111*'Spectral Functions'!H109*'Spectral Functions'!D109</f>
        <v>5601.5791485986019</v>
      </c>
      <c r="O111" s="61">
        <f>'Spectral Functions'!H109*'Spectral Functions'!D109</f>
        <v>65.148717173400001</v>
      </c>
      <c r="P111" s="61">
        <f>L111*'Spectral Functions'!H109*'Spectral Functions'!F109</f>
        <v>444.0441239717469</v>
      </c>
      <c r="Q111" s="62">
        <f>'Spectral Functions'!H109*'Spectral Functions'!F109</f>
        <v>5.1644195820000007</v>
      </c>
      <c r="R111" s="31"/>
      <c r="S111" s="60">
        <f>L111*'Spectral Functions'!I109*'Spectral Functions'!D109</f>
        <v>9635.126478623155</v>
      </c>
      <c r="T111" s="61">
        <f>'Spectral Functions'!I109*'Spectral Functions'!D109</f>
        <v>112.06056600000001</v>
      </c>
      <c r="U111" s="61">
        <f>L111*'Spectral Functions'!I109*'Spectral Functions'!F109</f>
        <v>763.78842163242007</v>
      </c>
      <c r="V111" s="62">
        <f>'Spectral Functions'!I109*'Spectral Functions'!F109</f>
        <v>8.8831799999999994</v>
      </c>
      <c r="W111" s="31"/>
      <c r="X111" s="60">
        <f>L111*'Spectral Functions'!J109*'Spectral Functions'!D109</f>
        <v>7758.0401064119105</v>
      </c>
      <c r="Y111" s="61">
        <f>'Spectral Functions'!J109*'Spectral Functions'!D109</f>
        <v>90.229263446000004</v>
      </c>
      <c r="Z111" s="61">
        <f>L111*'Spectral Functions'!J109*'Spectral Functions'!F109</f>
        <v>614.98945768733802</v>
      </c>
      <c r="AA111" s="62">
        <f>'Spectral Functions'!J109*'Spectral Functions'!F109</f>
        <v>7.1525855800000002</v>
      </c>
      <c r="AB111" s="31"/>
      <c r="AC111" s="60">
        <f>L111*'Spectral Functions'!K109*'Spectral Functions'!D109</f>
        <v>5819.4904437226514</v>
      </c>
      <c r="AD111" s="61">
        <f>'Spectral Functions'!K109*'Spectral Functions'!D109</f>
        <v>67.683117019999997</v>
      </c>
      <c r="AE111" s="61">
        <f>L111*'Spectral Functions'!K109*'Spectral Functions'!F109</f>
        <v>461.31822250360739</v>
      </c>
      <c r="AF111" s="62">
        <f>'Spectral Functions'!K109*'Spectral Functions'!F109</f>
        <v>5.3653246000000001</v>
      </c>
      <c r="AG111" s="31"/>
    </row>
    <row r="112" spans="1:33">
      <c r="A112" s="42">
        <v>594</v>
      </c>
      <c r="B112" s="31"/>
      <c r="C112" s="157">
        <v>87.914904000000007</v>
      </c>
      <c r="D112" s="47">
        <f t="shared" si="4"/>
        <v>87.914904000000007</v>
      </c>
      <c r="E112" s="31"/>
      <c r="F112" s="157">
        <v>87.914904000000007</v>
      </c>
      <c r="G112" s="47">
        <f t="shared" si="5"/>
        <v>87.914904000000007</v>
      </c>
      <c r="H112" s="31"/>
      <c r="I112" s="157">
        <v>87.914904000000007</v>
      </c>
      <c r="J112" s="47">
        <f t="shared" si="6"/>
        <v>87.914904000000007</v>
      </c>
      <c r="K112" s="54"/>
      <c r="L112" s="47">
        <f t="shared" si="7"/>
        <v>87.914904000000021</v>
      </c>
      <c r="M112" s="133"/>
      <c r="N112" s="60">
        <f>L112*'Spectral Functions'!H110*'Spectral Functions'!D110</f>
        <v>5549.0565040332185</v>
      </c>
      <c r="O112" s="61">
        <f>'Spectral Functions'!H110*'Spectral Functions'!D110</f>
        <v>63.118495858600006</v>
      </c>
      <c r="P112" s="61">
        <f>L112*'Spectral Functions'!H110*'Spectral Functions'!F110</f>
        <v>397.02393117449469</v>
      </c>
      <c r="Q112" s="62">
        <f>'Spectral Functions'!H110*'Spectral Functions'!F110</f>
        <v>4.5160025560000001</v>
      </c>
      <c r="R112" s="31"/>
      <c r="S112" s="60">
        <f>L112*'Spectral Functions'!I110*'Spectral Functions'!D110</f>
        <v>6655.3497993758183</v>
      </c>
      <c r="T112" s="61">
        <f>'Spectral Functions'!I110*'Spectral Functions'!D110</f>
        <v>75.702179000000001</v>
      </c>
      <c r="U112" s="61">
        <f>L112*'Spectral Functions'!I110*'Spectral Functions'!F110</f>
        <v>476.17701113136013</v>
      </c>
      <c r="V112" s="62">
        <f>'Spectral Functions'!I110*'Spectral Functions'!F110</f>
        <v>5.4163399999999999</v>
      </c>
      <c r="W112" s="31"/>
      <c r="X112" s="60">
        <f>L112*'Spectral Functions'!J110*'Spectral Functions'!D110</f>
        <v>7753.4825162728284</v>
      </c>
      <c r="Y112" s="61">
        <f>'Spectral Functions'!J110*'Spectral Functions'!D110</f>
        <v>88.193038534999999</v>
      </c>
      <c r="Z112" s="61">
        <f>L112*'Spectral Functions'!J110*'Spectral Functions'!F110</f>
        <v>554.74621796803456</v>
      </c>
      <c r="AA112" s="62">
        <f>'Spectral Functions'!J110*'Spectral Functions'!F110</f>
        <v>6.3100360999999996</v>
      </c>
      <c r="AB112" s="31"/>
      <c r="AC112" s="60">
        <f>L112*'Spectral Functions'!K110*'Spectral Functions'!D110</f>
        <v>5698.7210151290892</v>
      </c>
      <c r="AD112" s="61">
        <f>'Spectral Functions'!K110*'Spectral Functions'!D110</f>
        <v>64.820875140000012</v>
      </c>
      <c r="AE112" s="61">
        <f>L112*'Spectral Functions'!K110*'Spectral Functions'!F110</f>
        <v>407.73212859677773</v>
      </c>
      <c r="AF112" s="62">
        <f>'Spectral Functions'!K110*'Spectral Functions'!F110</f>
        <v>4.6378044000000003</v>
      </c>
      <c r="AG112" s="31"/>
    </row>
    <row r="113" spans="1:33">
      <c r="A113" s="42">
        <v>596</v>
      </c>
      <c r="B113" s="31"/>
      <c r="C113" s="157">
        <v>88.480001000000001</v>
      </c>
      <c r="D113" s="47">
        <f t="shared" si="4"/>
        <v>88.480001000000001</v>
      </c>
      <c r="E113" s="31"/>
      <c r="F113" s="157">
        <v>88.480001000000001</v>
      </c>
      <c r="G113" s="47">
        <f t="shared" si="5"/>
        <v>88.480001000000001</v>
      </c>
      <c r="H113" s="31"/>
      <c r="I113" s="157">
        <v>88.480001000000001</v>
      </c>
      <c r="J113" s="47">
        <f t="shared" si="6"/>
        <v>88.480001000000001</v>
      </c>
      <c r="K113" s="54"/>
      <c r="L113" s="47">
        <f t="shared" si="7"/>
        <v>88.480001000000001</v>
      </c>
      <c r="M113" s="133"/>
      <c r="N113" s="60">
        <f>L113*'Spectral Functions'!H111*'Spectral Functions'!D111</f>
        <v>5401.137053066951</v>
      </c>
      <c r="O113" s="61">
        <f>'Spectral Functions'!H111*'Spectral Functions'!D111</f>
        <v>61.043591681999999</v>
      </c>
      <c r="P113" s="61">
        <f>L113*'Spectral Functions'!H111*'Spectral Functions'!F111</f>
        <v>349.69448759704323</v>
      </c>
      <c r="Q113" s="62">
        <f>'Spectral Functions'!H111*'Spectral Functions'!F111</f>
        <v>3.9522432599999999</v>
      </c>
      <c r="R113" s="31"/>
      <c r="S113" s="60">
        <f>L113*'Spectral Functions'!I111*'Spectral Functions'!D111</f>
        <v>4165.0289083531115</v>
      </c>
      <c r="T113" s="61">
        <f>'Spectral Functions'!I111*'Spectral Functions'!D111</f>
        <v>47.073111000000004</v>
      </c>
      <c r="U113" s="61">
        <f>L113*'Spectral Functions'!I111*'Spectral Functions'!F111</f>
        <v>269.66315344773005</v>
      </c>
      <c r="V113" s="62">
        <f>'Spectral Functions'!I111*'Spectral Functions'!F111</f>
        <v>3.0477300000000001</v>
      </c>
      <c r="W113" s="31"/>
      <c r="X113" s="60">
        <f>L113*'Spectral Functions'!J111*'Spectral Functions'!D111</f>
        <v>7612.8277661402553</v>
      </c>
      <c r="Y113" s="61">
        <f>'Spectral Functions'!J111*'Spectral Functions'!D111</f>
        <v>86.040095841999999</v>
      </c>
      <c r="Z113" s="61">
        <f>L113*'Spectral Functions'!J111*'Spectral Functions'!F111</f>
        <v>492.88953023943202</v>
      </c>
      <c r="AA113" s="62">
        <f>'Spectral Functions'!J111*'Spectral Functions'!F111</f>
        <v>5.5706320600000003</v>
      </c>
      <c r="AB113" s="31"/>
      <c r="AC113" s="60">
        <f>L113*'Spectral Functions'!K111*'Spectral Functions'!D111</f>
        <v>5488.1801209777523</v>
      </c>
      <c r="AD113" s="61">
        <f>'Spectral Functions'!K111*'Spectral Functions'!D111</f>
        <v>62.02735148</v>
      </c>
      <c r="AE113" s="61">
        <f>L113*'Spectral Functions'!K111*'Spectral Functions'!F111</f>
        <v>355.33005668793646</v>
      </c>
      <c r="AF113" s="62">
        <f>'Spectral Functions'!K111*'Spectral Functions'!F111</f>
        <v>4.0159364000000002</v>
      </c>
      <c r="AG113" s="31"/>
    </row>
    <row r="114" spans="1:33">
      <c r="A114" s="42">
        <v>598</v>
      </c>
      <c r="B114" s="31"/>
      <c r="C114" s="157">
        <v>89.446646999999999</v>
      </c>
      <c r="D114" s="47">
        <f t="shared" si="4"/>
        <v>89.446646999999999</v>
      </c>
      <c r="E114" s="31"/>
      <c r="F114" s="157">
        <v>89.446646999999999</v>
      </c>
      <c r="G114" s="47">
        <f t="shared" si="5"/>
        <v>89.446646999999999</v>
      </c>
      <c r="H114" s="31"/>
      <c r="I114" s="157">
        <v>89.446646999999999</v>
      </c>
      <c r="J114" s="47">
        <f t="shared" si="6"/>
        <v>89.446646999999999</v>
      </c>
      <c r="K114" s="54"/>
      <c r="L114" s="47">
        <f t="shared" si="7"/>
        <v>89.446646999999999</v>
      </c>
      <c r="M114" s="133"/>
      <c r="N114" s="60">
        <f>L114*'Spectral Functions'!H112*'Spectral Functions'!D112</f>
        <v>5271.2075260479705</v>
      </c>
      <c r="O114" s="61">
        <f>'Spectral Functions'!H112*'Spectral Functions'!D112</f>
        <v>58.931303775399996</v>
      </c>
      <c r="P114" s="61">
        <f>L114*'Spectral Functions'!H112*'Spectral Functions'!F112</f>
        <v>310.73019996728505</v>
      </c>
      <c r="Q114" s="62">
        <f>'Spectral Functions'!H112*'Spectral Functions'!F112</f>
        <v>3.4739166909999999</v>
      </c>
      <c r="R114" s="31"/>
      <c r="S114" s="60">
        <f>L114*'Spectral Functions'!I112*'Spectral Functions'!D112</f>
        <v>2290.754211411042</v>
      </c>
      <c r="T114" s="61">
        <f>'Spectral Functions'!I112*'Spectral Functions'!D112</f>
        <v>25.610285999999999</v>
      </c>
      <c r="U114" s="61">
        <f>L114*'Spectral Functions'!I112*'Spectral Functions'!F112</f>
        <v>135.03670850943001</v>
      </c>
      <c r="V114" s="62">
        <f>'Spectral Functions'!I112*'Spectral Functions'!F112</f>
        <v>1.50969</v>
      </c>
      <c r="W114" s="31"/>
      <c r="X114" s="60">
        <f>L114*'Spectral Functions'!J112*'Spectral Functions'!D112</f>
        <v>7493.7031356877105</v>
      </c>
      <c r="Y114" s="61">
        <f>'Spectral Functions'!J112*'Spectral Functions'!D112</f>
        <v>83.778468919999995</v>
      </c>
      <c r="Z114" s="61">
        <f>L114*'Spectral Functions'!J112*'Spectral Functions'!F112</f>
        <v>441.74316081110459</v>
      </c>
      <c r="AA114" s="62">
        <f>'Spectral Functions'!J112*'Spectral Functions'!F112</f>
        <v>4.9386218</v>
      </c>
      <c r="AB114" s="31"/>
      <c r="AC114" s="60">
        <f>L114*'Spectral Functions'!K112*'Spectral Functions'!D112</f>
        <v>5304.564431603364</v>
      </c>
      <c r="AD114" s="61">
        <f>'Spectral Functions'!K112*'Spectral Functions'!D112</f>
        <v>59.304228940000002</v>
      </c>
      <c r="AE114" s="61">
        <f>L114*'Spectral Functions'!K112*'Spectral Functions'!F112</f>
        <v>312.69654219196468</v>
      </c>
      <c r="AF114" s="62">
        <f>'Spectral Functions'!K112*'Spectral Functions'!F112</f>
        <v>3.4959001000000001</v>
      </c>
      <c r="AG114" s="31"/>
    </row>
    <row r="115" spans="1:33">
      <c r="A115" s="42">
        <v>600</v>
      </c>
      <c r="B115" s="31"/>
      <c r="C115" s="157">
        <v>90.024591999999998</v>
      </c>
      <c r="D115" s="47">
        <f t="shared" si="4"/>
        <v>90.024591999999998</v>
      </c>
      <c r="E115" s="31"/>
      <c r="F115" s="157">
        <v>90.024591999999998</v>
      </c>
      <c r="G115" s="47">
        <f t="shared" si="5"/>
        <v>90.024591999999998</v>
      </c>
      <c r="H115" s="31"/>
      <c r="I115" s="157">
        <v>90.024591999999998</v>
      </c>
      <c r="J115" s="47">
        <f t="shared" si="6"/>
        <v>90.024591999999998</v>
      </c>
      <c r="K115" s="54"/>
      <c r="L115" s="47">
        <f t="shared" si="7"/>
        <v>90.024591999999998</v>
      </c>
      <c r="M115" s="133"/>
      <c r="N115" s="60">
        <f>L115*'Spectral Functions'!H113*'Spectral Functions'!D113</f>
        <v>5112.8487738888225</v>
      </c>
      <c r="O115" s="61">
        <f>'Spectral Functions'!H113*'Spectral Functions'!D113</f>
        <v>56.793912200000008</v>
      </c>
      <c r="P115" s="61">
        <f>L115*'Spectral Functions'!H113*'Spectral Functions'!F113</f>
        <v>269.41715012964085</v>
      </c>
      <c r="Q115" s="62">
        <f>'Spectral Functions'!H113*'Spectral Functions'!F113</f>
        <v>2.9927061500000005</v>
      </c>
      <c r="R115" s="31"/>
      <c r="S115" s="60">
        <f>L115*'Spectral Functions'!I113*'Spectral Functions'!D113</f>
        <v>511.24965796800001</v>
      </c>
      <c r="T115" s="61">
        <f>'Spectral Functions'!I113*'Spectral Functions'!D113</f>
        <v>5.6790000000000003</v>
      </c>
      <c r="U115" s="61">
        <f>L115*'Spectral Functions'!I113*'Spectral Functions'!F113</f>
        <v>26.939859156000001</v>
      </c>
      <c r="V115" s="62">
        <f>'Spectral Functions'!I113*'Spectral Functions'!F113</f>
        <v>0.29925000000000002</v>
      </c>
      <c r="W115" s="31"/>
      <c r="X115" s="60">
        <f>L115*'Spectral Functions'!J113*'Spectral Functions'!D113</f>
        <v>7330.354401462736</v>
      </c>
      <c r="Y115" s="61">
        <f>'Spectral Functions'!J113*'Spectral Functions'!D113</f>
        <v>81.426133000000007</v>
      </c>
      <c r="Z115" s="61">
        <f>L115*'Spectral Functions'!J113*'Spectral Functions'!F113</f>
        <v>386.26669389641205</v>
      </c>
      <c r="AA115" s="62">
        <f>'Spectral Functions'!J113*'Spectral Functions'!F113</f>
        <v>4.2906797500000007</v>
      </c>
      <c r="AB115" s="31"/>
      <c r="AC115" s="60">
        <f>L115*'Spectral Functions'!K113*'Spectral Functions'!D113</f>
        <v>5095.4549244144</v>
      </c>
      <c r="AD115" s="61">
        <f>'Spectral Functions'!K113*'Spectral Functions'!D113</f>
        <v>56.600700000000003</v>
      </c>
      <c r="AE115" s="61">
        <f>L115*'Spectral Functions'!K113*'Spectral Functions'!F113</f>
        <v>268.50059625480003</v>
      </c>
      <c r="AF115" s="62">
        <f>'Spectral Functions'!K113*'Spectral Functions'!F113</f>
        <v>2.9825250000000003</v>
      </c>
      <c r="AG115" s="31"/>
    </row>
    <row r="116" spans="1:33">
      <c r="A116" s="42">
        <v>602</v>
      </c>
      <c r="B116" s="31"/>
      <c r="C116" s="157">
        <v>90.914816999999999</v>
      </c>
      <c r="D116" s="47">
        <f t="shared" si="4"/>
        <v>90.914816999999999</v>
      </c>
      <c r="E116" s="31"/>
      <c r="F116" s="157">
        <v>90.914816999999999</v>
      </c>
      <c r="G116" s="47">
        <f t="shared" si="5"/>
        <v>90.914816999999999</v>
      </c>
      <c r="H116" s="31"/>
      <c r="I116" s="157">
        <v>90.914816999999999</v>
      </c>
      <c r="J116" s="47">
        <f t="shared" si="6"/>
        <v>90.914816999999999</v>
      </c>
      <c r="K116" s="54"/>
      <c r="L116" s="47">
        <f t="shared" si="7"/>
        <v>90.914817000000014</v>
      </c>
      <c r="M116" s="133"/>
      <c r="N116" s="60">
        <f>L116*'Spectral Functions'!H114*'Spectral Functions'!D114</f>
        <v>4948.7426311107984</v>
      </c>
      <c r="O116" s="61">
        <f>'Spectral Functions'!H114*'Spectral Functions'!D114</f>
        <v>54.432740387200006</v>
      </c>
      <c r="P116" s="61">
        <f>L116*'Spectral Functions'!H114*'Spectral Functions'!F114</f>
        <v>238.70815369076726</v>
      </c>
      <c r="Q116" s="62">
        <f>'Spectral Functions'!H114*'Spectral Functions'!F114</f>
        <v>2.6256243104000001</v>
      </c>
      <c r="R116" s="31"/>
      <c r="S116" s="60">
        <f>L116*'Spectral Functions'!I114*'Spectral Functions'!D114</f>
        <v>275.16005768769008</v>
      </c>
      <c r="T116" s="61">
        <f>'Spectral Functions'!I114*'Spectral Functions'!D114</f>
        <v>3.02657</v>
      </c>
      <c r="U116" s="61">
        <f>L116*'Spectral Functions'!I114*'Spectral Functions'!F114</f>
        <v>13.272654133830002</v>
      </c>
      <c r="V116" s="62">
        <f>'Spectral Functions'!I114*'Spectral Functions'!F114</f>
        <v>0.14599000000000001</v>
      </c>
      <c r="W116" s="31"/>
      <c r="X116" s="60">
        <f>L116*'Spectral Functions'!J114*'Spectral Functions'!D114</f>
        <v>7181.9526657063971</v>
      </c>
      <c r="Y116" s="61">
        <f>'Spectral Functions'!J114*'Spectral Functions'!D114</f>
        <v>78.996503570000002</v>
      </c>
      <c r="Z116" s="61">
        <f>L116*'Spectral Functions'!J114*'Spectral Functions'!F114</f>
        <v>346.42954554709689</v>
      </c>
      <c r="AA116" s="62">
        <f>'Spectral Functions'!J114*'Spectral Functions'!F114</f>
        <v>3.81048499</v>
      </c>
      <c r="AB116" s="31"/>
      <c r="AC116" s="60">
        <f>L116*'Spectral Functions'!K114*'Spectral Functions'!D114</f>
        <v>4917.1102308790205</v>
      </c>
      <c r="AD116" s="61">
        <f>'Spectral Functions'!K114*'Spectral Functions'!D114</f>
        <v>54.084805899999999</v>
      </c>
      <c r="AE116" s="61">
        <f>L116*'Spectral Functions'!K114*'Spectral Functions'!F114</f>
        <v>237.18232937154212</v>
      </c>
      <c r="AF116" s="62">
        <f>'Spectral Functions'!K114*'Spectral Functions'!F114</f>
        <v>2.6088412999999999</v>
      </c>
      <c r="AG116" s="31"/>
    </row>
    <row r="117" spans="1:33">
      <c r="A117" s="42">
        <v>604</v>
      </c>
      <c r="B117" s="31"/>
      <c r="C117" s="157">
        <v>91.575416000000004</v>
      </c>
      <c r="D117" s="47">
        <f t="shared" si="4"/>
        <v>91.575416000000004</v>
      </c>
      <c r="E117" s="31"/>
      <c r="F117" s="157">
        <v>91.575416000000004</v>
      </c>
      <c r="G117" s="47">
        <f t="shared" si="5"/>
        <v>91.575416000000004</v>
      </c>
      <c r="H117" s="31"/>
      <c r="I117" s="157">
        <v>91.575416000000004</v>
      </c>
      <c r="J117" s="47">
        <f t="shared" si="6"/>
        <v>91.575416000000004</v>
      </c>
      <c r="K117" s="54"/>
      <c r="L117" s="47">
        <f t="shared" si="7"/>
        <v>91.575416000000004</v>
      </c>
      <c r="M117" s="133"/>
      <c r="N117" s="60">
        <f>L117*'Spectral Functions'!H115*'Spectral Functions'!D115</f>
        <v>4768.9407675993452</v>
      </c>
      <c r="O117" s="61">
        <f>'Spectral Functions'!H115*'Spectral Functions'!D115</f>
        <v>52.076648689199999</v>
      </c>
      <c r="P117" s="61">
        <f>L117*'Spectral Functions'!H115*'Spectral Functions'!F115</f>
        <v>206.88737546891878</v>
      </c>
      <c r="Q117" s="62">
        <f>'Spectral Functions'!H115*'Spectral Functions'!F115</f>
        <v>2.2592021364000003</v>
      </c>
      <c r="R117" s="31"/>
      <c r="S117" s="60">
        <f>L117*'Spectral Functions'!I115*'Spectral Functions'!D115</f>
        <v>106.161181958816</v>
      </c>
      <c r="T117" s="61">
        <f>'Spectral Functions'!I115*'Spectral Functions'!D115</f>
        <v>1.159276</v>
      </c>
      <c r="U117" s="61">
        <f>L117*'Spectral Functions'!I115*'Spectral Functions'!F115</f>
        <v>4.6055108214720004</v>
      </c>
      <c r="V117" s="62">
        <f>'Spectral Functions'!I115*'Spectral Functions'!F115</f>
        <v>5.0292000000000003E-2</v>
      </c>
      <c r="W117" s="31"/>
      <c r="X117" s="60">
        <f>L117*'Spectral Functions'!J115*'Spectral Functions'!D115</f>
        <v>7004.8332691885571</v>
      </c>
      <c r="Y117" s="61">
        <f>'Spectral Functions'!J115*'Spectral Functions'!D115</f>
        <v>76.492508307999998</v>
      </c>
      <c r="Z117" s="61">
        <f>L117*'Spectral Functions'!J115*'Spectral Functions'!F115</f>
        <v>303.88542053318702</v>
      </c>
      <c r="AA117" s="62">
        <f>'Spectral Functions'!J115*'Spectral Functions'!F115</f>
        <v>3.3184170360000005</v>
      </c>
      <c r="AB117" s="31"/>
      <c r="AC117" s="60">
        <f>L117*'Spectral Functions'!K115*'Spectral Functions'!D115</f>
        <v>4724.1725971673122</v>
      </c>
      <c r="AD117" s="61">
        <f>'Spectral Functions'!K115*'Spectral Functions'!D115</f>
        <v>51.587781999999997</v>
      </c>
      <c r="AE117" s="61">
        <f>L117*'Spectral Functions'!K115*'Spectral Functions'!F115</f>
        <v>204.94523155550402</v>
      </c>
      <c r="AF117" s="62">
        <f>'Spectral Functions'!K115*'Spectral Functions'!F115</f>
        <v>2.237994</v>
      </c>
      <c r="AG117" s="31"/>
    </row>
    <row r="118" spans="1:33">
      <c r="A118" s="42">
        <v>606</v>
      </c>
      <c r="B118" s="31"/>
      <c r="C118" s="157">
        <v>92.275812999999999</v>
      </c>
      <c r="D118" s="47">
        <f t="shared" si="4"/>
        <v>92.275812999999999</v>
      </c>
      <c r="E118" s="31"/>
      <c r="F118" s="157">
        <v>92.275812999999999</v>
      </c>
      <c r="G118" s="47">
        <f t="shared" si="5"/>
        <v>92.275812999999999</v>
      </c>
      <c r="H118" s="31"/>
      <c r="I118" s="157">
        <v>92.275812999999999</v>
      </c>
      <c r="J118" s="47">
        <f t="shared" si="6"/>
        <v>92.275812999999999</v>
      </c>
      <c r="K118" s="54"/>
      <c r="L118" s="47">
        <f t="shared" si="7"/>
        <v>92.275813000000014</v>
      </c>
      <c r="M118" s="133"/>
      <c r="N118" s="60">
        <f>L118*'Spectral Functions'!H116*'Spectral Functions'!D116</f>
        <v>4588.3771423646267</v>
      </c>
      <c r="O118" s="61">
        <f>'Spectral Functions'!H116*'Spectral Functions'!D116</f>
        <v>49.724591885900004</v>
      </c>
      <c r="P118" s="61">
        <f>L118*'Spectral Functions'!H116*'Spectral Functions'!F116</f>
        <v>179.58880354528537</v>
      </c>
      <c r="Q118" s="62">
        <f>'Spectral Functions'!H116*'Spectral Functions'!F116</f>
        <v>1.9462175157999999</v>
      </c>
      <c r="R118" s="31"/>
      <c r="S118" s="60">
        <f>L118*'Spectral Functions'!I116*'Spectral Functions'!D116</f>
        <v>0</v>
      </c>
      <c r="T118" s="61">
        <f>'Spectral Functions'!I116*'Spectral Functions'!D116</f>
        <v>0</v>
      </c>
      <c r="U118" s="61">
        <f>L118*'Spectral Functions'!I116*'Spectral Functions'!F116</f>
        <v>0</v>
      </c>
      <c r="V118" s="62">
        <f>'Spectral Functions'!I116*'Spectral Functions'!F116</f>
        <v>0</v>
      </c>
      <c r="W118" s="31"/>
      <c r="X118" s="60">
        <f>L118*'Spectral Functions'!J116*'Spectral Functions'!D116</f>
        <v>6820.4148639265104</v>
      </c>
      <c r="Y118" s="61">
        <f>'Spectral Functions'!J116*'Spectral Functions'!D116</f>
        <v>73.913354346999995</v>
      </c>
      <c r="Z118" s="61">
        <f>L118*'Spectral Functions'!J116*'Spectral Functions'!F116</f>
        <v>266.95062482675604</v>
      </c>
      <c r="AA118" s="62">
        <f>'Spectral Functions'!J116*'Spectral Functions'!F116</f>
        <v>2.892964214</v>
      </c>
      <c r="AB118" s="31"/>
      <c r="AC118" s="60">
        <f>L118*'Spectral Functions'!K116*'Spectral Functions'!D116</f>
        <v>4536.1404740033013</v>
      </c>
      <c r="AD118" s="61">
        <f>'Spectral Functions'!K116*'Spectral Functions'!D116</f>
        <v>49.158499140000004</v>
      </c>
      <c r="AE118" s="61">
        <f>L118*'Spectral Functions'!K116*'Spectral Functions'!F116</f>
        <v>177.54426350833288</v>
      </c>
      <c r="AF118" s="62">
        <f>'Spectral Functions'!K116*'Spectral Functions'!F116</f>
        <v>1.92406068</v>
      </c>
      <c r="AG118" s="31"/>
    </row>
    <row r="119" spans="1:33">
      <c r="A119" s="42">
        <v>608</v>
      </c>
      <c r="B119" s="31"/>
      <c r="C119" s="157">
        <v>92.960154000000003</v>
      </c>
      <c r="D119" s="47">
        <f t="shared" si="4"/>
        <v>92.960154000000003</v>
      </c>
      <c r="E119" s="31"/>
      <c r="F119" s="157">
        <v>92.960154000000003</v>
      </c>
      <c r="G119" s="47">
        <f t="shared" si="5"/>
        <v>92.960154000000003</v>
      </c>
      <c r="H119" s="31"/>
      <c r="I119" s="157">
        <v>92.960154000000003</v>
      </c>
      <c r="J119" s="47">
        <f t="shared" si="6"/>
        <v>92.960154000000003</v>
      </c>
      <c r="K119" s="54"/>
      <c r="L119" s="47">
        <f t="shared" si="7"/>
        <v>92.960154000000003</v>
      </c>
      <c r="M119" s="133"/>
      <c r="N119" s="60">
        <f>L119*'Spectral Functions'!H117*'Spectral Functions'!D117</f>
        <v>4404.7273716618674</v>
      </c>
      <c r="O119" s="61">
        <f>'Spectral Functions'!H117*'Spectral Functions'!D117</f>
        <v>47.382961216499993</v>
      </c>
      <c r="P119" s="61">
        <f>L119*'Spectral Functions'!H117*'Spectral Functions'!F117</f>
        <v>156.78022638552838</v>
      </c>
      <c r="Q119" s="62">
        <f>'Spectral Functions'!H117*'Spectral Functions'!F117</f>
        <v>1.686531483</v>
      </c>
      <c r="R119" s="31"/>
      <c r="S119" s="60">
        <f>L119*'Spectral Functions'!I117*'Spectral Functions'!D117</f>
        <v>0</v>
      </c>
      <c r="T119" s="61">
        <f>'Spectral Functions'!I117*'Spectral Functions'!D117</f>
        <v>0</v>
      </c>
      <c r="U119" s="61">
        <f>L119*'Spectral Functions'!I117*'Spectral Functions'!F117</f>
        <v>0</v>
      </c>
      <c r="V119" s="62">
        <f>'Spectral Functions'!I117*'Spectral Functions'!F117</f>
        <v>0</v>
      </c>
      <c r="W119" s="31"/>
      <c r="X119" s="60">
        <f>L119*'Spectral Functions'!J117*'Spectral Functions'!D117</f>
        <v>6625.0797105430311</v>
      </c>
      <c r="Y119" s="61">
        <f>'Spectral Functions'!J117*'Spectral Functions'!D117</f>
        <v>71.267951111000002</v>
      </c>
      <c r="Z119" s="61">
        <f>L119*'Spectral Functions'!J117*'Spectral Functions'!F117</f>
        <v>235.81062099859801</v>
      </c>
      <c r="AA119" s="62">
        <f>'Spectral Functions'!J117*'Spectral Functions'!F117</f>
        <v>2.5366849220000001</v>
      </c>
      <c r="AB119" s="31"/>
      <c r="AC119" s="60">
        <f>L119*'Spectral Functions'!K117*'Spectral Functions'!D117</f>
        <v>4350.184302140281</v>
      </c>
      <c r="AD119" s="61">
        <f>'Spectral Functions'!K117*'Spectral Functions'!D117</f>
        <v>46.796225209999996</v>
      </c>
      <c r="AE119" s="61">
        <f>L119*'Spectral Functions'!K117*'Spectral Functions'!F117</f>
        <v>154.83884067290265</v>
      </c>
      <c r="AF119" s="62">
        <f>'Spectral Functions'!K117*'Spectral Functions'!F117</f>
        <v>1.6656474199999998</v>
      </c>
      <c r="AG119" s="31"/>
    </row>
    <row r="120" spans="1:33">
      <c r="A120" s="42">
        <v>610</v>
      </c>
      <c r="B120" s="31"/>
      <c r="C120" s="157">
        <v>93.467961000000003</v>
      </c>
      <c r="D120" s="47">
        <f t="shared" si="4"/>
        <v>93.467961000000003</v>
      </c>
      <c r="E120" s="31"/>
      <c r="F120" s="157">
        <v>93.467961000000003</v>
      </c>
      <c r="G120" s="47">
        <f t="shared" si="5"/>
        <v>93.467961000000003</v>
      </c>
      <c r="H120" s="31"/>
      <c r="I120" s="157">
        <v>93.467961000000003</v>
      </c>
      <c r="J120" s="47">
        <f t="shared" si="6"/>
        <v>93.467961000000003</v>
      </c>
      <c r="K120" s="54"/>
      <c r="L120" s="47">
        <f t="shared" si="7"/>
        <v>93.467961000000003</v>
      </c>
      <c r="M120" s="133"/>
      <c r="N120" s="60">
        <f>L120*'Spectral Functions'!H118*'Spectral Functions'!D118</f>
        <v>4212.4465277708559</v>
      </c>
      <c r="O120" s="61">
        <f>'Spectral Functions'!H118*'Spectral Functions'!D118</f>
        <v>45.068347300000006</v>
      </c>
      <c r="P120" s="61">
        <f>L120*'Spectral Functions'!H118*'Spectral Functions'!F118</f>
        <v>133.40809778805115</v>
      </c>
      <c r="Q120" s="62">
        <f>'Spectral Functions'!H118*'Spectral Functions'!F118</f>
        <v>1.4273136630000001</v>
      </c>
      <c r="R120" s="31"/>
      <c r="S120" s="60">
        <f>L120*'Spectral Functions'!I118*'Spectral Functions'!D118</f>
        <v>0</v>
      </c>
      <c r="T120" s="61">
        <f>'Spectral Functions'!I118*'Spectral Functions'!D118</f>
        <v>0</v>
      </c>
      <c r="U120" s="61">
        <f>L120*'Spectral Functions'!I118*'Spectral Functions'!F118</f>
        <v>0</v>
      </c>
      <c r="V120" s="62">
        <f>'Spectral Functions'!I118*'Spectral Functions'!F118</f>
        <v>0</v>
      </c>
      <c r="W120" s="31"/>
      <c r="X120" s="60">
        <f>L120*'Spectral Functions'!J118*'Spectral Functions'!D118</f>
        <v>6410.2232530845185</v>
      </c>
      <c r="Y120" s="61">
        <f>'Spectral Functions'!J118*'Spectral Functions'!D118</f>
        <v>68.582037999999997</v>
      </c>
      <c r="Z120" s="61">
        <f>L120*'Spectral Functions'!J118*'Spectral Functions'!F118</f>
        <v>203.01164298536057</v>
      </c>
      <c r="AA120" s="62">
        <f>'Spectral Functions'!J118*'Spectral Functions'!F118</f>
        <v>2.1719917799999999</v>
      </c>
      <c r="AB120" s="31"/>
      <c r="AC120" s="60">
        <f>L120*'Spectral Functions'!K118*'Spectral Functions'!D118</f>
        <v>4156.0715794571997</v>
      </c>
      <c r="AD120" s="61">
        <f>'Spectral Functions'!K118*'Spectral Functions'!D118</f>
        <v>44.465200000000003</v>
      </c>
      <c r="AE120" s="61">
        <f>L120*'Spectral Functions'!K118*'Spectral Functions'!F118</f>
        <v>131.62270429573201</v>
      </c>
      <c r="AF120" s="62">
        <f>'Spectral Functions'!K118*'Spectral Functions'!F118</f>
        <v>1.408212</v>
      </c>
      <c r="AG120" s="31"/>
    </row>
    <row r="121" spans="1:33">
      <c r="A121" s="42">
        <v>612</v>
      </c>
      <c r="B121" s="31"/>
      <c r="C121" s="157">
        <v>92.483127999999994</v>
      </c>
      <c r="D121" s="47">
        <f t="shared" si="4"/>
        <v>92.483127999999994</v>
      </c>
      <c r="E121" s="31"/>
      <c r="F121" s="157">
        <v>92.483127999999994</v>
      </c>
      <c r="G121" s="47">
        <f t="shared" si="5"/>
        <v>92.483127999999994</v>
      </c>
      <c r="H121" s="31"/>
      <c r="I121" s="157">
        <v>92.483127999999994</v>
      </c>
      <c r="J121" s="47">
        <f t="shared" si="6"/>
        <v>92.483127999999994</v>
      </c>
      <c r="K121" s="54"/>
      <c r="L121" s="47">
        <f t="shared" si="7"/>
        <v>92.483128000000008</v>
      </c>
      <c r="M121" s="133"/>
      <c r="N121" s="60">
        <f>L121*'Spectral Functions'!H119*'Spectral Functions'!D119</f>
        <v>3944.3460877472066</v>
      </c>
      <c r="O121" s="61">
        <f>'Spectral Functions'!H119*'Spectral Functions'!D119</f>
        <v>42.649358569999997</v>
      </c>
      <c r="P121" s="61">
        <f>L121*'Spectral Functions'!H119*'Spectral Functions'!F119</f>
        <v>114.77491806071512</v>
      </c>
      <c r="Q121" s="62">
        <f>'Spectral Functions'!H119*'Spectral Functions'!F119</f>
        <v>1.24103629</v>
      </c>
      <c r="R121" s="31"/>
      <c r="S121" s="60">
        <f>L121*'Spectral Functions'!I119*'Spectral Functions'!D119</f>
        <v>132.62912903352</v>
      </c>
      <c r="T121" s="61">
        <f>'Spectral Functions'!I119*'Spectral Functions'!D119</f>
        <v>1.4340900000000001</v>
      </c>
      <c r="U121" s="61">
        <f>L121*'Spectral Functions'!I119*'Spectral Functions'!F119</f>
        <v>3.8593209314400001</v>
      </c>
      <c r="V121" s="62">
        <f>'Spectral Functions'!I119*'Spectral Functions'!F119</f>
        <v>4.1730000000000003E-2</v>
      </c>
      <c r="W121" s="31"/>
      <c r="X121" s="60">
        <f>L121*'Spectral Functions'!J119*'Spectral Functions'!D119</f>
        <v>6092.2748324450649</v>
      </c>
      <c r="Y121" s="61">
        <f>'Spectral Functions'!J119*'Spectral Functions'!D119</f>
        <v>65.874446120000002</v>
      </c>
      <c r="Z121" s="61">
        <f>L121*'Spectral Functions'!J119*'Spectral Functions'!F119</f>
        <v>177.27662054538595</v>
      </c>
      <c r="AA121" s="62">
        <f>'Spectral Functions'!J119*'Spectral Functions'!F119</f>
        <v>1.91685364</v>
      </c>
      <c r="AB121" s="31"/>
      <c r="AC121" s="60">
        <f>L121*'Spectral Functions'!K119*'Spectral Functions'!D119</f>
        <v>3904.6015587468287</v>
      </c>
      <c r="AD121" s="61">
        <f>'Spectral Functions'!K119*'Spectral Functions'!D119</f>
        <v>42.219609599999998</v>
      </c>
      <c r="AE121" s="61">
        <f>L121*'Spectral Functions'!K119*'Spectral Functions'!F119</f>
        <v>113.6184082215936</v>
      </c>
      <c r="AF121" s="62">
        <f>'Spectral Functions'!K119*'Spectral Functions'!F119</f>
        <v>1.2285311999999999</v>
      </c>
      <c r="AG121" s="31"/>
    </row>
    <row r="122" spans="1:33">
      <c r="A122" s="42">
        <v>614</v>
      </c>
      <c r="B122" s="31"/>
      <c r="C122" s="157">
        <v>91.771337000000003</v>
      </c>
      <c r="D122" s="47">
        <f t="shared" si="4"/>
        <v>91.771337000000003</v>
      </c>
      <c r="E122" s="31"/>
      <c r="F122" s="157">
        <v>91.771337000000003</v>
      </c>
      <c r="G122" s="47">
        <f t="shared" si="5"/>
        <v>91.771337000000003</v>
      </c>
      <c r="H122" s="31"/>
      <c r="I122" s="157">
        <v>91.771337000000003</v>
      </c>
      <c r="J122" s="47">
        <f t="shared" si="6"/>
        <v>91.771337000000003</v>
      </c>
      <c r="K122" s="54"/>
      <c r="L122" s="47">
        <f t="shared" si="7"/>
        <v>91.771337000000003</v>
      </c>
      <c r="M122" s="133"/>
      <c r="N122" s="60">
        <f>L122*'Spectral Functions'!H120*'Spectral Functions'!D120</f>
        <v>3696.5332821121483</v>
      </c>
      <c r="O122" s="61">
        <f>'Spectral Functions'!H120*'Spectral Functions'!D120</f>
        <v>40.279823776699999</v>
      </c>
      <c r="P122" s="61">
        <f>L122*'Spectral Functions'!H120*'Spectral Functions'!F120</f>
        <v>96.937560457944571</v>
      </c>
      <c r="Q122" s="62">
        <f>'Spectral Functions'!H120*'Spectral Functions'!F120</f>
        <v>1.0562945209999999</v>
      </c>
      <c r="R122" s="31"/>
      <c r="S122" s="60">
        <f>L122*'Spectral Functions'!I120*'Spectral Functions'!D120</f>
        <v>291.26579656867699</v>
      </c>
      <c r="T122" s="61">
        <f>'Spectral Functions'!I120*'Spectral Functions'!D120</f>
        <v>3.1738210000000002</v>
      </c>
      <c r="U122" s="61">
        <f>L122*'Spectral Functions'!I120*'Spectral Functions'!F120</f>
        <v>7.6381283785099994</v>
      </c>
      <c r="V122" s="62">
        <f>'Spectral Functions'!I120*'Spectral Functions'!F120</f>
        <v>8.3229999999999998E-2</v>
      </c>
      <c r="W122" s="31"/>
      <c r="X122" s="60">
        <f>L122*'Spectral Functions'!J120*'Spectral Functions'!D120</f>
        <v>5794.5249757362799</v>
      </c>
      <c r="Y122" s="61">
        <f>'Spectral Functions'!J120*'Spectral Functions'!D120</f>
        <v>63.140901779999993</v>
      </c>
      <c r="Z122" s="61">
        <f>L122*'Spectral Functions'!J120*'Spectral Functions'!F120</f>
        <v>151.95510828447178</v>
      </c>
      <c r="AA122" s="62">
        <f>'Spectral Functions'!J120*'Spectral Functions'!F120</f>
        <v>1.6558013999999999</v>
      </c>
      <c r="AB122" s="31"/>
      <c r="AC122" s="60">
        <f>L122*'Spectral Functions'!K120*'Spectral Functions'!D120</f>
        <v>3671.1973187506246</v>
      </c>
      <c r="AD122" s="61">
        <f>'Spectral Functions'!K120*'Spectral Functions'!D120</f>
        <v>40.00374669</v>
      </c>
      <c r="AE122" s="61">
        <f>L122*'Spectral Functions'!K120*'Spectral Functions'!F120</f>
        <v>96.273152405133899</v>
      </c>
      <c r="AF122" s="62">
        <f>'Spectral Functions'!K120*'Spectral Functions'!F120</f>
        <v>1.0490546999999999</v>
      </c>
      <c r="AG122" s="31"/>
    </row>
    <row r="123" spans="1:33">
      <c r="A123" s="42">
        <v>616</v>
      </c>
      <c r="B123" s="31"/>
      <c r="C123" s="157">
        <v>92.264795000000007</v>
      </c>
      <c r="D123" s="47">
        <f t="shared" si="4"/>
        <v>92.264795000000007</v>
      </c>
      <c r="E123" s="31"/>
      <c r="F123" s="157">
        <v>92.264795000000007</v>
      </c>
      <c r="G123" s="47">
        <f t="shared" si="5"/>
        <v>92.264795000000007</v>
      </c>
      <c r="H123" s="31"/>
      <c r="I123" s="157">
        <v>92.264795000000007</v>
      </c>
      <c r="J123" s="47">
        <f t="shared" si="6"/>
        <v>92.264795000000007</v>
      </c>
      <c r="K123" s="54"/>
      <c r="L123" s="47">
        <f t="shared" si="7"/>
        <v>92.264795000000007</v>
      </c>
      <c r="M123" s="133"/>
      <c r="N123" s="60">
        <f>L123*'Spectral Functions'!H121*'Spectral Functions'!D121</f>
        <v>3501.9974671104937</v>
      </c>
      <c r="O123" s="61">
        <f>'Spectral Functions'!H121*'Spectral Functions'!D121</f>
        <v>37.955944811999998</v>
      </c>
      <c r="P123" s="61">
        <f>L123*'Spectral Functions'!H121*'Spectral Functions'!F121</f>
        <v>83.069195069102747</v>
      </c>
      <c r="Q123" s="62">
        <f>'Spectral Functions'!H121*'Spectral Functions'!F121</f>
        <v>0.90033468419999996</v>
      </c>
      <c r="R123" s="31"/>
      <c r="S123" s="60">
        <f>L123*'Spectral Functions'!I121*'Spectral Functions'!D121</f>
        <v>395.88978238600004</v>
      </c>
      <c r="T123" s="61">
        <f>'Spectral Functions'!I121*'Spectral Functions'!D121</f>
        <v>4.2907999999999999</v>
      </c>
      <c r="U123" s="61">
        <f>L123*'Spectral Functions'!I121*'Spectral Functions'!F121</f>
        <v>9.3907108351000002</v>
      </c>
      <c r="V123" s="62">
        <f>'Spectral Functions'!I121*'Spectral Functions'!F121</f>
        <v>0.10178</v>
      </c>
      <c r="W123" s="31"/>
      <c r="X123" s="60">
        <f>L123*'Spectral Functions'!J121*'Spectral Functions'!D121</f>
        <v>5570.7630728446002</v>
      </c>
      <c r="Y123" s="61">
        <f>'Spectral Functions'!J121*'Spectral Functions'!D121</f>
        <v>60.377992200000001</v>
      </c>
      <c r="Z123" s="61">
        <f>L123*'Spectral Functions'!J121*'Spectral Functions'!F121</f>
        <v>132.14138751610966</v>
      </c>
      <c r="AA123" s="62">
        <f>'Spectral Functions'!J121*'Spectral Functions'!F121</f>
        <v>1.4321972700000001</v>
      </c>
      <c r="AB123" s="31"/>
      <c r="AC123" s="60">
        <f>L123*'Spectral Functions'!K121*'Spectral Functions'!D121</f>
        <v>3490.5602112973625</v>
      </c>
      <c r="AD123" s="61">
        <f>'Spectral Functions'!K121*'Spectral Functions'!D121</f>
        <v>37.831983600000001</v>
      </c>
      <c r="AE123" s="61">
        <f>L123*'Spectral Functions'!K121*'Spectral Functions'!F121</f>
        <v>82.797897433076713</v>
      </c>
      <c r="AF123" s="62">
        <f>'Spectral Functions'!K121*'Spectral Functions'!F121</f>
        <v>0.89739426</v>
      </c>
      <c r="AG123" s="31"/>
    </row>
    <row r="124" spans="1:33">
      <c r="A124" s="42">
        <v>618</v>
      </c>
      <c r="B124" s="31"/>
      <c r="C124" s="157">
        <v>93.087579000000005</v>
      </c>
      <c r="D124" s="47">
        <f t="shared" si="4"/>
        <v>93.087579000000005</v>
      </c>
      <c r="E124" s="31"/>
      <c r="F124" s="157">
        <v>93.087579000000005</v>
      </c>
      <c r="G124" s="47">
        <f t="shared" si="5"/>
        <v>93.087579000000005</v>
      </c>
      <c r="H124" s="31"/>
      <c r="I124" s="157">
        <v>93.087579000000005</v>
      </c>
      <c r="J124" s="47">
        <f t="shared" si="6"/>
        <v>93.087579000000005</v>
      </c>
      <c r="K124" s="54"/>
      <c r="L124" s="47">
        <f t="shared" si="7"/>
        <v>93.087579000000005</v>
      </c>
      <c r="M124" s="133"/>
      <c r="N124" s="60">
        <f>L124*'Spectral Functions'!H122*'Spectral Functions'!D122</f>
        <v>3320.8744819083099</v>
      </c>
      <c r="O124" s="61">
        <f>'Spectral Functions'!H122*'Spectral Functions'!D122</f>
        <v>35.674732521599999</v>
      </c>
      <c r="P124" s="61">
        <f>L124*'Spectral Functions'!H122*'Spectral Functions'!F122</f>
        <v>71.938396729797915</v>
      </c>
      <c r="Q124" s="62">
        <f>'Spectral Functions'!H122*'Spectral Functions'!F122</f>
        <v>0.77280339120000008</v>
      </c>
      <c r="R124" s="31"/>
      <c r="S124" s="60">
        <f>L124*'Spectral Functions'!I122*'Spectral Functions'!D122</f>
        <v>942.58620743820006</v>
      </c>
      <c r="T124" s="61">
        <f>'Spectral Functions'!I122*'Spectral Functions'!D122</f>
        <v>10.1258</v>
      </c>
      <c r="U124" s="61">
        <f>L124*'Spectral Functions'!I122*'Spectral Functions'!F122</f>
        <v>20.418760453650002</v>
      </c>
      <c r="V124" s="62">
        <f>'Spectral Functions'!I122*'Spectral Functions'!F122</f>
        <v>0.21935000000000002</v>
      </c>
      <c r="W124" s="31"/>
      <c r="X124" s="60">
        <f>L124*'Spectral Functions'!J122*'Spectral Functions'!D122</f>
        <v>5360.1861341146641</v>
      </c>
      <c r="Y124" s="61">
        <f>'Spectral Functions'!J122*'Spectral Functions'!D122</f>
        <v>57.582184343999998</v>
      </c>
      <c r="Z124" s="61">
        <f>L124*'Spectral Functions'!J122*'Spectral Functions'!F122</f>
        <v>116.1149566965624</v>
      </c>
      <c r="AA124" s="62">
        <f>'Spectral Functions'!J122*'Spectral Functions'!F122</f>
        <v>1.2473732580000001</v>
      </c>
      <c r="AB124" s="31"/>
      <c r="AC124" s="60">
        <f>L124*'Spectral Functions'!K122*'Spectral Functions'!D122</f>
        <v>3323.1819329441182</v>
      </c>
      <c r="AD124" s="61">
        <f>'Spectral Functions'!K122*'Spectral Functions'!D122</f>
        <v>35.699520480000004</v>
      </c>
      <c r="AE124" s="61">
        <f>L124*'Spectral Functions'!K122*'Spectral Functions'!F122</f>
        <v>71.98838185538844</v>
      </c>
      <c r="AF124" s="62">
        <f>'Spectral Functions'!K122*'Spectral Functions'!F122</f>
        <v>0.77334036000000006</v>
      </c>
      <c r="AG124" s="31"/>
    </row>
    <row r="125" spans="1:33">
      <c r="A125" s="42">
        <v>620</v>
      </c>
      <c r="B125" s="31"/>
      <c r="C125" s="157">
        <v>92.689284999999998</v>
      </c>
      <c r="D125" s="47">
        <f t="shared" si="4"/>
        <v>92.689284999999998</v>
      </c>
      <c r="E125" s="31"/>
      <c r="F125" s="157">
        <v>92.689284999999998</v>
      </c>
      <c r="G125" s="47">
        <f t="shared" si="5"/>
        <v>92.689284999999998</v>
      </c>
      <c r="H125" s="31"/>
      <c r="I125" s="157">
        <v>92.689284999999998</v>
      </c>
      <c r="J125" s="47">
        <f t="shared" si="6"/>
        <v>92.689284999999998</v>
      </c>
      <c r="K125" s="54"/>
      <c r="L125" s="47">
        <f t="shared" si="7"/>
        <v>92.689284999999998</v>
      </c>
      <c r="M125" s="133"/>
      <c r="N125" s="60">
        <f>L125*'Spectral Functions'!H123*'Spectral Functions'!D123</f>
        <v>3097.0460532016396</v>
      </c>
      <c r="O125" s="61">
        <f>'Spectral Functions'!H123*'Spectral Functions'!D123</f>
        <v>33.413204700000001</v>
      </c>
      <c r="P125" s="61">
        <f>L125*'Spectral Functions'!H123*'Spectral Functions'!F123</f>
        <v>59.908738614425417</v>
      </c>
      <c r="Q125" s="62">
        <f>'Spectral Functions'!H123*'Spectral Functions'!F123</f>
        <v>0.64633941900000003</v>
      </c>
      <c r="R125" s="31"/>
      <c r="S125" s="60">
        <f>L125*'Spectral Functions'!I123*'Spectral Functions'!D123</f>
        <v>2083.5624375150001</v>
      </c>
      <c r="T125" s="61">
        <f>'Spectral Functions'!I123*'Spectral Functions'!D123</f>
        <v>22.478999999999999</v>
      </c>
      <c r="U125" s="61">
        <f>L125*'Spectral Functions'!I123*'Spectral Functions'!F123</f>
        <v>40.304081796549994</v>
      </c>
      <c r="V125" s="62">
        <f>'Spectral Functions'!I123*'Spectral Functions'!F123</f>
        <v>0.43482999999999999</v>
      </c>
      <c r="W125" s="31"/>
      <c r="X125" s="60">
        <f>L125*'Spectral Functions'!J123*'Spectral Functions'!D123</f>
        <v>5071.8147483225293</v>
      </c>
      <c r="Y125" s="61">
        <f>'Spectral Functions'!J123*'Spectral Functions'!D123</f>
        <v>54.718457999999998</v>
      </c>
      <c r="Z125" s="61">
        <f>L125*'Spectral Functions'!J123*'Spectral Functions'!F123</f>
        <v>98.108332533168081</v>
      </c>
      <c r="AA125" s="62">
        <f>'Spectral Functions'!J123*'Spectral Functions'!F123</f>
        <v>1.0584646599999998</v>
      </c>
      <c r="AB125" s="31"/>
      <c r="AC125" s="60">
        <f>L125*'Spectral Functions'!K123*'Spectral Functions'!D123</f>
        <v>3111.2178092384997</v>
      </c>
      <c r="AD125" s="61">
        <f>'Spectral Functions'!K123*'Spectral Functions'!D123</f>
        <v>33.566099999999999</v>
      </c>
      <c r="AE125" s="61">
        <f>L125*'Spectral Functions'!K123*'Spectral Functions'!F123</f>
        <v>60.182874682644993</v>
      </c>
      <c r="AF125" s="62">
        <f>'Spectral Functions'!K123*'Spectral Functions'!F123</f>
        <v>0.6492969999999999</v>
      </c>
      <c r="AG125" s="31"/>
    </row>
    <row r="126" spans="1:33">
      <c r="A126" s="42">
        <v>622</v>
      </c>
      <c r="B126" s="31"/>
      <c r="C126" s="157">
        <v>92.692825999999997</v>
      </c>
      <c r="D126" s="47">
        <f t="shared" si="4"/>
        <v>92.692825999999997</v>
      </c>
      <c r="E126" s="31"/>
      <c r="F126" s="157">
        <v>92.692825999999997</v>
      </c>
      <c r="G126" s="47">
        <f t="shared" si="5"/>
        <v>92.692825999999997</v>
      </c>
      <c r="H126" s="31"/>
      <c r="I126" s="157">
        <v>92.692825999999997</v>
      </c>
      <c r="J126" s="47">
        <f t="shared" si="6"/>
        <v>92.692825999999997</v>
      </c>
      <c r="K126" s="54"/>
      <c r="L126" s="47">
        <f t="shared" si="7"/>
        <v>92.692826000000011</v>
      </c>
      <c r="M126" s="133"/>
      <c r="N126" s="60">
        <f>L126*'Spectral Functions'!H124*'Spectral Functions'!D124</f>
        <v>2871.4886599657398</v>
      </c>
      <c r="O126" s="61">
        <f>'Spectral Functions'!H124*'Spectral Functions'!D124</f>
        <v>30.9785426109</v>
      </c>
      <c r="P126" s="61">
        <f>L126*'Spectral Functions'!H124*'Spectral Functions'!F124</f>
        <v>51.583098561432827</v>
      </c>
      <c r="Q126" s="62">
        <f>'Spectral Functions'!H124*'Spectral Functions'!F124</f>
        <v>0.55649504699999996</v>
      </c>
      <c r="R126" s="31"/>
      <c r="S126" s="60">
        <f>L126*'Spectral Functions'!I124*'Spectral Functions'!D124</f>
        <v>3803.6598476567306</v>
      </c>
      <c r="T126" s="61">
        <f>'Spectral Functions'!I124*'Spectral Functions'!D124</f>
        <v>41.035105000000001</v>
      </c>
      <c r="U126" s="61">
        <f>L126*'Spectral Functions'!I124*'Spectral Functions'!F124</f>
        <v>68.328516685900013</v>
      </c>
      <c r="V126" s="62">
        <f>'Spectral Functions'!I124*'Spectral Functions'!F124</f>
        <v>0.73714999999999997</v>
      </c>
      <c r="W126" s="31"/>
      <c r="X126" s="60">
        <f>L126*'Spectral Functions'!J124*'Spectral Functions'!D124</f>
        <v>4798.1349836523386</v>
      </c>
      <c r="Y126" s="61">
        <f>'Spectral Functions'!J124*'Spectral Functions'!D124</f>
        <v>51.763822409000007</v>
      </c>
      <c r="Z126" s="61">
        <f>L126*'Spectral Functions'!J124*'Spectral Functions'!F124</f>
        <v>86.193155913682233</v>
      </c>
      <c r="AA126" s="62">
        <f>'Spectral Functions'!J124*'Spectral Functions'!F124</f>
        <v>0.92987947000000004</v>
      </c>
      <c r="AB126" s="31"/>
      <c r="AC126" s="60">
        <f>L126*'Spectral Functions'!K124*'Spectral Functions'!D124</f>
        <v>2913.2726902748245</v>
      </c>
      <c r="AD126" s="61">
        <f>'Spectral Functions'!K124*'Spectral Functions'!D124</f>
        <v>31.429322159999998</v>
      </c>
      <c r="AE126" s="61">
        <f>L126*'Spectral Functions'!K124*'Spectral Functions'!F124</f>
        <v>52.333702171252803</v>
      </c>
      <c r="AF126" s="62">
        <f>'Spectral Functions'!K124*'Spectral Functions'!F124</f>
        <v>0.56459280000000001</v>
      </c>
      <c r="AG126" s="31"/>
    </row>
    <row r="127" spans="1:33">
      <c r="A127" s="42">
        <v>624</v>
      </c>
      <c r="B127" s="31"/>
      <c r="C127" s="157">
        <v>93.373283000000001</v>
      </c>
      <c r="D127" s="47">
        <f t="shared" si="4"/>
        <v>93.373283000000001</v>
      </c>
      <c r="E127" s="31"/>
      <c r="F127" s="157">
        <v>93.373283000000001</v>
      </c>
      <c r="G127" s="47">
        <f t="shared" si="5"/>
        <v>93.373283000000001</v>
      </c>
      <c r="H127" s="31"/>
      <c r="I127" s="157">
        <v>93.373283000000001</v>
      </c>
      <c r="J127" s="47">
        <f t="shared" si="6"/>
        <v>93.373283000000001</v>
      </c>
      <c r="K127" s="54"/>
      <c r="L127" s="47">
        <f t="shared" si="7"/>
        <v>93.373283000000001</v>
      </c>
      <c r="M127" s="133"/>
      <c r="N127" s="60">
        <f>L127*'Spectral Functions'!H125*'Spectral Functions'!D125</f>
        <v>2670.5333169310966</v>
      </c>
      <c r="O127" s="61">
        <f>'Spectral Functions'!H125*'Spectral Functions'!D125</f>
        <v>28.600614984600004</v>
      </c>
      <c r="P127" s="61">
        <f>L127*'Spectral Functions'!H125*'Spectral Functions'!F125</f>
        <v>43.730827591279549</v>
      </c>
      <c r="Q127" s="62">
        <f>'Spectral Functions'!H125*'Spectral Functions'!F125</f>
        <v>0.46834411500000006</v>
      </c>
      <c r="R127" s="31"/>
      <c r="S127" s="60">
        <f>L127*'Spectral Functions'!I125*'Spectral Functions'!D125</f>
        <v>4226.378065003184</v>
      </c>
      <c r="T127" s="61">
        <f>'Spectral Functions'!I125*'Spectral Functions'!D125</f>
        <v>45.263247999999997</v>
      </c>
      <c r="U127" s="61">
        <f>L127*'Spectral Functions'!I125*'Spectral Functions'!F125</f>
        <v>69.20827735959999</v>
      </c>
      <c r="V127" s="62">
        <f>'Spectral Functions'!I125*'Spectral Functions'!F125</f>
        <v>0.74119999999999997</v>
      </c>
      <c r="W127" s="31"/>
      <c r="X127" s="60">
        <f>L127*'Spectral Functions'!J125*'Spectral Functions'!D125</f>
        <v>4553.0833046897906</v>
      </c>
      <c r="Y127" s="61">
        <f>'Spectral Functions'!J125*'Spectral Functions'!D125</f>
        <v>48.762163634000004</v>
      </c>
      <c r="Z127" s="61">
        <f>L127*'Spectral Functions'!J125*'Spectral Functions'!F125</f>
        <v>74.558178976375558</v>
      </c>
      <c r="AA127" s="62">
        <f>'Spectral Functions'!J125*'Spectral Functions'!F125</f>
        <v>0.79849585000000001</v>
      </c>
      <c r="AB127" s="31"/>
      <c r="AC127" s="60">
        <f>L127*'Spectral Functions'!K125*'Spectral Functions'!D125</f>
        <v>2736.8905601825768</v>
      </c>
      <c r="AD127" s="61">
        <f>'Spectral Functions'!K125*'Spectral Functions'!D125</f>
        <v>29.311281259999998</v>
      </c>
      <c r="AE127" s="61">
        <f>L127*'Spectral Functions'!K125*'Spectral Functions'!F125</f>
        <v>44.817448434264499</v>
      </c>
      <c r="AF127" s="62">
        <f>'Spectral Functions'!K125*'Spectral Functions'!F125</f>
        <v>0.47998149999999995</v>
      </c>
      <c r="AG127" s="31"/>
    </row>
    <row r="128" spans="1:33">
      <c r="A128" s="42">
        <v>626</v>
      </c>
      <c r="B128" s="31"/>
      <c r="C128" s="157">
        <v>93.646037000000007</v>
      </c>
      <c r="D128" s="47">
        <f t="shared" si="4"/>
        <v>93.646037000000007</v>
      </c>
      <c r="E128" s="31"/>
      <c r="F128" s="157">
        <v>93.646037000000007</v>
      </c>
      <c r="G128" s="47">
        <f t="shared" si="5"/>
        <v>93.646037000000007</v>
      </c>
      <c r="H128" s="31"/>
      <c r="I128" s="157">
        <v>93.646037000000007</v>
      </c>
      <c r="J128" s="47">
        <f t="shared" si="6"/>
        <v>93.646037000000007</v>
      </c>
      <c r="K128" s="54"/>
      <c r="L128" s="47">
        <f t="shared" si="7"/>
        <v>93.646037000000021</v>
      </c>
      <c r="M128" s="133"/>
      <c r="N128" s="60">
        <f>L128*'Spectral Functions'!H126*'Spectral Functions'!D126</f>
        <v>2463.827343859949</v>
      </c>
      <c r="O128" s="61">
        <f>'Spectral Functions'!H126*'Spectral Functions'!D126</f>
        <v>26.3100011788</v>
      </c>
      <c r="P128" s="61">
        <f>L128*'Spectral Functions'!H126*'Spectral Functions'!F126</f>
        <v>36.980747135954019</v>
      </c>
      <c r="Q128" s="62">
        <f>'Spectral Functions'!H126*'Spectral Functions'!F126</f>
        <v>0.39489922180000003</v>
      </c>
      <c r="R128" s="31"/>
      <c r="S128" s="60">
        <f>L128*'Spectral Functions'!I126*'Spectral Functions'!D126</f>
        <v>2723.0181125895647</v>
      </c>
      <c r="T128" s="61">
        <f>'Spectral Functions'!I126*'Spectral Functions'!D126</f>
        <v>29.077772</v>
      </c>
      <c r="U128" s="61">
        <f>L128*'Spectral Functions'!I126*'Spectral Functions'!F126</f>
        <v>40.871063680354013</v>
      </c>
      <c r="V128" s="62">
        <f>'Spectral Functions'!I126*'Spectral Functions'!F126</f>
        <v>0.43644200000000005</v>
      </c>
      <c r="W128" s="31"/>
      <c r="X128" s="60">
        <f>L128*'Spectral Functions'!J126*'Spectral Functions'!D126</f>
        <v>4286.0594774937681</v>
      </c>
      <c r="Y128" s="61">
        <f>'Spectral Functions'!J126*'Spectral Functions'!D126</f>
        <v>45.768722466</v>
      </c>
      <c r="Z128" s="61">
        <f>L128*'Spectral Functions'!J126*'Spectral Functions'!F126</f>
        <v>64.331489031426997</v>
      </c>
      <c r="AA128" s="62">
        <f>'Spectral Functions'!J126*'Spectral Functions'!F126</f>
        <v>0.68696435100000008</v>
      </c>
      <c r="AB128" s="31"/>
      <c r="AC128" s="60">
        <f>L128*'Spectral Functions'!K126*'Spectral Functions'!D126</f>
        <v>2550.656859718204</v>
      </c>
      <c r="AD128" s="61">
        <f>'Spectral Functions'!K126*'Spectral Functions'!D126</f>
        <v>27.237210900000001</v>
      </c>
      <c r="AE128" s="61">
        <f>L128*'Spectral Functions'!K126*'Spectral Functions'!F126</f>
        <v>38.284012309097562</v>
      </c>
      <c r="AF128" s="62">
        <f>'Spectral Functions'!K126*'Spectral Functions'!F126</f>
        <v>0.40881615000000004</v>
      </c>
      <c r="AG128" s="31"/>
    </row>
    <row r="129" spans="1:33">
      <c r="A129" s="42">
        <v>628</v>
      </c>
      <c r="B129" s="31"/>
      <c r="C129" s="157">
        <v>93.529591999999994</v>
      </c>
      <c r="D129" s="47">
        <f t="shared" si="4"/>
        <v>93.529591999999994</v>
      </c>
      <c r="E129" s="31"/>
      <c r="F129" s="157">
        <v>93.529591999999994</v>
      </c>
      <c r="G129" s="47">
        <f t="shared" si="5"/>
        <v>93.529591999999994</v>
      </c>
      <c r="H129" s="31"/>
      <c r="I129" s="157">
        <v>93.529591999999994</v>
      </c>
      <c r="J129" s="47">
        <f t="shared" si="6"/>
        <v>93.529591999999994</v>
      </c>
      <c r="K129" s="54"/>
      <c r="L129" s="47">
        <f t="shared" si="7"/>
        <v>93.529591999999994</v>
      </c>
      <c r="M129" s="133"/>
      <c r="N129" s="60">
        <f>L129*'Spectral Functions'!H127*'Spectral Functions'!D127</f>
        <v>2256.1946071236057</v>
      </c>
      <c r="O129" s="61">
        <f>'Spectral Functions'!H127*'Spectral Functions'!D127</f>
        <v>24.122788936399999</v>
      </c>
      <c r="P129" s="61">
        <f>L129*'Spectral Functions'!H127*'Spectral Functions'!F127</f>
        <v>31.403170644940452</v>
      </c>
      <c r="Q129" s="62">
        <f>'Spectral Functions'!H127*'Spectral Functions'!F127</f>
        <v>0.33575652340000001</v>
      </c>
      <c r="R129" s="31"/>
      <c r="S129" s="60">
        <f>L129*'Spectral Functions'!I127*'Spectral Functions'!D127</f>
        <v>1045.395775696272</v>
      </c>
      <c r="T129" s="61">
        <f>'Spectral Functions'!I127*'Spectral Functions'!D127</f>
        <v>11.177166</v>
      </c>
      <c r="U129" s="61">
        <f>L129*'Spectral Functions'!I127*'Spectral Functions'!F127</f>
        <v>14.550492157032</v>
      </c>
      <c r="V129" s="62">
        <f>'Spectral Functions'!I127*'Spectral Functions'!F127</f>
        <v>0.15557100000000001</v>
      </c>
      <c r="W129" s="31"/>
      <c r="X129" s="60">
        <f>L129*'Spectral Functions'!J127*'Spectral Functions'!D127</f>
        <v>4004.616361473632</v>
      </c>
      <c r="Y129" s="61">
        <f>'Spectral Functions'!J127*'Spectral Functions'!D127</f>
        <v>42.816570412000004</v>
      </c>
      <c r="Z129" s="61">
        <f>L129*'Spectral Functions'!J127*'Spectral Functions'!F127</f>
        <v>55.738831468622223</v>
      </c>
      <c r="AA129" s="62">
        <f>'Spectral Functions'!J127*'Spectral Functions'!F127</f>
        <v>0.59594862199999998</v>
      </c>
      <c r="AB129" s="31"/>
      <c r="AC129" s="60">
        <f>L129*'Spectral Functions'!K127*'Spectral Functions'!D127</f>
        <v>2359.3778506868166</v>
      </c>
      <c r="AD129" s="61">
        <f>'Spectral Functions'!K127*'Spectral Functions'!D127</f>
        <v>25.22600388</v>
      </c>
      <c r="AE129" s="61">
        <f>L129*'Spectral Functions'!K127*'Spectral Functions'!F127</f>
        <v>32.839341529793757</v>
      </c>
      <c r="AF129" s="62">
        <f>'Spectral Functions'!K127*'Spectral Functions'!F127</f>
        <v>0.35111178000000004</v>
      </c>
      <c r="AG129" s="31"/>
    </row>
    <row r="130" spans="1:33">
      <c r="A130" s="42">
        <v>630</v>
      </c>
      <c r="B130" s="31"/>
      <c r="C130" s="157">
        <v>93.196393999999998</v>
      </c>
      <c r="D130" s="47">
        <f t="shared" si="4"/>
        <v>93.196393999999998</v>
      </c>
      <c r="E130" s="31"/>
      <c r="F130" s="157">
        <v>93.196393999999998</v>
      </c>
      <c r="G130" s="47">
        <f t="shared" si="5"/>
        <v>93.196393999999998</v>
      </c>
      <c r="H130" s="31"/>
      <c r="I130" s="157">
        <v>93.196393999999998</v>
      </c>
      <c r="J130" s="47">
        <f t="shared" si="6"/>
        <v>93.196393999999998</v>
      </c>
      <c r="K130" s="54"/>
      <c r="L130" s="47">
        <f t="shared" si="7"/>
        <v>93.196393999999998</v>
      </c>
      <c r="M130" s="133"/>
      <c r="N130" s="60">
        <f>L130*'Spectral Functions'!H128*'Spectral Functions'!D128</f>
        <v>2056.9822530467263</v>
      </c>
      <c r="O130" s="61">
        <f>'Spectral Functions'!H128*'Spectral Functions'!D128</f>
        <v>22.071479</v>
      </c>
      <c r="P130" s="61">
        <f>L130*'Spectral Functions'!H128*'Spectral Functions'!F128</f>
        <v>25.731683656037344</v>
      </c>
      <c r="Q130" s="62">
        <f>'Spectral Functions'!H128*'Spectral Functions'!F128</f>
        <v>0.27610170899999997</v>
      </c>
      <c r="R130" s="31"/>
      <c r="S130" s="60">
        <f>L130*'Spectral Functions'!I128*'Spectral Functions'!D128</f>
        <v>419.84975497000005</v>
      </c>
      <c r="T130" s="61">
        <f>'Spectral Functions'!I128*'Spectral Functions'!D128</f>
        <v>4.5049999999999999</v>
      </c>
      <c r="U130" s="61">
        <f>L130*'Spectral Functions'!I128*'Spectral Functions'!F128</f>
        <v>5.2520827838699997</v>
      </c>
      <c r="V130" s="62">
        <f>'Spectral Functions'!I128*'Spectral Functions'!F128</f>
        <v>5.6354999999999995E-2</v>
      </c>
      <c r="W130" s="31"/>
      <c r="X130" s="60">
        <f>L130*'Spectral Functions'!J128*'Spectral Functions'!D128</f>
        <v>3725.2033906267602</v>
      </c>
      <c r="Y130" s="61">
        <f>'Spectral Functions'!J128*'Spectral Functions'!D128</f>
        <v>39.971540000000005</v>
      </c>
      <c r="Z130" s="61">
        <f>L130*'Spectral Functions'!J128*'Spectral Functions'!F128</f>
        <v>46.600185811047957</v>
      </c>
      <c r="AA130" s="62">
        <f>'Spectral Functions'!J128*'Spectral Functions'!F128</f>
        <v>0.50002133999999998</v>
      </c>
      <c r="AB130" s="31"/>
      <c r="AC130" s="60">
        <f>L130*'Spectral Functions'!K128*'Spectral Functions'!D128</f>
        <v>2173.33990808</v>
      </c>
      <c r="AD130" s="61">
        <f>'Spectral Functions'!K128*'Spectral Functions'!D128</f>
        <v>23.32</v>
      </c>
      <c r="AE130" s="61">
        <f>L130*'Spectral Functions'!K128*'Spectral Functions'!F128</f>
        <v>27.187252057679995</v>
      </c>
      <c r="AF130" s="62">
        <f>'Spectral Functions'!K128*'Spectral Functions'!F128</f>
        <v>0.29171999999999998</v>
      </c>
      <c r="AG130" s="31"/>
    </row>
    <row r="131" spans="1:33">
      <c r="A131" s="42">
        <v>632</v>
      </c>
      <c r="B131" s="31"/>
      <c r="C131" s="157">
        <v>93.770420000000001</v>
      </c>
      <c r="D131" s="47">
        <f t="shared" si="4"/>
        <v>93.770420000000001</v>
      </c>
      <c r="E131" s="31"/>
      <c r="F131" s="157">
        <v>93.770420000000001</v>
      </c>
      <c r="G131" s="47">
        <f t="shared" si="5"/>
        <v>93.770420000000001</v>
      </c>
      <c r="H131" s="31"/>
      <c r="I131" s="157">
        <v>93.770420000000001</v>
      </c>
      <c r="J131" s="47">
        <f t="shared" si="6"/>
        <v>93.770420000000001</v>
      </c>
      <c r="K131" s="54"/>
      <c r="L131" s="47">
        <f t="shared" si="7"/>
        <v>93.770420000000001</v>
      </c>
      <c r="M131" s="133"/>
      <c r="N131" s="60">
        <f>L131*'Spectral Functions'!H129*'Spectral Functions'!D129</f>
        <v>1914.4779132890137</v>
      </c>
      <c r="O131" s="61">
        <f>'Spectral Functions'!H129*'Spectral Functions'!D129</f>
        <v>20.416650723</v>
      </c>
      <c r="P131" s="61">
        <f>L131*'Spectral Functions'!H129*'Spectral Functions'!F129</f>
        <v>22.632257580839131</v>
      </c>
      <c r="Q131" s="62">
        <f>'Spectral Functions'!H129*'Spectral Functions'!F129</f>
        <v>0.24135817649999999</v>
      </c>
      <c r="R131" s="31"/>
      <c r="S131" s="60">
        <f>L131*'Spectral Functions'!I129*'Spectral Functions'!D129</f>
        <v>229.63438153800001</v>
      </c>
      <c r="T131" s="61">
        <f>'Spectral Functions'!I129*'Spectral Functions'!D129</f>
        <v>2.4489000000000001</v>
      </c>
      <c r="U131" s="61">
        <f>L131*'Spectral Functions'!I129*'Spectral Functions'!F129</f>
        <v>2.7146536590000001</v>
      </c>
      <c r="V131" s="62">
        <f>'Spectral Functions'!I129*'Spectral Functions'!F129</f>
        <v>2.895E-2</v>
      </c>
      <c r="W131" s="31"/>
      <c r="X131" s="60">
        <f>L131*'Spectral Functions'!J129*'Spectral Functions'!D129</f>
        <v>3496.6656911172795</v>
      </c>
      <c r="Y131" s="61">
        <f>'Spectral Functions'!J129*'Spectral Functions'!D129</f>
        <v>37.289645189999995</v>
      </c>
      <c r="Z131" s="61">
        <f>L131*'Spectral Functions'!J129*'Spectral Functions'!F129</f>
        <v>41.336302730958899</v>
      </c>
      <c r="AA131" s="62">
        <f>'Spectral Functions'!J129*'Spectral Functions'!F129</f>
        <v>0.44082454499999996</v>
      </c>
      <c r="AB131" s="31"/>
      <c r="AC131" s="60">
        <f>L131*'Spectral Functions'!K129*'Spectral Functions'!D129</f>
        <v>2019.4047512451721</v>
      </c>
      <c r="AD131" s="61">
        <f>'Spectral Functions'!K129*'Spectral Functions'!D129</f>
        <v>21.535626600000001</v>
      </c>
      <c r="AE131" s="61">
        <f>L131*'Spectral Functions'!K129*'Spectral Functions'!F129</f>
        <v>23.872664277245999</v>
      </c>
      <c r="AF131" s="62">
        <f>'Spectral Functions'!K129*'Spectral Functions'!F129</f>
        <v>0.25458629999999999</v>
      </c>
      <c r="AG131" s="31"/>
    </row>
    <row r="132" spans="1:33">
      <c r="A132" s="42">
        <v>634</v>
      </c>
      <c r="B132" s="31"/>
      <c r="C132" s="157">
        <v>93.931573999999998</v>
      </c>
      <c r="D132" s="47">
        <f t="shared" si="4"/>
        <v>93.931573999999998</v>
      </c>
      <c r="E132" s="31"/>
      <c r="F132" s="157">
        <v>93.931573999999998</v>
      </c>
      <c r="G132" s="47">
        <f t="shared" si="5"/>
        <v>93.931573999999998</v>
      </c>
      <c r="H132" s="31"/>
      <c r="I132" s="157">
        <v>93.931573999999998</v>
      </c>
      <c r="J132" s="47">
        <f t="shared" si="6"/>
        <v>93.931573999999998</v>
      </c>
      <c r="K132" s="54"/>
      <c r="L132" s="47">
        <f t="shared" si="7"/>
        <v>93.931573999999998</v>
      </c>
      <c r="M132" s="133"/>
      <c r="N132" s="60">
        <f>L132*'Spectral Functions'!H130*'Spectral Functions'!D130</f>
        <v>1771.9962052693386</v>
      </c>
      <c r="O132" s="61">
        <f>'Spectral Functions'!H130*'Spectral Functions'!D130</f>
        <v>18.864755798400001</v>
      </c>
      <c r="P132" s="61">
        <f>L132*'Spectral Functions'!H130*'Spectral Functions'!F130</f>
        <v>19.244383768126177</v>
      </c>
      <c r="Q132" s="62">
        <f>'Spectral Functions'!H130*'Spectral Functions'!F130</f>
        <v>0.20487662400000001</v>
      </c>
      <c r="R132" s="31"/>
      <c r="S132" s="60">
        <f>L132*'Spectral Functions'!I130*'Spectral Functions'!D130</f>
        <v>63.700542292265993</v>
      </c>
      <c r="T132" s="61">
        <f>'Spectral Functions'!I130*'Spectral Functions'!D130</f>
        <v>0.67815899999999996</v>
      </c>
      <c r="U132" s="61">
        <f>L132*'Spectral Functions'!I130*'Spectral Functions'!F130</f>
        <v>0.69180604251</v>
      </c>
      <c r="V132" s="62">
        <f>'Spectral Functions'!I130*'Spectral Functions'!F130</f>
        <v>7.365E-3</v>
      </c>
      <c r="W132" s="31"/>
      <c r="X132" s="60">
        <f>L132*'Spectral Functions'!J130*'Spectral Functions'!D130</f>
        <v>3263.6760508301513</v>
      </c>
      <c r="Y132" s="61">
        <f>'Spectral Functions'!J130*'Spectral Functions'!D130</f>
        <v>34.745250312000003</v>
      </c>
      <c r="Z132" s="61">
        <f>L132*'Spectral Functions'!J130*'Spectral Functions'!F130</f>
        <v>35.44445198598568</v>
      </c>
      <c r="AA132" s="62">
        <f>'Spectral Functions'!J130*'Spectral Functions'!F130</f>
        <v>0.37734332000000004</v>
      </c>
      <c r="AB132" s="31"/>
      <c r="AC132" s="60">
        <f>L132*'Spectral Functions'!K130*'Spectral Functions'!D130</f>
        <v>1866.2135540224194</v>
      </c>
      <c r="AD132" s="61">
        <f>'Spectral Functions'!K130*'Spectral Functions'!D130</f>
        <v>19.86779817</v>
      </c>
      <c r="AE132" s="61">
        <f>L132*'Spectral Functions'!K130*'Spectral Functions'!F130</f>
        <v>20.267611025401298</v>
      </c>
      <c r="AF132" s="62">
        <f>'Spectral Functions'!K130*'Spectral Functions'!F130</f>
        <v>0.21576995000000002</v>
      </c>
      <c r="AG132" s="31"/>
    </row>
    <row r="133" spans="1:33">
      <c r="A133" s="42">
        <v>636</v>
      </c>
      <c r="B133" s="31"/>
      <c r="C133" s="157">
        <v>92.609662999999998</v>
      </c>
      <c r="D133" s="47">
        <f t="shared" si="4"/>
        <v>92.609662999999998</v>
      </c>
      <c r="E133" s="31"/>
      <c r="F133" s="157">
        <v>92.609662999999998</v>
      </c>
      <c r="G133" s="47">
        <f t="shared" si="5"/>
        <v>92.609662999999998</v>
      </c>
      <c r="H133" s="31"/>
      <c r="I133" s="157">
        <v>92.609662999999998</v>
      </c>
      <c r="J133" s="47">
        <f t="shared" si="6"/>
        <v>92.609662999999998</v>
      </c>
      <c r="K133" s="54"/>
      <c r="L133" s="47">
        <f t="shared" si="7"/>
        <v>92.609662999999998</v>
      </c>
      <c r="M133" s="133"/>
      <c r="N133" s="60">
        <f>L133*'Spectral Functions'!H131*'Spectral Functions'!D131</f>
        <v>1610.3720813388302</v>
      </c>
      <c r="O133" s="61">
        <f>'Spectral Functions'!H131*'Spectral Functions'!D131</f>
        <v>17.38881267</v>
      </c>
      <c r="P133" s="61">
        <f>L133*'Spectral Functions'!H131*'Spectral Functions'!F131</f>
        <v>16.145341290697331</v>
      </c>
      <c r="Q133" s="62">
        <f>'Spectral Functions'!H131*'Spectral Functions'!F131</f>
        <v>0.17433754499999998</v>
      </c>
      <c r="R133" s="31"/>
      <c r="S133" s="60">
        <f>L133*'Spectral Functions'!I131*'Spectral Functions'!D131</f>
        <v>19.277812669406</v>
      </c>
      <c r="T133" s="61">
        <f>'Spectral Functions'!I131*'Spectral Functions'!D131</f>
        <v>0.20816200000000001</v>
      </c>
      <c r="U133" s="61">
        <f>L133*'Spectral Functions'!I131*'Spectral Functions'!F131</f>
        <v>0.19327636668099998</v>
      </c>
      <c r="V133" s="62">
        <f>'Spectral Functions'!I131*'Spectral Functions'!F131</f>
        <v>2.0869999999999999E-3</v>
      </c>
      <c r="W133" s="31"/>
      <c r="X133" s="60">
        <f>L133*'Spectral Functions'!J131*'Spectral Functions'!D131</f>
        <v>2990.605635030292</v>
      </c>
      <c r="Y133" s="61">
        <f>'Spectral Functions'!J131*'Spectral Functions'!D131</f>
        <v>32.292587384000001</v>
      </c>
      <c r="Z133" s="61">
        <f>L133*'Spectral Functions'!J131*'Spectral Functions'!F131</f>
        <v>29.983349315956893</v>
      </c>
      <c r="AA133" s="62">
        <f>'Spectral Functions'!J131*'Spectral Functions'!F131</f>
        <v>0.32376048400000002</v>
      </c>
      <c r="AB133" s="31"/>
      <c r="AC133" s="60">
        <f>L133*'Spectral Functions'!K131*'Spectral Functions'!D131</f>
        <v>1693.555843007317</v>
      </c>
      <c r="AD133" s="61">
        <f>'Spectral Functions'!K131*'Spectral Functions'!D131</f>
        <v>18.2870317</v>
      </c>
      <c r="AE133" s="61">
        <f>L133*'Spectral Functions'!K131*'Spectral Functions'!F131</f>
        <v>16.979328812925846</v>
      </c>
      <c r="AF133" s="62">
        <f>'Spectral Functions'!K131*'Spectral Functions'!F131</f>
        <v>0.18334294999999998</v>
      </c>
      <c r="AG133" s="31"/>
    </row>
    <row r="134" spans="1:33">
      <c r="A134" s="42">
        <v>638</v>
      </c>
      <c r="B134" s="31"/>
      <c r="C134" s="157">
        <v>93.048799000000002</v>
      </c>
      <c r="D134" s="47">
        <f t="shared" ref="D134:D197" si="8">IF(C134&lt;0,0,IF(C134&gt;100,100,C134))</f>
        <v>93.048799000000002</v>
      </c>
      <c r="E134" s="31"/>
      <c r="F134" s="157">
        <v>93.048799000000002</v>
      </c>
      <c r="G134" s="47">
        <f t="shared" ref="G134:G197" si="9">IF(F134&lt;0,0,IF(F134&gt;100,100,F134))</f>
        <v>93.048799000000002</v>
      </c>
      <c r="H134" s="31"/>
      <c r="I134" s="157">
        <v>93.048799000000002</v>
      </c>
      <c r="J134" s="47">
        <f t="shared" ref="J134:J197" si="10">IF(I134&lt;0,0,IF(I134&gt;100,100,I134))</f>
        <v>93.048799000000002</v>
      </c>
      <c r="K134" s="54"/>
      <c r="L134" s="47">
        <f t="shared" ref="L134:L197" si="11">(D134+G134+J134)/3</f>
        <v>93.048798999999988</v>
      </c>
      <c r="M134" s="133"/>
      <c r="N134" s="60">
        <f>L134*'Spectral Functions'!H132*'Spectral Functions'!D132</f>
        <v>1487.2758825580972</v>
      </c>
      <c r="O134" s="61">
        <f>'Spectral Functions'!H132*'Spectral Functions'!D132</f>
        <v>15.983826750499999</v>
      </c>
      <c r="P134" s="61">
        <f>L134*'Spectral Functions'!H132*'Spectral Functions'!F132</f>
        <v>13.942603549706314</v>
      </c>
      <c r="Q134" s="62">
        <f>'Spectral Functions'!H132*'Spectral Functions'!F132</f>
        <v>0.14984184319999999</v>
      </c>
      <c r="R134" s="31"/>
      <c r="S134" s="60">
        <f>L134*'Spectral Functions'!I132*'Spectral Functions'!D132</f>
        <v>71.146972691379986</v>
      </c>
      <c r="T134" s="61">
        <f>'Spectral Functions'!I132*'Spectral Functions'!D132</f>
        <v>0.76461999999999997</v>
      </c>
      <c r="U134" s="61">
        <f>L134*'Spectral Functions'!I132*'Spectral Functions'!F132</f>
        <v>0.66697379123199996</v>
      </c>
      <c r="V134" s="62">
        <f>'Spectral Functions'!I132*'Spectral Functions'!F132</f>
        <v>7.1679999999999999E-3</v>
      </c>
      <c r="W134" s="31"/>
      <c r="X134" s="60">
        <f>L134*'Spectral Functions'!J132*'Spectral Functions'!D132</f>
        <v>2784.656937654267</v>
      </c>
      <c r="Y134" s="61">
        <f>'Spectral Functions'!J132*'Spectral Functions'!D132</f>
        <v>29.926844489999997</v>
      </c>
      <c r="Z134" s="61">
        <f>L134*'Spectral Functions'!J132*'Spectral Functions'!F132</f>
        <v>26.105020701924861</v>
      </c>
      <c r="AA134" s="62">
        <f>'Spectral Functions'!J132*'Spectral Functions'!F132</f>
        <v>0.280551936</v>
      </c>
      <c r="AB134" s="31"/>
      <c r="AC134" s="60">
        <f>L134*'Spectral Functions'!K132*'Spectral Functions'!D132</f>
        <v>1562.0317854392476</v>
      </c>
      <c r="AD134" s="61">
        <f>'Spectral Functions'!K132*'Spectral Functions'!D132</f>
        <v>16.787232099999997</v>
      </c>
      <c r="AE134" s="61">
        <f>L134*'Spectral Functions'!K132*'Spectral Functions'!F132</f>
        <v>14.643409586498557</v>
      </c>
      <c r="AF134" s="62">
        <f>'Spectral Functions'!K132*'Spectral Functions'!F132</f>
        <v>0.15737343999999998</v>
      </c>
      <c r="AG134" s="31"/>
    </row>
    <row r="135" spans="1:33">
      <c r="A135" s="42">
        <v>640</v>
      </c>
      <c r="B135" s="31"/>
      <c r="C135" s="157">
        <v>93.514827999999994</v>
      </c>
      <c r="D135" s="47">
        <f t="shared" si="8"/>
        <v>93.514827999999994</v>
      </c>
      <c r="E135" s="31"/>
      <c r="F135" s="157">
        <v>93.514827999999994</v>
      </c>
      <c r="G135" s="47">
        <f t="shared" si="9"/>
        <v>93.514827999999994</v>
      </c>
      <c r="H135" s="31"/>
      <c r="I135" s="157">
        <v>93.514827999999994</v>
      </c>
      <c r="J135" s="47">
        <f t="shared" si="10"/>
        <v>93.514827999999994</v>
      </c>
      <c r="K135" s="54"/>
      <c r="L135" s="47">
        <f t="shared" si="11"/>
        <v>93.514828000000009</v>
      </c>
      <c r="M135" s="133"/>
      <c r="N135" s="60">
        <f>L135*'Spectral Functions'!H133*'Spectral Functions'!D133</f>
        <v>1369.7453510540802</v>
      </c>
      <c r="O135" s="61">
        <f>'Spectral Functions'!H133*'Spectral Functions'!D133</f>
        <v>14.647359999999999</v>
      </c>
      <c r="P135" s="61">
        <f>L135*'Spectral Functions'!H133*'Spectral Functions'!F133</f>
        <v>11.717193088731189</v>
      </c>
      <c r="Q135" s="62">
        <f>'Spectral Functions'!H133*'Spectral Functions'!F133</f>
        <v>0.12529770240000002</v>
      </c>
      <c r="R135" s="31"/>
      <c r="S135" s="60">
        <f>L135*'Spectral Functions'!I133*'Spectral Functions'!D133</f>
        <v>98.190569400000001</v>
      </c>
      <c r="T135" s="61">
        <f>'Spectral Functions'!I133*'Spectral Functions'!D133</f>
        <v>1.0499999999999998</v>
      </c>
      <c r="U135" s="61">
        <f>L135*'Spectral Functions'!I133*'Spectral Functions'!F133</f>
        <v>0.83995018509600006</v>
      </c>
      <c r="V135" s="62">
        <f>'Spectral Functions'!I133*'Spectral Functions'!F133</f>
        <v>8.9820000000000004E-3</v>
      </c>
      <c r="W135" s="31"/>
      <c r="X135" s="60">
        <f>L135*'Spectral Functions'!J133*'Spectral Functions'!D133</f>
        <v>2585.3413272071002</v>
      </c>
      <c r="Y135" s="61">
        <f>'Spectral Functions'!J133*'Spectral Functions'!D133</f>
        <v>27.646325000000001</v>
      </c>
      <c r="Z135" s="61">
        <f>L135*'Spectral Functions'!J133*'Spectral Functions'!F133</f>
        <v>22.115748381880167</v>
      </c>
      <c r="AA135" s="62">
        <f>'Spectral Functions'!J133*'Spectral Functions'!F133</f>
        <v>0.23649456300000002</v>
      </c>
      <c r="AB135" s="31"/>
      <c r="AC135" s="60">
        <f>L135*'Spectral Functions'!K133*'Spectral Functions'!D133</f>
        <v>1436.85533222</v>
      </c>
      <c r="AD135" s="61">
        <f>'Spectral Functions'!K133*'Spectral Functions'!D133</f>
        <v>15.364999999999998</v>
      </c>
      <c r="AE135" s="61">
        <f>L135*'Spectral Functions'!K133*'Spectral Functions'!F133</f>
        <v>12.291271041904801</v>
      </c>
      <c r="AF135" s="62">
        <f>'Spectral Functions'!K133*'Spectral Functions'!F133</f>
        <v>0.13143660000000001</v>
      </c>
      <c r="AG135" s="31"/>
    </row>
    <row r="136" spans="1:33">
      <c r="A136" s="42">
        <v>642</v>
      </c>
      <c r="B136" s="31"/>
      <c r="C136" s="157">
        <v>94.165863999999999</v>
      </c>
      <c r="D136" s="47">
        <f t="shared" si="8"/>
        <v>94.165863999999999</v>
      </c>
      <c r="E136" s="31"/>
      <c r="F136" s="157">
        <v>94.165863999999999</v>
      </c>
      <c r="G136" s="47">
        <f t="shared" si="9"/>
        <v>94.165863999999999</v>
      </c>
      <c r="H136" s="31"/>
      <c r="I136" s="157">
        <v>94.165863999999999</v>
      </c>
      <c r="J136" s="47">
        <f t="shared" si="10"/>
        <v>94.165863999999999</v>
      </c>
      <c r="K136" s="54"/>
      <c r="L136" s="47">
        <f t="shared" si="11"/>
        <v>94.165863999999999</v>
      </c>
      <c r="M136" s="133"/>
      <c r="N136" s="60">
        <f>L136*'Spectral Functions'!H134*'Spectral Functions'!D134</f>
        <v>1247.2252204195497</v>
      </c>
      <c r="O136" s="61">
        <f>'Spectral Functions'!H134*'Spectral Functions'!D134</f>
        <v>13.2449824962</v>
      </c>
      <c r="P136" s="61">
        <f>L136*'Spectral Functions'!H134*'Spectral Functions'!F134</f>
        <v>10.156175454101039</v>
      </c>
      <c r="Q136" s="62">
        <f>'Spectral Functions'!H134*'Spectral Functions'!F134</f>
        <v>0.10785410999999999</v>
      </c>
      <c r="R136" s="31"/>
      <c r="S136" s="60">
        <f>L136*'Spectral Functions'!I134*'Spectral Functions'!D134</f>
        <v>120.26562819315201</v>
      </c>
      <c r="T136" s="61">
        <f>'Spectral Functions'!I134*'Spectral Functions'!D134</f>
        <v>1.2771680000000001</v>
      </c>
      <c r="U136" s="61">
        <f>L136*'Spectral Functions'!I134*'Spectral Functions'!F134</f>
        <v>0.97932498559999992</v>
      </c>
      <c r="V136" s="62">
        <f>'Spectral Functions'!I134*'Spectral Functions'!F134</f>
        <v>1.04E-2</v>
      </c>
      <c r="W136" s="31"/>
      <c r="X136" s="60">
        <f>L136*'Spectral Functions'!J134*'Spectral Functions'!D134</f>
        <v>2396.2475421379813</v>
      </c>
      <c r="Y136" s="61">
        <f>'Spectral Functions'!J134*'Spectral Functions'!D134</f>
        <v>25.447093462000002</v>
      </c>
      <c r="Z136" s="61">
        <f>L136*'Spectral Functions'!J134*'Spectral Functions'!F134</f>
        <v>19.512683091210398</v>
      </c>
      <c r="AA136" s="62">
        <f>'Spectral Functions'!J134*'Spectral Functions'!F134</f>
        <v>0.20721609999999999</v>
      </c>
      <c r="AB136" s="31"/>
      <c r="AC136" s="60">
        <f>L136*'Spectral Functions'!K134*'Spectral Functions'!D134</f>
        <v>1321.1179257017748</v>
      </c>
      <c r="AD136" s="61">
        <f>'Spectral Functions'!K134*'Spectral Functions'!D134</f>
        <v>14.029690479999999</v>
      </c>
      <c r="AE136" s="61">
        <f>L136*'Spectral Functions'!K134*'Spectral Functions'!F134</f>
        <v>10.757884966816</v>
      </c>
      <c r="AF136" s="62">
        <f>'Spectral Functions'!K134*'Spectral Functions'!F134</f>
        <v>0.11424399999999998</v>
      </c>
      <c r="AG136" s="31"/>
    </row>
    <row r="137" spans="1:33">
      <c r="A137" s="42">
        <v>644</v>
      </c>
      <c r="B137" s="31"/>
      <c r="C137" s="157">
        <v>93.990161000000001</v>
      </c>
      <c r="D137" s="47">
        <f t="shared" si="8"/>
        <v>93.990161000000001</v>
      </c>
      <c r="E137" s="31"/>
      <c r="F137" s="157">
        <v>93.990161000000001</v>
      </c>
      <c r="G137" s="47">
        <f t="shared" si="9"/>
        <v>93.990161000000001</v>
      </c>
      <c r="H137" s="31"/>
      <c r="I137" s="157">
        <v>93.990161000000001</v>
      </c>
      <c r="J137" s="47">
        <f t="shared" si="10"/>
        <v>93.990161000000001</v>
      </c>
      <c r="K137" s="54"/>
      <c r="L137" s="47">
        <f t="shared" si="11"/>
        <v>93.990161000000001</v>
      </c>
      <c r="M137" s="133"/>
      <c r="N137" s="60">
        <f>L137*'Spectral Functions'!H135*'Spectral Functions'!D135</f>
        <v>1121.6541444208888</v>
      </c>
      <c r="O137" s="61">
        <f>'Spectral Functions'!H135*'Spectral Functions'!D135</f>
        <v>11.933740005200001</v>
      </c>
      <c r="P137" s="61">
        <f>L137*'Spectral Functions'!H135*'Spectral Functions'!F135</f>
        <v>8.5017127107684196</v>
      </c>
      <c r="Q137" s="62">
        <f>'Spectral Functions'!H135*'Spectral Functions'!F135</f>
        <v>9.0453220000000001E-2</v>
      </c>
      <c r="R137" s="31"/>
      <c r="S137" s="60">
        <f>L137*'Spectral Functions'!I135*'Spectral Functions'!D135</f>
        <v>122.763744947574</v>
      </c>
      <c r="T137" s="61">
        <f>'Spectral Functions'!I135*'Spectral Functions'!D135</f>
        <v>1.3061340000000001</v>
      </c>
      <c r="U137" s="61">
        <f>L137*'Spectral Functions'!I135*'Spectral Functions'!F135</f>
        <v>0.93050259390000001</v>
      </c>
      <c r="V137" s="62">
        <f>'Spectral Functions'!I135*'Spectral Functions'!F135</f>
        <v>9.9000000000000008E-3</v>
      </c>
      <c r="W137" s="31"/>
      <c r="X137" s="60">
        <f>L137*'Spectral Functions'!J135*'Spectral Functions'!D135</f>
        <v>2193.5289543071472</v>
      </c>
      <c r="Y137" s="61">
        <f>'Spectral Functions'!J135*'Spectral Functions'!D135</f>
        <v>23.337857186000001</v>
      </c>
      <c r="Z137" s="61">
        <f>L137*'Spectral Functions'!J135*'Spectral Functions'!F135</f>
        <v>16.626116958628103</v>
      </c>
      <c r="AA137" s="62">
        <f>'Spectral Functions'!J135*'Spectral Functions'!F135</f>
        <v>0.17689210000000002</v>
      </c>
      <c r="AB137" s="31"/>
      <c r="AC137" s="60">
        <f>L137*'Spectral Functions'!K135*'Spectral Functions'!D135</f>
        <v>1199.6745964599038</v>
      </c>
      <c r="AD137" s="61">
        <f>'Spectral Functions'!K135*'Spectral Functions'!D135</f>
        <v>12.763831700000001</v>
      </c>
      <c r="AE137" s="61">
        <f>L137*'Spectral Functions'!K135*'Spectral Functions'!F135</f>
        <v>9.0930781259450004</v>
      </c>
      <c r="AF137" s="62">
        <f>'Spectral Functions'!K135*'Spectral Functions'!F135</f>
        <v>9.6745000000000012E-2</v>
      </c>
      <c r="AG137" s="31"/>
    </row>
    <row r="138" spans="1:33">
      <c r="A138" s="42">
        <v>646</v>
      </c>
      <c r="B138" s="31"/>
      <c r="C138" s="157">
        <v>93.068520000000007</v>
      </c>
      <c r="D138" s="47">
        <f t="shared" si="8"/>
        <v>93.068520000000007</v>
      </c>
      <c r="E138" s="31"/>
      <c r="F138" s="157">
        <v>93.068520000000007</v>
      </c>
      <c r="G138" s="47">
        <f t="shared" si="9"/>
        <v>93.068520000000007</v>
      </c>
      <c r="H138" s="31"/>
      <c r="I138" s="157">
        <v>93.068520000000007</v>
      </c>
      <c r="J138" s="47">
        <f t="shared" si="10"/>
        <v>93.068520000000007</v>
      </c>
      <c r="K138" s="54"/>
      <c r="L138" s="47">
        <f t="shared" si="11"/>
        <v>93.068519999999992</v>
      </c>
      <c r="M138" s="133"/>
      <c r="N138" s="60">
        <f>L138*'Spectral Functions'!H136*'Spectral Functions'!D136</f>
        <v>997.38719422640406</v>
      </c>
      <c r="O138" s="61">
        <f>'Spectral Functions'!H136*'Spectral Functions'!D136</f>
        <v>10.716697700000001</v>
      </c>
      <c r="P138" s="61">
        <f>L138*'Spectral Functions'!H136*'Spectral Functions'!F136</f>
        <v>7.1220271891908231</v>
      </c>
      <c r="Q138" s="62">
        <f>'Spectral Functions'!H136*'Spectral Functions'!F136</f>
        <v>7.6524556199999996E-2</v>
      </c>
      <c r="R138" s="31"/>
      <c r="S138" s="60">
        <f>L138*'Spectral Functions'!I136*'Spectral Functions'!D136</f>
        <v>110.14659342</v>
      </c>
      <c r="T138" s="61">
        <f>'Spectral Functions'!I136*'Spectral Functions'!D136</f>
        <v>1.1835</v>
      </c>
      <c r="U138" s="61">
        <f>L138*'Spectral Functions'!I136*'Spectral Functions'!F136</f>
        <v>0.7865220625199999</v>
      </c>
      <c r="V138" s="62">
        <f>'Spectral Functions'!I136*'Spectral Functions'!F136</f>
        <v>8.4510000000000002E-3</v>
      </c>
      <c r="W138" s="31"/>
      <c r="X138" s="60">
        <f>L138*'Spectral Functions'!J136*'Spectral Functions'!D136</f>
        <v>1985.3433923539799</v>
      </c>
      <c r="Y138" s="61">
        <f>'Spectral Functions'!J136*'Spectral Functions'!D136</f>
        <v>21.332061500000002</v>
      </c>
      <c r="Z138" s="61">
        <f>L138*'Spectral Functions'!J136*'Spectral Functions'!F136</f>
        <v>14.176710611561878</v>
      </c>
      <c r="AA138" s="62">
        <f>'Spectral Functions'!J136*'Spectral Functions'!F136</f>
        <v>0.15232551899999999</v>
      </c>
      <c r="AB138" s="31"/>
      <c r="AC138" s="60">
        <f>L138*'Spectral Functions'!K136*'Spectral Functions'!D136</f>
        <v>1077.3560687514</v>
      </c>
      <c r="AD138" s="61">
        <f>'Spectral Functions'!K136*'Spectral Functions'!D136</f>
        <v>11.575945000000001</v>
      </c>
      <c r="AE138" s="61">
        <f>L138*'Spectral Functions'!K136*'Spectral Functions'!F136</f>
        <v>7.6930596848484001</v>
      </c>
      <c r="AF138" s="62">
        <f>'Spectral Functions'!K136*'Spectral Functions'!F136</f>
        <v>8.2660169999999991E-2</v>
      </c>
      <c r="AG138" s="31"/>
    </row>
    <row r="139" spans="1:33">
      <c r="A139" s="42">
        <v>648</v>
      </c>
      <c r="B139" s="31"/>
      <c r="C139" s="157">
        <v>94.664224000000004</v>
      </c>
      <c r="D139" s="47">
        <f t="shared" si="8"/>
        <v>94.664224000000004</v>
      </c>
      <c r="E139" s="31"/>
      <c r="F139" s="157">
        <v>94.664224000000004</v>
      </c>
      <c r="G139" s="47">
        <f t="shared" si="9"/>
        <v>94.664224000000004</v>
      </c>
      <c r="H139" s="31"/>
      <c r="I139" s="157">
        <v>94.664224000000004</v>
      </c>
      <c r="J139" s="47">
        <f t="shared" si="10"/>
        <v>94.664224000000004</v>
      </c>
      <c r="K139" s="54"/>
      <c r="L139" s="47">
        <f t="shared" si="11"/>
        <v>94.664224000000004</v>
      </c>
      <c r="M139" s="133"/>
      <c r="N139" s="60">
        <f>L139*'Spectral Functions'!H137*'Spectral Functions'!D137</f>
        <v>908.08989897359834</v>
      </c>
      <c r="O139" s="61">
        <f>'Spectral Functions'!H137*'Spectral Functions'!D137</f>
        <v>9.5927464527000001</v>
      </c>
      <c r="P139" s="61">
        <f>L139*'Spectral Functions'!H137*'Spectral Functions'!F137</f>
        <v>6.1773262813348104</v>
      </c>
      <c r="Q139" s="62">
        <f>'Spectral Functions'!H137*'Spectral Functions'!F137</f>
        <v>6.52551304E-2</v>
      </c>
      <c r="R139" s="31"/>
      <c r="S139" s="60">
        <f>L139*'Spectral Functions'!I137*'Spectral Functions'!D137</f>
        <v>78.708853037471997</v>
      </c>
      <c r="T139" s="61">
        <f>'Spectral Functions'!I137*'Spectral Functions'!D137</f>
        <v>0.831453</v>
      </c>
      <c r="U139" s="61">
        <f>L139*'Spectral Functions'!I137*'Spectral Functions'!F137</f>
        <v>0.53542085094400005</v>
      </c>
      <c r="V139" s="62">
        <f>'Spectral Functions'!I137*'Spectral Functions'!F137</f>
        <v>5.6560000000000004E-3</v>
      </c>
      <c r="W139" s="31"/>
      <c r="X139" s="60">
        <f>L139*'Spectral Functions'!J137*'Spectral Functions'!D137</f>
        <v>1839.8306838727706</v>
      </c>
      <c r="Y139" s="61">
        <f>'Spectral Functions'!J137*'Spectral Functions'!D137</f>
        <v>19.435332654</v>
      </c>
      <c r="Z139" s="61">
        <f>L139*'Spectral Functions'!J137*'Spectral Functions'!F137</f>
        <v>12.515538879508993</v>
      </c>
      <c r="AA139" s="62">
        <f>'Spectral Functions'!J137*'Spectral Functions'!F137</f>
        <v>0.13220980800000001</v>
      </c>
      <c r="AB139" s="31"/>
      <c r="AC139" s="60">
        <f>L139*'Spectral Functions'!K137*'Spectral Functions'!D137</f>
        <v>990.83201852314755</v>
      </c>
      <c r="AD139" s="61">
        <f>'Spectral Functions'!K137*'Spectral Functions'!D137</f>
        <v>10.46680548</v>
      </c>
      <c r="AE139" s="61">
        <f>L139*'Spectral Functions'!K137*'Spectral Functions'!F137</f>
        <v>6.7401836264550408</v>
      </c>
      <c r="AF139" s="62">
        <f>'Spectral Functions'!K137*'Spectral Functions'!F137</f>
        <v>7.1200960000000008E-2</v>
      </c>
      <c r="AG139" s="31"/>
    </row>
    <row r="140" spans="1:33">
      <c r="A140" s="42">
        <v>650</v>
      </c>
      <c r="B140" s="31"/>
      <c r="C140" s="157">
        <v>93.840883000000005</v>
      </c>
      <c r="D140" s="47">
        <f t="shared" si="8"/>
        <v>93.840883000000005</v>
      </c>
      <c r="E140" s="31"/>
      <c r="F140" s="157">
        <v>93.840883000000005</v>
      </c>
      <c r="G140" s="47">
        <f t="shared" si="9"/>
        <v>93.840883000000005</v>
      </c>
      <c r="H140" s="31"/>
      <c r="I140" s="157">
        <v>93.840883000000005</v>
      </c>
      <c r="J140" s="47">
        <f t="shared" si="10"/>
        <v>93.840883000000005</v>
      </c>
      <c r="K140" s="54"/>
      <c r="L140" s="47">
        <f t="shared" si="11"/>
        <v>93.840883000000005</v>
      </c>
      <c r="M140" s="133"/>
      <c r="N140" s="60">
        <f>L140*'Spectral Functions'!H138*'Spectral Functions'!D138</f>
        <v>803.54705659609078</v>
      </c>
      <c r="O140" s="61">
        <f>'Spectral Functions'!H138*'Spectral Functions'!D138</f>
        <v>8.5628675999999988</v>
      </c>
      <c r="P140" s="61">
        <f>L140*'Spectral Functions'!H138*'Spectral Functions'!F138</f>
        <v>5.0841248347247987</v>
      </c>
      <c r="Q140" s="62">
        <f>'Spectral Functions'!H138*'Spectral Functions'!F138</f>
        <v>5.4178143599999992E-2</v>
      </c>
      <c r="R140" s="31"/>
      <c r="S140" s="60">
        <f>L140*'Spectral Functions'!I138*'Spectral Functions'!D138</f>
        <v>50.204872405000003</v>
      </c>
      <c r="T140" s="61">
        <f>'Spectral Functions'!I138*'Spectral Functions'!D138</f>
        <v>0.53500000000000003</v>
      </c>
      <c r="U140" s="61">
        <f>L140*'Spectral Functions'!I138*'Spectral Functions'!F138</f>
        <v>0.317651388955</v>
      </c>
      <c r="V140" s="62">
        <f>'Spectral Functions'!I138*'Spectral Functions'!F138</f>
        <v>3.385E-3</v>
      </c>
      <c r="W140" s="31"/>
      <c r="X140" s="60">
        <f>L140*'Spectral Functions'!J138*'Spectral Functions'!D138</f>
        <v>1657.041936650468</v>
      </c>
      <c r="Y140" s="61">
        <f>'Spectral Functions'!J138*'Spectral Functions'!D138</f>
        <v>17.657995999999997</v>
      </c>
      <c r="Z140" s="61">
        <f>L140*'Spectral Functions'!J138*'Spectral Functions'!F138</f>
        <v>10.484274683293147</v>
      </c>
      <c r="AA140" s="62">
        <f>'Spectral Functions'!J138*'Spectral Functions'!F138</f>
        <v>0.11172395599999999</v>
      </c>
      <c r="AB140" s="31"/>
      <c r="AC140" s="60">
        <f>L140*'Spectral Functions'!K138*'Spectral Functions'!D138</f>
        <v>885.61394922419993</v>
      </c>
      <c r="AD140" s="61">
        <f>'Spectral Functions'!K138*'Spectral Functions'!D138</f>
        <v>9.4374000000000002</v>
      </c>
      <c r="AE140" s="61">
        <f>L140*'Spectral Functions'!K138*'Spectral Functions'!F138</f>
        <v>5.6033705011662001</v>
      </c>
      <c r="AF140" s="62">
        <f>'Spectral Functions'!K138*'Spectral Functions'!F138</f>
        <v>5.9711399999999998E-2</v>
      </c>
      <c r="AG140" s="31"/>
    </row>
    <row r="141" spans="1:33">
      <c r="A141" s="42">
        <v>652</v>
      </c>
      <c r="B141" s="31"/>
      <c r="C141" s="157">
        <v>92.794985999999994</v>
      </c>
      <c r="D141" s="47">
        <f t="shared" si="8"/>
        <v>92.794985999999994</v>
      </c>
      <c r="E141" s="31"/>
      <c r="F141" s="157">
        <v>92.794985999999994</v>
      </c>
      <c r="G141" s="47">
        <f t="shared" si="9"/>
        <v>92.794985999999994</v>
      </c>
      <c r="H141" s="31"/>
      <c r="I141" s="157">
        <v>92.794985999999994</v>
      </c>
      <c r="J141" s="47">
        <f t="shared" si="10"/>
        <v>92.794985999999994</v>
      </c>
      <c r="K141" s="54"/>
      <c r="L141" s="47">
        <f t="shared" si="11"/>
        <v>92.794985999999994</v>
      </c>
      <c r="M141" s="133"/>
      <c r="N141" s="60">
        <f>L141*'Spectral Functions'!H139*'Spectral Functions'!D139</f>
        <v>714.643377853218</v>
      </c>
      <c r="O141" s="61">
        <f>'Spectral Functions'!H139*'Spectral Functions'!D139</f>
        <v>7.7013145716000002</v>
      </c>
      <c r="P141" s="61">
        <f>L141*'Spectral Functions'!H139*'Spectral Functions'!F139</f>
        <v>4.383449177488056</v>
      </c>
      <c r="Q141" s="62">
        <f>'Spectral Functions'!H139*'Spectral Functions'!F139</f>
        <v>4.7237996000000004E-2</v>
      </c>
      <c r="R141" s="31"/>
      <c r="S141" s="60">
        <f>L141*'Spectral Functions'!I139*'Spectral Functions'!D139</f>
        <v>62.480998358477997</v>
      </c>
      <c r="T141" s="61">
        <f>'Spectral Functions'!I139*'Spectral Functions'!D139</f>
        <v>0.673323</v>
      </c>
      <c r="U141" s="61">
        <f>L141*'Spectral Functions'!I139*'Spectral Functions'!F139</f>
        <v>0.38324329217999997</v>
      </c>
      <c r="V141" s="62">
        <f>'Spectral Functions'!I139*'Spectral Functions'!F139</f>
        <v>4.13E-3</v>
      </c>
      <c r="W141" s="31"/>
      <c r="X141" s="60">
        <f>L141*'Spectral Functions'!J139*'Spectral Functions'!D139</f>
        <v>1485.4768101159061</v>
      </c>
      <c r="Y141" s="61">
        <f>'Spectral Functions'!J139*'Spectral Functions'!D139</f>
        <v>16.008158135999999</v>
      </c>
      <c r="Z141" s="61">
        <f>L141*'Spectral Functions'!J139*'Spectral Functions'!F139</f>
        <v>9.1115545225377605</v>
      </c>
      <c r="AA141" s="62">
        <f>'Spectral Functions'!J139*'Spectral Functions'!F139</f>
        <v>9.8190160000000012E-2</v>
      </c>
      <c r="AB141" s="31"/>
      <c r="AC141" s="60">
        <f>L141*'Spectral Functions'!K139*'Spectral Functions'!D139</f>
        <v>787.26057931682283</v>
      </c>
      <c r="AD141" s="61">
        <f>'Spectral Functions'!K139*'Spectral Functions'!D139</f>
        <v>8.4838698000000008</v>
      </c>
      <c r="AE141" s="61">
        <f>L141*'Spectral Functions'!K139*'Spectral Functions'!F139</f>
        <v>4.8288654814680001</v>
      </c>
      <c r="AF141" s="62">
        <f>'Spectral Functions'!K139*'Spectral Functions'!F139</f>
        <v>5.2038000000000001E-2</v>
      </c>
      <c r="AG141" s="31"/>
    </row>
    <row r="142" spans="1:33">
      <c r="A142" s="42">
        <v>654</v>
      </c>
      <c r="B142" s="31"/>
      <c r="C142" s="157">
        <v>92.979236</v>
      </c>
      <c r="D142" s="47">
        <f t="shared" si="8"/>
        <v>92.979236</v>
      </c>
      <c r="E142" s="31"/>
      <c r="F142" s="157">
        <v>92.979236</v>
      </c>
      <c r="G142" s="47">
        <f t="shared" si="9"/>
        <v>92.979236</v>
      </c>
      <c r="H142" s="31"/>
      <c r="I142" s="157">
        <v>92.979236</v>
      </c>
      <c r="J142" s="47">
        <f t="shared" si="10"/>
        <v>92.979236</v>
      </c>
      <c r="K142" s="54"/>
      <c r="L142" s="47">
        <f t="shared" si="11"/>
        <v>92.979236</v>
      </c>
      <c r="M142" s="133"/>
      <c r="N142" s="60">
        <f>L142*'Spectral Functions'!H140*'Spectral Functions'!D140</f>
        <v>642.48562848476172</v>
      </c>
      <c r="O142" s="61">
        <f>'Spectral Functions'!H140*'Spectral Functions'!D140</f>
        <v>6.9099904034999993</v>
      </c>
      <c r="P142" s="61">
        <f>L142*'Spectral Functions'!H140*'Spectral Functions'!F140</f>
        <v>3.7462501724666453</v>
      </c>
      <c r="Q142" s="62">
        <f>'Spectral Functions'!H140*'Spectral Functions'!F140</f>
        <v>4.02912557E-2</v>
      </c>
      <c r="R142" s="31"/>
      <c r="S142" s="60">
        <f>L142*'Spectral Functions'!I140*'Spectral Functions'!D140</f>
        <v>80.208537935400003</v>
      </c>
      <c r="T142" s="61">
        <f>'Spectral Functions'!I140*'Spectral Functions'!D140</f>
        <v>0.86264999999999992</v>
      </c>
      <c r="U142" s="61">
        <f>L142*'Spectral Functions'!I140*'Spectral Functions'!F140</f>
        <v>0.46768555707999998</v>
      </c>
      <c r="V142" s="62">
        <f>'Spectral Functions'!I140*'Spectral Functions'!F140</f>
        <v>5.0299999999999997E-3</v>
      </c>
      <c r="W142" s="31"/>
      <c r="X142" s="60">
        <f>L142*'Spectral Functions'!J140*'Spectral Functions'!D140</f>
        <v>1346.0276002167086</v>
      </c>
      <c r="Y142" s="61">
        <f>'Spectral Functions'!J140*'Spectral Functions'!D140</f>
        <v>14.47664724</v>
      </c>
      <c r="Z142" s="61">
        <f>L142*'Spectral Functions'!J140*'Spectral Functions'!F140</f>
        <v>7.8485119446937279</v>
      </c>
      <c r="AA142" s="62">
        <f>'Spectral Functions'!J140*'Spectral Functions'!F140</f>
        <v>8.4411448E-2</v>
      </c>
      <c r="AB142" s="31"/>
      <c r="AC142" s="60">
        <f>L142*'Spectral Functions'!K140*'Spectral Functions'!D140</f>
        <v>707.43930459022795</v>
      </c>
      <c r="AD142" s="61">
        <f>'Spectral Functions'!K140*'Spectral Functions'!D140</f>
        <v>7.6085729999999998</v>
      </c>
      <c r="AE142" s="61">
        <f>L142*'Spectral Functions'!K140*'Spectral Functions'!F140</f>
        <v>4.1249866134455999</v>
      </c>
      <c r="AF142" s="62">
        <f>'Spectral Functions'!K140*'Spectral Functions'!F140</f>
        <v>4.4364599999999997E-2</v>
      </c>
      <c r="AG142" s="31"/>
    </row>
    <row r="143" spans="1:33">
      <c r="A143" s="42">
        <v>656</v>
      </c>
      <c r="B143" s="31"/>
      <c r="C143" s="157">
        <v>93.085481000000001</v>
      </c>
      <c r="D143" s="47">
        <f t="shared" si="8"/>
        <v>93.085481000000001</v>
      </c>
      <c r="E143" s="31"/>
      <c r="F143" s="157">
        <v>93.085481000000001</v>
      </c>
      <c r="G143" s="47">
        <f t="shared" si="9"/>
        <v>93.085481000000001</v>
      </c>
      <c r="H143" s="31"/>
      <c r="I143" s="157">
        <v>93.085481000000001</v>
      </c>
      <c r="J143" s="47">
        <f t="shared" si="10"/>
        <v>93.085481000000001</v>
      </c>
      <c r="K143" s="54"/>
      <c r="L143" s="47">
        <f t="shared" si="11"/>
        <v>93.085481000000001</v>
      </c>
      <c r="M143" s="133"/>
      <c r="N143" s="60">
        <f>L143*'Spectral Functions'!H141*'Spectral Functions'!D141</f>
        <v>575.30907934661798</v>
      </c>
      <c r="O143" s="61">
        <f>'Spectral Functions'!H141*'Spectral Functions'!D141</f>
        <v>6.1804383794999991</v>
      </c>
      <c r="P143" s="61">
        <f>L143*'Spectral Functions'!H141*'Spectral Functions'!F141</f>
        <v>3.2077242789777847</v>
      </c>
      <c r="Q143" s="62">
        <f>'Spectral Functions'!H141*'Spectral Functions'!F141</f>
        <v>3.4459984999999999E-2</v>
      </c>
      <c r="R143" s="31"/>
      <c r="S143" s="60">
        <f>L143*'Spectral Functions'!I141*'Spectral Functions'!D141</f>
        <v>71.788453802009997</v>
      </c>
      <c r="T143" s="61">
        <f>'Spectral Functions'!I141*'Spectral Functions'!D141</f>
        <v>0.77120999999999995</v>
      </c>
      <c r="U143" s="61">
        <f>L143*'Spectral Functions'!I141*'Spectral Functions'!F141</f>
        <v>0.40026756829999999</v>
      </c>
      <c r="V143" s="62">
        <f>'Spectral Functions'!I141*'Spectral Functions'!F141</f>
        <v>4.3E-3</v>
      </c>
      <c r="W143" s="31"/>
      <c r="X143" s="60">
        <f>L143*'Spectral Functions'!J141*'Spectral Functions'!D141</f>
        <v>1214.6821748661498</v>
      </c>
      <c r="Y143" s="61">
        <f>'Spectral Functions'!J141*'Spectral Functions'!D141</f>
        <v>13.049104563</v>
      </c>
      <c r="Z143" s="61">
        <f>L143*'Spectral Functions'!J141*'Spectral Functions'!F141</f>
        <v>6.7726473359064903</v>
      </c>
      <c r="AA143" s="62">
        <f>'Spectral Functions'!J141*'Spectral Functions'!F141</f>
        <v>7.2757290000000002E-2</v>
      </c>
      <c r="AB143" s="31"/>
      <c r="AC143" s="60">
        <f>L143*'Spectral Functions'!K141*'Spectral Functions'!D141</f>
        <v>632.74343181091615</v>
      </c>
      <c r="AD143" s="61">
        <f>'Spectral Functions'!K141*'Spectral Functions'!D141</f>
        <v>6.7974449399999992</v>
      </c>
      <c r="AE143" s="61">
        <f>L143*'Spectral Functions'!K141*'Spectral Functions'!F141</f>
        <v>3.5279583469961997</v>
      </c>
      <c r="AF143" s="62">
        <f>'Spectral Functions'!K141*'Spectral Functions'!F141</f>
        <v>3.7900200000000002E-2</v>
      </c>
      <c r="AG143" s="31"/>
    </row>
    <row r="144" spans="1:33">
      <c r="A144" s="42">
        <v>658</v>
      </c>
      <c r="B144" s="31"/>
      <c r="C144" s="157">
        <v>93.597361000000006</v>
      </c>
      <c r="D144" s="47">
        <f t="shared" si="8"/>
        <v>93.597361000000006</v>
      </c>
      <c r="E144" s="31"/>
      <c r="F144" s="157">
        <v>93.597361000000006</v>
      </c>
      <c r="G144" s="47">
        <f t="shared" si="9"/>
        <v>93.597361000000006</v>
      </c>
      <c r="H144" s="31"/>
      <c r="I144" s="157">
        <v>93.597361000000006</v>
      </c>
      <c r="J144" s="47">
        <f t="shared" si="10"/>
        <v>93.597361000000006</v>
      </c>
      <c r="K144" s="54"/>
      <c r="L144" s="47">
        <f t="shared" si="11"/>
        <v>93.597361000000021</v>
      </c>
      <c r="M144" s="133"/>
      <c r="N144" s="60">
        <f>L144*'Spectral Functions'!H142*'Spectral Functions'!D142</f>
        <v>515.62427416215291</v>
      </c>
      <c r="O144" s="61">
        <f>'Spectral Functions'!H142*'Spectral Functions'!D142</f>
        <v>5.5089616699999997</v>
      </c>
      <c r="P144" s="61">
        <f>L144*'Spectral Functions'!H142*'Spectral Functions'!F142</f>
        <v>2.7841159323847879</v>
      </c>
      <c r="Q144" s="62">
        <f>'Spectral Functions'!H142*'Spectral Functions'!F142</f>
        <v>2.9745667000000003E-2</v>
      </c>
      <c r="R144" s="31"/>
      <c r="S144" s="60">
        <f>L144*'Spectral Functions'!I142*'Spectral Functions'!D142</f>
        <v>45.017522720170007</v>
      </c>
      <c r="T144" s="61">
        <f>'Spectral Functions'!I142*'Spectral Functions'!D142</f>
        <v>0.48096999999999995</v>
      </c>
      <c r="U144" s="61">
        <f>L144*'Spectral Functions'!I142*'Spectral Functions'!F142</f>
        <v>0.24307234651700008</v>
      </c>
      <c r="V144" s="62">
        <f>'Spectral Functions'!I142*'Spectral Functions'!F142</f>
        <v>2.5970000000000003E-3</v>
      </c>
      <c r="W144" s="31"/>
      <c r="X144" s="60">
        <f>L144*'Spectral Functions'!J142*'Spectral Functions'!D142</f>
        <v>1097.0513043918459</v>
      </c>
      <c r="Y144" s="61">
        <f>'Spectral Functions'!J142*'Spectral Functions'!D142</f>
        <v>11.72096406</v>
      </c>
      <c r="Z144" s="61">
        <f>L144*'Spectral Functions'!J142*'Spectral Functions'!F142</f>
        <v>5.9235341861355684</v>
      </c>
      <c r="AA144" s="62">
        <f>'Spectral Functions'!J142*'Spectral Functions'!F142</f>
        <v>6.3287406000000004E-2</v>
      </c>
      <c r="AB144" s="31"/>
      <c r="AC144" s="60">
        <f>L144*'Spectral Functions'!K142*'Spectral Functions'!D142</f>
        <v>566.06319283276628</v>
      </c>
      <c r="AD144" s="61">
        <f>'Spectral Functions'!K142*'Spectral Functions'!D142</f>
        <v>6.0478541999999988</v>
      </c>
      <c r="AE144" s="61">
        <f>L144*'Spectral Functions'!K142*'Spectral Functions'!F142</f>
        <v>3.0564611343466206</v>
      </c>
      <c r="AF144" s="62">
        <f>'Spectral Functions'!K142*'Spectral Functions'!F142</f>
        <v>3.2655419999999998E-2</v>
      </c>
      <c r="AG144" s="31"/>
    </row>
    <row r="145" spans="1:33">
      <c r="A145" s="42">
        <v>660</v>
      </c>
      <c r="B145" s="31"/>
      <c r="C145" s="157">
        <v>94.131265999999997</v>
      </c>
      <c r="D145" s="47">
        <f t="shared" si="8"/>
        <v>94.131265999999997</v>
      </c>
      <c r="E145" s="31"/>
      <c r="F145" s="157">
        <v>94.131265999999997</v>
      </c>
      <c r="G145" s="47">
        <f t="shared" si="9"/>
        <v>94.131265999999997</v>
      </c>
      <c r="H145" s="31"/>
      <c r="I145" s="157">
        <v>94.131265999999997</v>
      </c>
      <c r="J145" s="47">
        <f t="shared" si="10"/>
        <v>94.131265999999997</v>
      </c>
      <c r="K145" s="54"/>
      <c r="L145" s="47">
        <f t="shared" si="11"/>
        <v>94.131265999999997</v>
      </c>
      <c r="M145" s="133"/>
      <c r="N145" s="60">
        <f>L145*'Spectral Functions'!H143*'Spectral Functions'!D143</f>
        <v>460.59281283069959</v>
      </c>
      <c r="O145" s="61">
        <f>'Spectral Functions'!H143*'Spectral Functions'!D143</f>
        <v>4.8930905999999998</v>
      </c>
      <c r="P145" s="61">
        <f>L145*'Spectral Functions'!H143*'Spectral Functions'!F143</f>
        <v>2.3633696789509671</v>
      </c>
      <c r="Q145" s="62">
        <f>'Spectral Functions'!H143*'Spectral Functions'!F143</f>
        <v>2.5107169800000002E-2</v>
      </c>
      <c r="R145" s="31"/>
      <c r="S145" s="60">
        <f>L145*'Spectral Functions'!I143*'Spectral Functions'!D143</f>
        <v>28.710036129999999</v>
      </c>
      <c r="T145" s="61">
        <f>'Spectral Functions'!I143*'Spectral Functions'!D143</f>
        <v>0.30499999999999999</v>
      </c>
      <c r="U145" s="61">
        <f>L145*'Spectral Functions'!I143*'Spectral Functions'!F143</f>
        <v>0.14731543128999999</v>
      </c>
      <c r="V145" s="62">
        <f>'Spectral Functions'!I143*'Spectral Functions'!F143</f>
        <v>1.565E-3</v>
      </c>
      <c r="W145" s="31"/>
      <c r="X145" s="60">
        <f>L145*'Spectral Functions'!J143*'Spectral Functions'!D143</f>
        <v>987.41278860463797</v>
      </c>
      <c r="Y145" s="61">
        <f>'Spectral Functions'!J143*'Spectral Functions'!D143</f>
        <v>10.489742999999999</v>
      </c>
      <c r="Z145" s="61">
        <f>L145*'Spectral Functions'!J143*'Spectral Functions'!F143</f>
        <v>5.0665607021844545</v>
      </c>
      <c r="AA145" s="62">
        <f>'Spectral Functions'!J143*'Spectral Functions'!F143</f>
        <v>5.3824418999999998E-2</v>
      </c>
      <c r="AB145" s="31"/>
      <c r="AC145" s="60">
        <f>L145*'Spectral Functions'!K143*'Spectral Functions'!D143</f>
        <v>504.72243516540004</v>
      </c>
      <c r="AD145" s="61">
        <f>'Spectral Functions'!K143*'Spectral Functions'!D143</f>
        <v>5.3619000000000003</v>
      </c>
      <c r="AE145" s="61">
        <f>L145*'Spectral Functions'!K143*'Spectral Functions'!F143</f>
        <v>2.5898052820782005</v>
      </c>
      <c r="AF145" s="62">
        <f>'Spectral Functions'!K143*'Spectral Functions'!F143</f>
        <v>2.7512700000000005E-2</v>
      </c>
      <c r="AG145" s="31"/>
    </row>
    <row r="146" spans="1:33">
      <c r="A146" s="42">
        <v>662</v>
      </c>
      <c r="B146" s="31"/>
      <c r="C146" s="157">
        <v>94.588493999999997</v>
      </c>
      <c r="D146" s="47">
        <f t="shared" si="8"/>
        <v>94.588493999999997</v>
      </c>
      <c r="E146" s="31"/>
      <c r="F146" s="157">
        <v>94.588493999999997</v>
      </c>
      <c r="G146" s="47">
        <f t="shared" si="9"/>
        <v>94.588493999999997</v>
      </c>
      <c r="H146" s="31"/>
      <c r="I146" s="157">
        <v>94.588493999999997</v>
      </c>
      <c r="J146" s="47">
        <f t="shared" si="10"/>
        <v>94.588493999999997</v>
      </c>
      <c r="K146" s="54"/>
      <c r="L146" s="47">
        <f t="shared" si="11"/>
        <v>94.588494000000011</v>
      </c>
      <c r="M146" s="133"/>
      <c r="N146" s="60">
        <f>L146*'Spectral Functions'!H144*'Spectral Functions'!D144</f>
        <v>411.48270462153266</v>
      </c>
      <c r="O146" s="61">
        <f>'Spectral Functions'!H144*'Spectral Functions'!D144</f>
        <v>4.350240576</v>
      </c>
      <c r="P146" s="61">
        <f>L146*'Spectral Functions'!H144*'Spectral Functions'!F144</f>
        <v>2.0896350860216835</v>
      </c>
      <c r="Q146" s="62">
        <f>'Spectral Functions'!H144*'Spectral Functions'!F144</f>
        <v>2.2091852799999999E-2</v>
      </c>
      <c r="R146" s="31"/>
      <c r="S146" s="60">
        <f>L146*'Spectral Functions'!I144*'Spectral Functions'!D144</f>
        <v>35.724655356390009</v>
      </c>
      <c r="T146" s="61">
        <f>'Spectral Functions'!I144*'Spectral Functions'!D144</f>
        <v>0.37768500000000005</v>
      </c>
      <c r="U146" s="61">
        <f>L146*'Spectral Functions'!I144*'Spectral Functions'!F144</f>
        <v>0.18142073149200003</v>
      </c>
      <c r="V146" s="62">
        <f>'Spectral Functions'!I144*'Spectral Functions'!F144</f>
        <v>1.918E-3</v>
      </c>
      <c r="W146" s="31"/>
      <c r="X146" s="60">
        <f>L146*'Spectral Functions'!J144*'Spectral Functions'!D144</f>
        <v>884.61901945712316</v>
      </c>
      <c r="Y146" s="61">
        <f>'Spectral Functions'!J144*'Spectral Functions'!D144</f>
        <v>9.3522899250000009</v>
      </c>
      <c r="Z146" s="61">
        <f>L146*'Spectral Functions'!J144*'Spectral Functions'!F144</f>
        <v>4.4923660704522606</v>
      </c>
      <c r="AA146" s="62">
        <f>'Spectral Functions'!J144*'Spectral Functions'!F144</f>
        <v>4.7493790000000001E-2</v>
      </c>
      <c r="AB146" s="31"/>
      <c r="AC146" s="60">
        <f>L146*'Spectral Functions'!K144*'Spectral Functions'!D144</f>
        <v>447.2216498400652</v>
      </c>
      <c r="AD146" s="61">
        <f>'Spectral Functions'!K144*'Spectral Functions'!D144</f>
        <v>4.7280766500000002</v>
      </c>
      <c r="AE146" s="61">
        <f>L146*'Spectral Functions'!K144*'Spectral Functions'!F144</f>
        <v>2.2711283858062803</v>
      </c>
      <c r="AF146" s="62">
        <f>'Spectral Functions'!K144*'Spectral Functions'!F144</f>
        <v>2.4010619999999996E-2</v>
      </c>
      <c r="AG146" s="31"/>
    </row>
    <row r="147" spans="1:33">
      <c r="A147" s="42">
        <v>664</v>
      </c>
      <c r="B147" s="31"/>
      <c r="C147" s="157">
        <v>94.602743000000004</v>
      </c>
      <c r="D147" s="47">
        <f t="shared" si="8"/>
        <v>94.602743000000004</v>
      </c>
      <c r="E147" s="31"/>
      <c r="F147" s="157">
        <v>94.602743000000004</v>
      </c>
      <c r="G147" s="47">
        <f t="shared" si="9"/>
        <v>94.602743000000004</v>
      </c>
      <c r="H147" s="31"/>
      <c r="I147" s="157">
        <v>94.602743000000004</v>
      </c>
      <c r="J147" s="47">
        <f t="shared" si="10"/>
        <v>94.602743000000004</v>
      </c>
      <c r="K147" s="54"/>
      <c r="L147" s="47">
        <f t="shared" si="11"/>
        <v>94.60274299999999</v>
      </c>
      <c r="M147" s="133"/>
      <c r="N147" s="60">
        <f>L147*'Spectral Functions'!H145*'Spectral Functions'!D145</f>
        <v>364.54667938279306</v>
      </c>
      <c r="O147" s="61">
        <f>'Spectral Functions'!H145*'Spectral Functions'!D145</f>
        <v>3.8534472450000004</v>
      </c>
      <c r="P147" s="61">
        <f>L147*'Spectral Functions'!H145*'Spectral Functions'!F145</f>
        <v>1.7939836587922937</v>
      </c>
      <c r="Q147" s="62">
        <f>'Spectral Functions'!H145*'Spectral Functions'!F145</f>
        <v>1.8963336600000002E-2</v>
      </c>
      <c r="R147" s="31"/>
      <c r="S147" s="60">
        <f>L147*'Spectral Functions'!I145*'Spectral Functions'!D145</f>
        <v>44.983604296499998</v>
      </c>
      <c r="T147" s="61">
        <f>'Spectral Functions'!I145*'Spectral Functions'!D145</f>
        <v>0.47550000000000003</v>
      </c>
      <c r="U147" s="61">
        <f>L147*'Spectral Functions'!I145*'Spectral Functions'!F145</f>
        <v>0.22137041861999995</v>
      </c>
      <c r="V147" s="62">
        <f>'Spectral Functions'!I145*'Spectral Functions'!F145</f>
        <v>2.3400000000000001E-3</v>
      </c>
      <c r="W147" s="31"/>
      <c r="X147" s="60">
        <f>L147*'Spectral Functions'!J145*'Spectral Functions'!D145</f>
        <v>785.87256378071424</v>
      </c>
      <c r="Y147" s="61">
        <f>'Spectral Functions'!J145*'Spectral Functions'!D145</f>
        <v>8.3070801000000003</v>
      </c>
      <c r="Z147" s="61">
        <f>L147*'Spectral Functions'!J145*'Spectral Functions'!F145</f>
        <v>3.8673854873751234</v>
      </c>
      <c r="AA147" s="62">
        <f>'Spectral Functions'!J145*'Spectral Functions'!F145</f>
        <v>4.0880267999999997E-2</v>
      </c>
      <c r="AB147" s="31"/>
      <c r="AC147" s="60">
        <f>L147*'Spectral Functions'!K145*'Spectral Functions'!D145</f>
        <v>392.97676713422396</v>
      </c>
      <c r="AD147" s="61">
        <f>'Spectral Functions'!K145*'Spectral Functions'!D145</f>
        <v>4.1539679999999999</v>
      </c>
      <c r="AE147" s="61">
        <f>L147*'Spectral Functions'!K145*'Spectral Functions'!F145</f>
        <v>1.9338919770643197</v>
      </c>
      <c r="AF147" s="62">
        <f>'Spectral Functions'!K145*'Spectral Functions'!F145</f>
        <v>2.044224E-2</v>
      </c>
      <c r="AG147" s="31"/>
    </row>
    <row r="148" spans="1:33">
      <c r="A148" s="42">
        <v>666</v>
      </c>
      <c r="B148" s="31"/>
      <c r="C148" s="157">
        <v>95.062461999999996</v>
      </c>
      <c r="D148" s="47">
        <f t="shared" si="8"/>
        <v>95.062461999999996</v>
      </c>
      <c r="E148" s="31"/>
      <c r="F148" s="157">
        <v>95.062461999999996</v>
      </c>
      <c r="G148" s="47">
        <f t="shared" si="9"/>
        <v>95.062461999999996</v>
      </c>
      <c r="H148" s="31"/>
      <c r="I148" s="157">
        <v>95.062461999999996</v>
      </c>
      <c r="J148" s="47">
        <f t="shared" si="10"/>
        <v>95.062461999999996</v>
      </c>
      <c r="K148" s="54"/>
      <c r="L148" s="47">
        <f t="shared" si="11"/>
        <v>95.062461999999996</v>
      </c>
      <c r="M148" s="133"/>
      <c r="N148" s="60">
        <f>L148*'Spectral Functions'!H146*'Spectral Functions'!D146</f>
        <v>323.34307669447071</v>
      </c>
      <c r="O148" s="61">
        <f>'Spectral Functions'!H146*'Spectral Functions'!D146</f>
        <v>3.4013749474999999</v>
      </c>
      <c r="P148" s="61">
        <f>L148*'Spectral Functions'!H146*'Spectral Functions'!F146</f>
        <v>1.5563581123970551</v>
      </c>
      <c r="Q148" s="62">
        <f>'Spectral Functions'!H146*'Spectral Functions'!F146</f>
        <v>1.6371952500000002E-2</v>
      </c>
      <c r="R148" s="31"/>
      <c r="S148" s="60">
        <f>L148*'Spectral Functions'!I146*'Spectral Functions'!D146</f>
        <v>51.606273558553994</v>
      </c>
      <c r="T148" s="61">
        <f>'Spectral Functions'!I146*'Spectral Functions'!D146</f>
        <v>0.54286699999999999</v>
      </c>
      <c r="U148" s="61">
        <f>L148*'Spectral Functions'!I146*'Spectral Functions'!F146</f>
        <v>0.24839821320599997</v>
      </c>
      <c r="V148" s="62">
        <f>'Spectral Functions'!I146*'Spectral Functions'!F146</f>
        <v>2.6129999999999999E-3</v>
      </c>
      <c r="W148" s="31"/>
      <c r="X148" s="60">
        <f>L148*'Spectral Functions'!J146*'Spectral Functions'!D146</f>
        <v>698.91964165689944</v>
      </c>
      <c r="Y148" s="61">
        <f>'Spectral Functions'!J146*'Spectral Functions'!D146</f>
        <v>7.3522148169999992</v>
      </c>
      <c r="Z148" s="61">
        <f>L148*'Spectral Functions'!J146*'Spectral Functions'!F146</f>
        <v>3.3641334316683063</v>
      </c>
      <c r="AA148" s="62">
        <f>'Spectral Functions'!J146*'Spectral Functions'!F146</f>
        <v>3.5388663000000001E-2</v>
      </c>
      <c r="AB148" s="31"/>
      <c r="AC148" s="60">
        <f>L148*'Spectral Functions'!K146*'Spectral Functions'!D146</f>
        <v>345.52385004127234</v>
      </c>
      <c r="AD148" s="61">
        <f>'Spectral Functions'!K146*'Spectral Functions'!D146</f>
        <v>3.63470336</v>
      </c>
      <c r="AE148" s="61">
        <f>L148*'Spectral Functions'!K146*'Spectral Functions'!F146</f>
        <v>1.6631215751884803</v>
      </c>
      <c r="AF148" s="62">
        <f>'Spectral Functions'!K146*'Spectral Functions'!F146</f>
        <v>1.7495040000000003E-2</v>
      </c>
      <c r="AG148" s="31"/>
    </row>
    <row r="149" spans="1:33">
      <c r="A149" s="42">
        <v>668</v>
      </c>
      <c r="B149" s="31"/>
      <c r="C149" s="157">
        <v>94.432390999999996</v>
      </c>
      <c r="D149" s="47">
        <f t="shared" si="8"/>
        <v>94.432390999999996</v>
      </c>
      <c r="E149" s="31"/>
      <c r="F149" s="157">
        <v>94.432390999999996</v>
      </c>
      <c r="G149" s="47">
        <f t="shared" si="9"/>
        <v>94.432390999999996</v>
      </c>
      <c r="H149" s="31"/>
      <c r="I149" s="157">
        <v>94.432390999999996</v>
      </c>
      <c r="J149" s="47">
        <f t="shared" si="10"/>
        <v>94.432390999999996</v>
      </c>
      <c r="K149" s="54"/>
      <c r="L149" s="47">
        <f t="shared" si="11"/>
        <v>94.432390999999996</v>
      </c>
      <c r="M149" s="133"/>
      <c r="N149" s="60">
        <f>L149*'Spectral Functions'!H147*'Spectral Functions'!D147</f>
        <v>282.66628651364618</v>
      </c>
      <c r="O149" s="61">
        <f>'Spectral Functions'!H147*'Spectral Functions'!D147</f>
        <v>2.9933191728000001</v>
      </c>
      <c r="P149" s="61">
        <f>L149*'Spectral Functions'!H147*'Spectral Functions'!F147</f>
        <v>1.35287715074631</v>
      </c>
      <c r="Q149" s="62">
        <f>'Spectral Functions'!H147*'Spectral Functions'!F147</f>
        <v>1.4326409999999999E-2</v>
      </c>
      <c r="R149" s="31"/>
      <c r="S149" s="60">
        <f>L149*'Spectral Functions'!I147*'Spectral Functions'!D147</f>
        <v>62.150867001431997</v>
      </c>
      <c r="T149" s="61">
        <f>'Spectral Functions'!I147*'Spectral Functions'!D147</f>
        <v>0.65815199999999996</v>
      </c>
      <c r="U149" s="61">
        <f>L149*'Spectral Functions'!I147*'Spectral Functions'!F147</f>
        <v>0.29746203165000001</v>
      </c>
      <c r="V149" s="62">
        <f>'Spectral Functions'!I147*'Spectral Functions'!F147</f>
        <v>3.15E-3</v>
      </c>
      <c r="W149" s="31"/>
      <c r="X149" s="60">
        <f>L149*'Spectral Functions'!J147*'Spectral Functions'!D147</f>
        <v>612.59692625150353</v>
      </c>
      <c r="Y149" s="61">
        <f>'Spectral Functions'!J147*'Spectral Functions'!D147</f>
        <v>6.4871483159999999</v>
      </c>
      <c r="Z149" s="61">
        <f>L149*'Spectral Functions'!J147*'Spectral Functions'!F147</f>
        <v>2.931967566295075</v>
      </c>
      <c r="AA149" s="62">
        <f>'Spectral Functions'!J147*'Spectral Functions'!F147</f>
        <v>3.1048325000000002E-2</v>
      </c>
      <c r="AB149" s="31"/>
      <c r="AC149" s="60">
        <f>L149*'Spectral Functions'!K147*'Spectral Functions'!D147</f>
        <v>299.25642461189506</v>
      </c>
      <c r="AD149" s="61">
        <f>'Spectral Functions'!K147*'Spectral Functions'!D147</f>
        <v>3.1690018800000002</v>
      </c>
      <c r="AE149" s="61">
        <f>L149*'Spectral Functions'!K147*'Spectral Functions'!F147</f>
        <v>1.4322796823947499</v>
      </c>
      <c r="AF149" s="62">
        <f>'Spectral Functions'!K147*'Spectral Functions'!F147</f>
        <v>1.516725E-2</v>
      </c>
      <c r="AG149" s="31"/>
    </row>
    <row r="150" spans="1:33">
      <c r="A150" s="42">
        <v>670</v>
      </c>
      <c r="B150" s="31"/>
      <c r="C150" s="157">
        <v>94.482320999999999</v>
      </c>
      <c r="D150" s="47">
        <f t="shared" si="8"/>
        <v>94.482320999999999</v>
      </c>
      <c r="E150" s="31"/>
      <c r="F150" s="157">
        <v>94.482320999999999</v>
      </c>
      <c r="G150" s="47">
        <f t="shared" si="9"/>
        <v>94.482320999999999</v>
      </c>
      <c r="H150" s="31"/>
      <c r="I150" s="157">
        <v>94.482320999999999</v>
      </c>
      <c r="J150" s="47">
        <f t="shared" si="10"/>
        <v>94.482320999999999</v>
      </c>
      <c r="K150" s="54"/>
      <c r="L150" s="47">
        <f t="shared" si="11"/>
        <v>94.482320999999999</v>
      </c>
      <c r="M150" s="133"/>
      <c r="N150" s="60">
        <f>L150*'Spectral Functions'!H148*'Spectral Functions'!D148</f>
        <v>248.76152034476161</v>
      </c>
      <c r="O150" s="61">
        <f>'Spectral Functions'!H148*'Spectral Functions'!D148</f>
        <v>2.6328895999999999</v>
      </c>
      <c r="P150" s="61">
        <f>L150*'Spectral Functions'!H148*'Spectral Functions'!F148</f>
        <v>1.1505220315945224</v>
      </c>
      <c r="Q150" s="62">
        <f>'Spectral Functions'!H148*'Spectral Functions'!F148</f>
        <v>1.2177114399999999E-2</v>
      </c>
      <c r="R150" s="31"/>
      <c r="S150" s="60">
        <f>L150*'Spectral Functions'!I148*'Spectral Functions'!D148</f>
        <v>69.538988255999996</v>
      </c>
      <c r="T150" s="61">
        <f>'Spectral Functions'!I148*'Spectral Functions'!D148</f>
        <v>0.73599999999999999</v>
      </c>
      <c r="U150" s="61">
        <f>L150*'Spectral Functions'!I148*'Spectral Functions'!F148</f>
        <v>0.32161782068399997</v>
      </c>
      <c r="V150" s="62">
        <f>'Spectral Functions'!I148*'Spectral Functions'!F148</f>
        <v>3.4039999999999999E-3</v>
      </c>
      <c r="W150" s="31"/>
      <c r="X150" s="60">
        <f>L150*'Spectral Functions'!J148*'Spectral Functions'!D148</f>
        <v>540.49632137116805</v>
      </c>
      <c r="Y150" s="61">
        <f>'Spectral Functions'!J148*'Spectral Functions'!D148</f>
        <v>5.7206080000000004</v>
      </c>
      <c r="Z150" s="61">
        <f>L150*'Spectral Functions'!J148*'Spectral Functions'!F148</f>
        <v>2.4997954863416521</v>
      </c>
      <c r="AA150" s="62">
        <f>'Spectral Functions'!J148*'Spectral Functions'!F148</f>
        <v>2.6457812000000001E-2</v>
      </c>
      <c r="AB150" s="31"/>
      <c r="AC150" s="60">
        <f>L150*'Spectral Functions'!K148*'Spectral Functions'!D148</f>
        <v>260.92237767360001</v>
      </c>
      <c r="AD150" s="61">
        <f>'Spectral Functions'!K148*'Spectral Functions'!D148</f>
        <v>2.7616000000000001</v>
      </c>
      <c r="AE150" s="61">
        <f>L150*'Spectral Functions'!K148*'Spectral Functions'!F148</f>
        <v>1.2067659967403999</v>
      </c>
      <c r="AF150" s="62">
        <f>'Spectral Functions'!K148*'Spectral Functions'!F148</f>
        <v>1.27724E-2</v>
      </c>
      <c r="AG150" s="31"/>
    </row>
    <row r="151" spans="1:33">
      <c r="A151" s="42">
        <v>672</v>
      </c>
      <c r="B151" s="31"/>
      <c r="C151" s="157">
        <v>94.542742000000004</v>
      </c>
      <c r="D151" s="47">
        <f t="shared" si="8"/>
        <v>94.542742000000004</v>
      </c>
      <c r="E151" s="31"/>
      <c r="F151" s="157">
        <v>94.542742000000004</v>
      </c>
      <c r="G151" s="47">
        <f t="shared" si="9"/>
        <v>94.542742000000004</v>
      </c>
      <c r="H151" s="31"/>
      <c r="I151" s="157">
        <v>94.542742000000004</v>
      </c>
      <c r="J151" s="47">
        <f t="shared" si="10"/>
        <v>94.542742000000004</v>
      </c>
      <c r="K151" s="54"/>
      <c r="L151" s="47">
        <f t="shared" si="11"/>
        <v>94.542742000000018</v>
      </c>
      <c r="M151" s="133"/>
      <c r="N151" s="60">
        <f>L151*'Spectral Functions'!H149*'Spectral Functions'!D149</f>
        <v>216.28436166116794</v>
      </c>
      <c r="O151" s="61">
        <f>'Spectral Functions'!H149*'Spectral Functions'!D149</f>
        <v>2.2876886907</v>
      </c>
      <c r="P151" s="61">
        <f>L151*'Spectral Functions'!H149*'Spectral Functions'!F149</f>
        <v>1.0014234788599861</v>
      </c>
      <c r="Q151" s="62">
        <f>'Spectral Functions'!H149*'Spectral Functions'!F149</f>
        <v>1.0592282999999999E-2</v>
      </c>
      <c r="R151" s="31"/>
      <c r="S151" s="60">
        <f>L151*'Spectral Functions'!I149*'Spectral Functions'!D149</f>
        <v>55.744007909814009</v>
      </c>
      <c r="T151" s="61">
        <f>'Spectral Functions'!I149*'Spectral Functions'!D149</f>
        <v>0.58961700000000006</v>
      </c>
      <c r="U151" s="61">
        <f>L151*'Spectral Functions'!I149*'Spectral Functions'!F149</f>
        <v>0.25810168566000002</v>
      </c>
      <c r="V151" s="62">
        <f>'Spectral Functions'!I149*'Spectral Functions'!F149</f>
        <v>2.7299999999999998E-3</v>
      </c>
      <c r="W151" s="31"/>
      <c r="X151" s="60">
        <f>L151*'Spectral Functions'!J149*'Spectral Functions'!D149</f>
        <v>478.10573793620625</v>
      </c>
      <c r="Y151" s="61">
        <f>'Spectral Functions'!J149*'Spectral Functions'!D149</f>
        <v>5.0570327009999998</v>
      </c>
      <c r="Z151" s="61">
        <f>L151*'Spectral Functions'!J149*'Spectral Functions'!F149</f>
        <v>2.2136889956799801</v>
      </c>
      <c r="AA151" s="62">
        <f>'Spectral Functions'!J149*'Spectral Functions'!F149</f>
        <v>2.3414689999999998E-2</v>
      </c>
      <c r="AB151" s="31"/>
      <c r="AC151" s="60">
        <f>L151*'Spectral Functions'!K149*'Spectral Functions'!D149</f>
        <v>228.01953711681065</v>
      </c>
      <c r="AD151" s="61">
        <f>'Spectral Functions'!K149*'Spectral Functions'!D149</f>
        <v>2.4118143000000001</v>
      </c>
      <c r="AE151" s="61">
        <f>L151*'Spectral Functions'!K149*'Spectral Functions'!F149</f>
        <v>1.0557587999140001</v>
      </c>
      <c r="AF151" s="62">
        <f>'Spectral Functions'!K149*'Spectral Functions'!F149</f>
        <v>1.1167E-2</v>
      </c>
      <c r="AG151" s="31"/>
    </row>
    <row r="152" spans="1:33">
      <c r="A152" s="42">
        <v>674</v>
      </c>
      <c r="B152" s="31"/>
      <c r="C152" s="157">
        <v>95.163646</v>
      </c>
      <c r="D152" s="47">
        <f t="shared" si="8"/>
        <v>95.163646</v>
      </c>
      <c r="E152" s="31"/>
      <c r="F152" s="157">
        <v>95.163646</v>
      </c>
      <c r="G152" s="47">
        <f t="shared" si="9"/>
        <v>95.163646</v>
      </c>
      <c r="H152" s="31"/>
      <c r="I152" s="157">
        <v>95.163646</v>
      </c>
      <c r="J152" s="47">
        <f t="shared" si="10"/>
        <v>95.163646</v>
      </c>
      <c r="K152" s="54"/>
      <c r="L152" s="47">
        <f t="shared" si="11"/>
        <v>95.163646000000014</v>
      </c>
      <c r="M152" s="133"/>
      <c r="N152" s="60">
        <f>L152*'Spectral Functions'!H150*'Spectral Functions'!D150</f>
        <v>189.70409603923645</v>
      </c>
      <c r="O152" s="61">
        <f>'Spectral Functions'!H150*'Spectral Functions'!D150</f>
        <v>1.9934513232000002</v>
      </c>
      <c r="P152" s="61">
        <f>L152*'Spectral Functions'!H150*'Spectral Functions'!F150</f>
        <v>0.85991819477070097</v>
      </c>
      <c r="Q152" s="62">
        <f>'Spectral Functions'!H150*'Spectral Functions'!F150</f>
        <v>9.0362048000000011E-3</v>
      </c>
      <c r="R152" s="31"/>
      <c r="S152" s="60">
        <f>L152*'Spectral Functions'!I150*'Spectral Functions'!D150</f>
        <v>47.026067307360009</v>
      </c>
      <c r="T152" s="61">
        <f>'Spectral Functions'!I150*'Spectral Functions'!D150</f>
        <v>0.49416000000000004</v>
      </c>
      <c r="U152" s="61">
        <f>L152*'Spectral Functions'!I150*'Spectral Functions'!F150</f>
        <v>0.21316656704000003</v>
      </c>
      <c r="V152" s="62">
        <f>'Spectral Functions'!I150*'Spectral Functions'!F150</f>
        <v>2.2399999999999998E-3</v>
      </c>
      <c r="W152" s="31"/>
      <c r="X152" s="60">
        <f>L152*'Spectral Functions'!J150*'Spectral Functions'!D150</f>
        <v>426.646346949389</v>
      </c>
      <c r="Y152" s="61">
        <f>'Spectral Functions'!J150*'Spectral Functions'!D150</f>
        <v>4.4832913080000001</v>
      </c>
      <c r="Z152" s="61">
        <f>L152*'Spectral Functions'!J150*'Spectral Functions'!F150</f>
        <v>1.9339643377987521</v>
      </c>
      <c r="AA152" s="62">
        <f>'Spectral Functions'!J150*'Spectral Functions'!F150</f>
        <v>2.0322511999999997E-2</v>
      </c>
      <c r="AB152" s="31"/>
      <c r="AC152" s="60">
        <f>L152*'Spectral Functions'!K150*'Spectral Functions'!D150</f>
        <v>201.03643773896405</v>
      </c>
      <c r="AD152" s="61">
        <f>'Spectral Functions'!K150*'Spectral Functions'!D150</f>
        <v>2.1125340000000001</v>
      </c>
      <c r="AE152" s="61">
        <f>L152*'Spectral Functions'!K150*'Spectral Functions'!F150</f>
        <v>0.91128707409600018</v>
      </c>
      <c r="AF152" s="62">
        <f>'Spectral Functions'!K150*'Spectral Functions'!F150</f>
        <v>9.5759999999999994E-3</v>
      </c>
      <c r="AG152" s="31"/>
    </row>
    <row r="153" spans="1:33">
      <c r="A153" s="42">
        <v>676</v>
      </c>
      <c r="B153" s="31"/>
      <c r="C153" s="157">
        <v>94.212755999999999</v>
      </c>
      <c r="D153" s="47">
        <f t="shared" si="8"/>
        <v>94.212755999999999</v>
      </c>
      <c r="E153" s="31"/>
      <c r="F153" s="157">
        <v>94.212755999999999</v>
      </c>
      <c r="G153" s="47">
        <f t="shared" si="9"/>
        <v>94.212755999999999</v>
      </c>
      <c r="H153" s="31"/>
      <c r="I153" s="157">
        <v>94.212755999999999</v>
      </c>
      <c r="J153" s="47">
        <f t="shared" si="10"/>
        <v>94.212755999999999</v>
      </c>
      <c r="K153" s="54"/>
      <c r="L153" s="47">
        <f t="shared" si="11"/>
        <v>94.212755999999999</v>
      </c>
      <c r="M153" s="133"/>
      <c r="N153" s="60">
        <f>L153*'Spectral Functions'!H151*'Spectral Functions'!D151</f>
        <v>164.07139790092299</v>
      </c>
      <c r="O153" s="61">
        <f>'Spectral Functions'!H151*'Spectral Functions'!D151</f>
        <v>1.7414987616000002</v>
      </c>
      <c r="P153" s="61">
        <f>L153*'Spectral Functions'!H151*'Spectral Functions'!F151</f>
        <v>0.72248310621020173</v>
      </c>
      <c r="Q153" s="62">
        <f>'Spectral Functions'!H151*'Spectral Functions'!F151</f>
        <v>7.6686336000000004E-3</v>
      </c>
      <c r="R153" s="31"/>
      <c r="S153" s="60">
        <f>L153*'Spectral Functions'!I151*'Spectral Functions'!D151</f>
        <v>36.970781284008005</v>
      </c>
      <c r="T153" s="61">
        <f>'Spectral Functions'!I151*'Spectral Functions'!D151</f>
        <v>0.39241800000000004</v>
      </c>
      <c r="U153" s="61">
        <f>L153*'Spectral Functions'!I151*'Spectral Functions'!F151</f>
        <v>0.16279964236800001</v>
      </c>
      <c r="V153" s="62">
        <f>'Spectral Functions'!I151*'Spectral Functions'!F151</f>
        <v>1.7279999999999999E-3</v>
      </c>
      <c r="W153" s="31"/>
      <c r="X153" s="60">
        <f>L153*'Spectral Functions'!J151*'Spectral Functions'!D151</f>
        <v>375.42390641304632</v>
      </c>
      <c r="Y153" s="61">
        <f>'Spectral Functions'!J151*'Spectral Functions'!D151</f>
        <v>3.9848521830000001</v>
      </c>
      <c r="Z153" s="61">
        <f>L153*'Spectral Functions'!J151*'Spectral Functions'!F151</f>
        <v>1.6531670572750079</v>
      </c>
      <c r="AA153" s="62">
        <f>'Spectral Functions'!J151*'Spectral Functions'!F151</f>
        <v>1.7547167999999998E-2</v>
      </c>
      <c r="AB153" s="31"/>
      <c r="AC153" s="60">
        <f>L153*'Spectral Functions'!K151*'Spectral Functions'!D151</f>
        <v>174.66640224400226</v>
      </c>
      <c r="AD153" s="61">
        <f>'Spectral Functions'!K151*'Spectral Functions'!D151</f>
        <v>1.8539570400000003</v>
      </c>
      <c r="AE153" s="61">
        <f>L153*'Spectral Functions'!K151*'Spectral Functions'!F151</f>
        <v>0.76913786594304012</v>
      </c>
      <c r="AF153" s="62">
        <f>'Spectral Functions'!K151*'Spectral Functions'!F151</f>
        <v>8.1638400000000003E-3</v>
      </c>
      <c r="AG153" s="31"/>
    </row>
    <row r="154" spans="1:33">
      <c r="A154" s="42">
        <v>678</v>
      </c>
      <c r="B154" s="31"/>
      <c r="C154" s="157">
        <v>93.475666000000004</v>
      </c>
      <c r="D154" s="47">
        <f t="shared" si="8"/>
        <v>93.475666000000004</v>
      </c>
      <c r="E154" s="31"/>
      <c r="F154" s="157">
        <v>93.475666000000004</v>
      </c>
      <c r="G154" s="47">
        <f t="shared" si="9"/>
        <v>93.475666000000004</v>
      </c>
      <c r="H154" s="31"/>
      <c r="I154" s="157">
        <v>93.475666000000004</v>
      </c>
      <c r="J154" s="47">
        <f t="shared" si="10"/>
        <v>93.475666000000004</v>
      </c>
      <c r="K154" s="54"/>
      <c r="L154" s="47">
        <f t="shared" si="11"/>
        <v>93.475666000000004</v>
      </c>
      <c r="M154" s="133"/>
      <c r="N154" s="60">
        <f>L154*'Spectral Functions'!H152*'Spectral Functions'!D152</f>
        <v>142.53145200334251</v>
      </c>
      <c r="O154" s="61">
        <f>'Spectral Functions'!H152*'Spectral Functions'!D152</f>
        <v>1.5247973948999998</v>
      </c>
      <c r="P154" s="61">
        <f>L154*'Spectral Functions'!H152*'Spectral Functions'!F152</f>
        <v>0.62095544672375758</v>
      </c>
      <c r="Q154" s="62">
        <f>'Spectral Functions'!H152*'Spectral Functions'!F152</f>
        <v>6.6429635999999993E-3</v>
      </c>
      <c r="R154" s="31"/>
      <c r="S154" s="60">
        <f>L154*'Spectral Functions'!I152*'Spectral Functions'!D152</f>
        <v>30.639173374482002</v>
      </c>
      <c r="T154" s="61">
        <f>'Spectral Functions'!I152*'Spectral Functions'!D152</f>
        <v>0.32777699999999999</v>
      </c>
      <c r="U154" s="61">
        <f>L154*'Spectral Functions'!I152*'Spectral Functions'!F152</f>
        <v>0.13348325104799999</v>
      </c>
      <c r="V154" s="62">
        <f>'Spectral Functions'!I152*'Spectral Functions'!F152</f>
        <v>1.428E-3</v>
      </c>
      <c r="W154" s="31"/>
      <c r="X154" s="60">
        <f>L154*'Spectral Functions'!J152*'Spectral Functions'!D152</f>
        <v>331.82044534132393</v>
      </c>
      <c r="Y154" s="61">
        <f>'Spectral Functions'!J152*'Spectral Functions'!D152</f>
        <v>3.5498056290000002</v>
      </c>
      <c r="Z154" s="61">
        <f>L154*'Spectral Functions'!J152*'Spectral Functions'!F152</f>
        <v>1.4456157568938961</v>
      </c>
      <c r="AA154" s="62">
        <f>'Spectral Functions'!J152*'Spectral Functions'!F152</f>
        <v>1.5465156000000001E-2</v>
      </c>
      <c r="AB154" s="31"/>
      <c r="AC154" s="60">
        <f>L154*'Spectral Functions'!K152*'Spectral Functions'!D152</f>
        <v>152.33076080065993</v>
      </c>
      <c r="AD154" s="61">
        <f>'Spectral Functions'!K152*'Spectral Functions'!D152</f>
        <v>1.6296301199999998</v>
      </c>
      <c r="AE154" s="61">
        <f>L154*'Spectral Functions'!K152*'Spectral Functions'!F152</f>
        <v>0.66364731638688002</v>
      </c>
      <c r="AF154" s="62">
        <f>'Spectral Functions'!K152*'Spectral Functions'!F152</f>
        <v>7.0996799999999997E-3</v>
      </c>
      <c r="AG154" s="31"/>
    </row>
    <row r="155" spans="1:33">
      <c r="A155" s="42">
        <v>680</v>
      </c>
      <c r="B155" s="31"/>
      <c r="C155" s="157">
        <v>93.706688</v>
      </c>
      <c r="D155" s="47">
        <f t="shared" si="8"/>
        <v>93.706688</v>
      </c>
      <c r="E155" s="31"/>
      <c r="F155" s="157">
        <v>93.706688</v>
      </c>
      <c r="G155" s="47">
        <f t="shared" si="9"/>
        <v>93.706688</v>
      </c>
      <c r="H155" s="31"/>
      <c r="I155" s="157">
        <v>93.706688</v>
      </c>
      <c r="J155" s="47">
        <f t="shared" si="10"/>
        <v>93.706688</v>
      </c>
      <c r="K155" s="54"/>
      <c r="L155" s="47">
        <f t="shared" si="11"/>
        <v>93.706688</v>
      </c>
      <c r="M155" s="133"/>
      <c r="N155" s="60">
        <f>L155*'Spectral Functions'!H153*'Spectral Functions'!D153</f>
        <v>124.7078027804032</v>
      </c>
      <c r="O155" s="61">
        <f>'Spectral Functions'!H153*'Spectral Functions'!D153</f>
        <v>1.3308314000000001</v>
      </c>
      <c r="P155" s="61">
        <f>L155*'Spectral Functions'!H153*'Spectral Functions'!F153</f>
        <v>0.52817422354053123</v>
      </c>
      <c r="Q155" s="62">
        <f>'Spectral Functions'!H153*'Spectral Functions'!F153</f>
        <v>5.6364624000000002E-3</v>
      </c>
      <c r="R155" s="31"/>
      <c r="S155" s="60">
        <f>L155*'Spectral Functions'!I153*'Spectral Functions'!D153</f>
        <v>25.488219136000001</v>
      </c>
      <c r="T155" s="61">
        <f>'Spectral Functions'!I153*'Spectral Functions'!D153</f>
        <v>0.27200000000000002</v>
      </c>
      <c r="U155" s="61">
        <f>L155*'Spectral Functions'!I153*'Spectral Functions'!F153</f>
        <v>0.107950104576</v>
      </c>
      <c r="V155" s="62">
        <f>'Spectral Functions'!I153*'Spectral Functions'!F153</f>
        <v>1.152E-3</v>
      </c>
      <c r="W155" s="31"/>
      <c r="X155" s="60">
        <f>L155*'Spectral Functions'!J153*'Spectral Functions'!D153</f>
        <v>295.39093663558401</v>
      </c>
      <c r="Y155" s="61">
        <f>'Spectral Functions'!J153*'Spectral Functions'!D153</f>
        <v>3.1522930000000002</v>
      </c>
      <c r="Z155" s="61">
        <f>L155*'Spectral Functions'!J153*'Spectral Functions'!F153</f>
        <v>1.2510674963389439</v>
      </c>
      <c r="AA155" s="62">
        <f>'Spectral Functions'!J153*'Spectral Functions'!F153</f>
        <v>1.3350888E-2</v>
      </c>
      <c r="AB155" s="31"/>
      <c r="AC155" s="60">
        <f>L155*'Spectral Functions'!K153*'Spectral Functions'!D153</f>
        <v>133.81315046400002</v>
      </c>
      <c r="AD155" s="61">
        <f>'Spectral Functions'!K153*'Spectral Functions'!D153</f>
        <v>1.4280000000000002</v>
      </c>
      <c r="AE155" s="61">
        <f>L155*'Spectral Functions'!K153*'Spectral Functions'!F153</f>
        <v>0.56673804902400005</v>
      </c>
      <c r="AF155" s="62">
        <f>'Spectral Functions'!K153*'Spectral Functions'!F153</f>
        <v>6.0480000000000004E-3</v>
      </c>
      <c r="AG155" s="31"/>
    </row>
    <row r="156" spans="1:33">
      <c r="A156" s="42">
        <v>682</v>
      </c>
      <c r="B156" s="31"/>
      <c r="C156" s="157">
        <v>93.691220000000001</v>
      </c>
      <c r="D156" s="47">
        <f t="shared" si="8"/>
        <v>93.691220000000001</v>
      </c>
      <c r="E156" s="31"/>
      <c r="F156" s="157">
        <v>93.691220000000001</v>
      </c>
      <c r="G156" s="47">
        <f t="shared" si="9"/>
        <v>93.691220000000001</v>
      </c>
      <c r="H156" s="31"/>
      <c r="I156" s="157">
        <v>93.691220000000001</v>
      </c>
      <c r="J156" s="47">
        <f t="shared" si="10"/>
        <v>93.691220000000001</v>
      </c>
      <c r="K156" s="54"/>
      <c r="L156" s="47">
        <f t="shared" si="11"/>
        <v>93.691220000000001</v>
      </c>
      <c r="M156" s="133"/>
      <c r="N156" s="60">
        <f>L156*'Spectral Functions'!H154*'Spectral Functions'!D154</f>
        <v>106.44192320099963</v>
      </c>
      <c r="O156" s="61">
        <f>'Spectral Functions'!H154*'Spectral Functions'!D154</f>
        <v>1.1360928292000001</v>
      </c>
      <c r="P156" s="61">
        <f>L156*'Spectral Functions'!H154*'Spectral Functions'!F154</f>
        <v>0.451967457145176</v>
      </c>
      <c r="Q156" s="62">
        <f>'Spectral Functions'!H154*'Spectral Functions'!F154</f>
        <v>4.8240108000000004E-3</v>
      </c>
      <c r="R156" s="31"/>
      <c r="S156" s="60">
        <f>L156*'Spectral Functions'!I154*'Spectral Functions'!D154</f>
        <v>29.192029253939999</v>
      </c>
      <c r="T156" s="61">
        <f>'Spectral Functions'!I154*'Spectral Functions'!D154</f>
        <v>0.31157699999999999</v>
      </c>
      <c r="U156" s="61">
        <f>L156*'Spectral Functions'!I154*'Spectral Functions'!F154</f>
        <v>0.12395348406000001</v>
      </c>
      <c r="V156" s="62">
        <f>'Spectral Functions'!I154*'Spectral Functions'!F154</f>
        <v>1.323E-3</v>
      </c>
      <c r="W156" s="31"/>
      <c r="X156" s="60">
        <f>L156*'Spectral Functions'!J154*'Spectral Functions'!D154</f>
        <v>259.59081518897705</v>
      </c>
      <c r="Y156" s="61">
        <f>'Spectral Functions'!J154*'Spectral Functions'!D154</f>
        <v>2.770705891</v>
      </c>
      <c r="Z156" s="61">
        <f>L156*'Spectral Functions'!J154*'Spectral Functions'!F154</f>
        <v>1.10225930827698</v>
      </c>
      <c r="AA156" s="62">
        <f>'Spectral Functions'!J154*'Spectral Functions'!F154</f>
        <v>1.1764808999999999E-2</v>
      </c>
      <c r="AB156" s="31"/>
      <c r="AC156" s="60">
        <f>L156*'Spectral Functions'!K154*'Spectral Functions'!D154</f>
        <v>115.76724744133921</v>
      </c>
      <c r="AD156" s="61">
        <f>'Spectral Functions'!K154*'Spectral Functions'!D154</f>
        <v>1.23562536</v>
      </c>
      <c r="AE156" s="61">
        <f>L156*'Spectral Functions'!K154*'Spectral Functions'!F154</f>
        <v>0.49156410250080002</v>
      </c>
      <c r="AF156" s="62">
        <f>'Spectral Functions'!K154*'Spectral Functions'!F154</f>
        <v>5.2466400000000003E-3</v>
      </c>
      <c r="AG156" s="31"/>
    </row>
    <row r="157" spans="1:33">
      <c r="A157" s="42">
        <v>684</v>
      </c>
      <c r="B157" s="31"/>
      <c r="C157" s="157">
        <v>94.368523999999994</v>
      </c>
      <c r="D157" s="47">
        <f t="shared" si="8"/>
        <v>94.368523999999994</v>
      </c>
      <c r="E157" s="31"/>
      <c r="F157" s="157">
        <v>94.368523999999994</v>
      </c>
      <c r="G157" s="47">
        <f t="shared" si="9"/>
        <v>94.368523999999994</v>
      </c>
      <c r="H157" s="31"/>
      <c r="I157" s="157">
        <v>94.368523999999994</v>
      </c>
      <c r="J157" s="47">
        <f t="shared" si="10"/>
        <v>94.368523999999994</v>
      </c>
      <c r="K157" s="54"/>
      <c r="L157" s="47">
        <f t="shared" si="11"/>
        <v>94.368523999999994</v>
      </c>
      <c r="M157" s="133"/>
      <c r="N157" s="60">
        <f>L157*'Spectral Functions'!H155*'Spectral Functions'!D155</f>
        <v>90.670718394718847</v>
      </c>
      <c r="O157" s="61">
        <f>'Spectral Functions'!H155*'Spectral Functions'!D155</f>
        <v>0.96081526499999992</v>
      </c>
      <c r="P157" s="61">
        <f>L157*'Spectral Functions'!H155*'Spectral Functions'!F155</f>
        <v>0.38147400025826395</v>
      </c>
      <c r="Q157" s="62">
        <f>'Spectral Functions'!H155*'Spectral Functions'!F155</f>
        <v>4.0423859999999994E-3</v>
      </c>
      <c r="R157" s="31"/>
      <c r="S157" s="60">
        <f>L157*'Spectral Functions'!I155*'Spectral Functions'!D155</f>
        <v>1.2112200055399998</v>
      </c>
      <c r="T157" s="61">
        <f>'Spectral Functions'!I155*'Spectral Functions'!D155</f>
        <v>1.2834999999999999E-2</v>
      </c>
      <c r="U157" s="61">
        <f>L157*'Spectral Functions'!I155*'Spectral Functions'!F155</f>
        <v>5.0959002959999992E-3</v>
      </c>
      <c r="V157" s="62">
        <f>'Spectral Functions'!I155*'Spectral Functions'!F155</f>
        <v>5.3999999999999998E-5</v>
      </c>
      <c r="W157" s="31"/>
      <c r="X157" s="60">
        <f>L157*'Spectral Functions'!J155*'Spectral Functions'!D155</f>
        <v>227.76992204179697</v>
      </c>
      <c r="Y157" s="61">
        <f>'Spectral Functions'!J155*'Spectral Functions'!D155</f>
        <v>2.4136217499999999</v>
      </c>
      <c r="Z157" s="61">
        <f>L157*'Spectral Functions'!J155*'Spectral Functions'!F155</f>
        <v>0.95828405066279987</v>
      </c>
      <c r="AA157" s="62">
        <f>'Spectral Functions'!J155*'Spectral Functions'!F155</f>
        <v>1.0154700000000001E-2</v>
      </c>
      <c r="AB157" s="31"/>
      <c r="AC157" s="60">
        <f>L157*'Spectral Functions'!K155*'Spectral Functions'!D155</f>
        <v>100.01043585743778</v>
      </c>
      <c r="AD157" s="61">
        <f>'Spectral Functions'!K155*'Spectral Functions'!D155</f>
        <v>1.0597859499999998</v>
      </c>
      <c r="AE157" s="61">
        <f>L157*'Spectral Functions'!K155*'Spectral Functions'!F155</f>
        <v>0.42076848744071993</v>
      </c>
      <c r="AF157" s="62">
        <f>'Spectral Functions'!K155*'Spectral Functions'!F155</f>
        <v>4.4587799999999999E-3</v>
      </c>
      <c r="AG157" s="31"/>
    </row>
    <row r="158" spans="1:33">
      <c r="A158" s="42">
        <v>686</v>
      </c>
      <c r="B158" s="31"/>
      <c r="C158" s="157">
        <v>93.834879999999998</v>
      </c>
      <c r="D158" s="47">
        <f t="shared" si="8"/>
        <v>93.834879999999998</v>
      </c>
      <c r="E158" s="31"/>
      <c r="F158" s="157">
        <v>93.834879999999998</v>
      </c>
      <c r="G158" s="47">
        <f t="shared" si="9"/>
        <v>93.834879999999998</v>
      </c>
      <c r="H158" s="31"/>
      <c r="I158" s="157">
        <v>93.834879999999998</v>
      </c>
      <c r="J158" s="47">
        <f t="shared" si="10"/>
        <v>93.834879999999998</v>
      </c>
      <c r="K158" s="54"/>
      <c r="L158" s="47">
        <f t="shared" si="11"/>
        <v>93.834879999999998</v>
      </c>
      <c r="M158" s="133"/>
      <c r="N158" s="60">
        <f>L158*'Spectral Functions'!H156*'Spectral Functions'!D156</f>
        <v>75.96735467651456</v>
      </c>
      <c r="O158" s="61">
        <f>'Spectral Functions'!H156*'Spectral Functions'!D156</f>
        <v>0.80958546200000003</v>
      </c>
      <c r="P158" s="61">
        <f>L158*'Spectral Functions'!H156*'Spectral Functions'!F156</f>
        <v>0.32259357334623995</v>
      </c>
      <c r="Q158" s="62">
        <f>'Spectral Functions'!H156*'Spectral Functions'!F156</f>
        <v>3.4378855000000001E-3</v>
      </c>
      <c r="R158" s="31"/>
      <c r="S158" s="60">
        <f>L158*'Spectral Functions'!I156*'Spectral Functions'!D156</f>
        <v>11.42420897024</v>
      </c>
      <c r="T158" s="61">
        <f>'Spectral Functions'!I156*'Spectral Functions'!D156</f>
        <v>0.121748</v>
      </c>
      <c r="U158" s="61">
        <f>L158*'Spectral Functions'!I156*'Spectral Functions'!F156</f>
        <v>4.8512632960000003E-2</v>
      </c>
      <c r="V158" s="62">
        <f>'Spectral Functions'!I156*'Spectral Functions'!F156</f>
        <v>5.1699999999999999E-4</v>
      </c>
      <c r="W158" s="31"/>
      <c r="X158" s="60">
        <f>L158*'Spectral Functions'!J156*'Spectral Functions'!D156</f>
        <v>196.65217895590399</v>
      </c>
      <c r="Y158" s="61">
        <f>'Spectral Functions'!J156*'Spectral Functions'!D156</f>
        <v>2.0957257999999999</v>
      </c>
      <c r="Z158" s="61">
        <f>L158*'Spectral Functions'!J156*'Spectral Functions'!F156</f>
        <v>0.83507882281599988</v>
      </c>
      <c r="AA158" s="62">
        <f>'Spectral Functions'!J156*'Spectral Functions'!F156</f>
        <v>8.8994499999999997E-3</v>
      </c>
      <c r="AB158" s="31"/>
      <c r="AC158" s="60">
        <f>L158*'Spectral Functions'!K156*'Spectral Functions'!D156</f>
        <v>84.964957805030394</v>
      </c>
      <c r="AD158" s="61">
        <f>'Spectral Functions'!K156*'Spectral Functions'!D156</f>
        <v>0.90547308000000004</v>
      </c>
      <c r="AE158" s="61">
        <f>L158*'Spectral Functions'!K156*'Spectral Functions'!F156</f>
        <v>0.36080168204159996</v>
      </c>
      <c r="AF158" s="62">
        <f>'Spectral Functions'!K156*'Spectral Functions'!F156</f>
        <v>3.8450699999999999E-3</v>
      </c>
      <c r="AG158" s="31"/>
    </row>
    <row r="159" spans="1:33">
      <c r="A159" s="42">
        <v>688</v>
      </c>
      <c r="B159" s="31"/>
      <c r="C159" s="157">
        <v>94.801017999999999</v>
      </c>
      <c r="D159" s="47">
        <f t="shared" si="8"/>
        <v>94.801017999999999</v>
      </c>
      <c r="E159" s="31"/>
      <c r="F159" s="157">
        <v>94.801017999999999</v>
      </c>
      <c r="G159" s="47">
        <f t="shared" si="9"/>
        <v>94.801017999999999</v>
      </c>
      <c r="H159" s="31"/>
      <c r="I159" s="157">
        <v>94.801017999999999</v>
      </c>
      <c r="J159" s="47">
        <f t="shared" si="10"/>
        <v>94.801017999999999</v>
      </c>
      <c r="K159" s="54"/>
      <c r="L159" s="47">
        <f t="shared" si="11"/>
        <v>94.801017999999999</v>
      </c>
      <c r="M159" s="133"/>
      <c r="N159" s="60">
        <f>L159*'Spectral Functions'!H157*'Spectral Functions'!D157</f>
        <v>64.557537389757329</v>
      </c>
      <c r="O159" s="61">
        <f>'Spectral Functions'!H157*'Spectral Functions'!D157</f>
        <v>0.68097936869999998</v>
      </c>
      <c r="P159" s="61">
        <f>L159*'Spectral Functions'!H157*'Spectral Functions'!F157</f>
        <v>0.27765226402811821</v>
      </c>
      <c r="Q159" s="62">
        <f>'Spectral Functions'!H157*'Spectral Functions'!F157</f>
        <v>2.9287898999999997E-3</v>
      </c>
      <c r="R159" s="31"/>
      <c r="S159" s="60">
        <f>L159*'Spectral Functions'!I157*'Spectral Functions'!D157</f>
        <v>5.4224286275639999</v>
      </c>
      <c r="T159" s="61">
        <f>'Spectral Functions'!I157*'Spectral Functions'!D157</f>
        <v>5.7197999999999999E-2</v>
      </c>
      <c r="U159" s="61">
        <f>L159*'Spectral Functions'!I157*'Spectral Functions'!F157</f>
        <v>2.3321050427999999E-2</v>
      </c>
      <c r="V159" s="62">
        <f>'Spectral Functions'!I157*'Spectral Functions'!F157</f>
        <v>2.4600000000000002E-4</v>
      </c>
      <c r="W159" s="31"/>
      <c r="X159" s="60">
        <f>L159*'Spectral Functions'!J157*'Spectral Functions'!D157</f>
        <v>172.29224721221854</v>
      </c>
      <c r="Y159" s="61">
        <f>'Spectral Functions'!J157*'Spectral Functions'!D157</f>
        <v>1.817409252</v>
      </c>
      <c r="Z159" s="61">
        <f>L159*'Spectral Functions'!J157*'Spectral Functions'!F157</f>
        <v>0.7410030562992721</v>
      </c>
      <c r="AA159" s="62">
        <f>'Spectral Functions'!J157*'Spectral Functions'!F157</f>
        <v>7.8164040000000008E-3</v>
      </c>
      <c r="AB159" s="31"/>
      <c r="AC159" s="60">
        <f>L159*'Spectral Functions'!K157*'Spectral Functions'!D157</f>
        <v>73.202786472113999</v>
      </c>
      <c r="AD159" s="61">
        <f>'Spectral Functions'!K157*'Spectral Functions'!D157</f>
        <v>0.772173</v>
      </c>
      <c r="AE159" s="61">
        <f>L159*'Spectral Functions'!K157*'Spectral Functions'!F157</f>
        <v>0.31483418077800002</v>
      </c>
      <c r="AF159" s="62">
        <f>'Spectral Functions'!K157*'Spectral Functions'!F157</f>
        <v>3.3210000000000002E-3</v>
      </c>
      <c r="AG159" s="31"/>
    </row>
    <row r="160" spans="1:33">
      <c r="A160" s="42">
        <v>690</v>
      </c>
      <c r="B160" s="31"/>
      <c r="C160" s="157">
        <v>94.736328</v>
      </c>
      <c r="D160" s="47">
        <f t="shared" si="8"/>
        <v>94.736328</v>
      </c>
      <c r="E160" s="31"/>
      <c r="F160" s="157">
        <v>94.736328</v>
      </c>
      <c r="G160" s="47">
        <f t="shared" si="9"/>
        <v>94.736328</v>
      </c>
      <c r="H160" s="31"/>
      <c r="I160" s="157">
        <v>94.736328</v>
      </c>
      <c r="J160" s="47">
        <f t="shared" si="10"/>
        <v>94.736328</v>
      </c>
      <c r="K160" s="54"/>
      <c r="L160" s="47">
        <f t="shared" si="11"/>
        <v>94.736328</v>
      </c>
      <c r="M160" s="133"/>
      <c r="N160" s="60">
        <f>L160*'Spectral Functions'!H158*'Spectral Functions'!D158</f>
        <v>54.228198951622346</v>
      </c>
      <c r="O160" s="61">
        <f>'Spectral Functions'!H158*'Spectral Functions'!D158</f>
        <v>0.57241187299999996</v>
      </c>
      <c r="P160" s="61">
        <f>L160*'Spectral Functions'!H158*'Spectral Functions'!F158</f>
        <v>0.23117989808852396</v>
      </c>
      <c r="Q160" s="62">
        <f>'Spectral Functions'!H158*'Spectral Functions'!F158</f>
        <v>2.4402454999999999E-3</v>
      </c>
      <c r="R160" s="31"/>
      <c r="S160" s="60">
        <f>L160*'Spectral Functions'!I158*'Spectral Functions'!D158</f>
        <v>0</v>
      </c>
      <c r="T160" s="61">
        <f>'Spectral Functions'!I158*'Spectral Functions'!D158</f>
        <v>0</v>
      </c>
      <c r="U160" s="61">
        <f>L160*'Spectral Functions'!I158*'Spectral Functions'!F158</f>
        <v>0</v>
      </c>
      <c r="V160" s="62">
        <f>'Spectral Functions'!I158*'Spectral Functions'!F158</f>
        <v>0</v>
      </c>
      <c r="W160" s="31"/>
      <c r="X160" s="60">
        <f>L160*'Spectral Functions'!J158*'Spectral Functions'!D158</f>
        <v>149.28110137051129</v>
      </c>
      <c r="Y160" s="61">
        <f>'Spectral Functions'!J158*'Spectral Functions'!D158</f>
        <v>1.5757535100000002</v>
      </c>
      <c r="Z160" s="61">
        <f>L160*'Spectral Functions'!J158*'Spectral Functions'!F158</f>
        <v>0.63639933592788001</v>
      </c>
      <c r="AA160" s="62">
        <f>'Spectral Functions'!J158*'Spectral Functions'!F158</f>
        <v>6.7175849999999999E-3</v>
      </c>
      <c r="AB160" s="31"/>
      <c r="AC160" s="60">
        <f>L160*'Spectral Functions'!K158*'Spectral Functions'!D158</f>
        <v>62.378377280976004</v>
      </c>
      <c r="AD160" s="61">
        <f>'Spectral Functions'!K158*'Spectral Functions'!D158</f>
        <v>0.65844200000000008</v>
      </c>
      <c r="AE160" s="61">
        <f>L160*'Spectral Functions'!K158*'Spectral Functions'!F158</f>
        <v>0.26592487269599996</v>
      </c>
      <c r="AF160" s="62">
        <f>'Spectral Functions'!K158*'Spectral Functions'!F158</f>
        <v>2.807E-3</v>
      </c>
      <c r="AG160" s="31"/>
    </row>
    <row r="161" spans="1:33">
      <c r="A161" s="42">
        <v>692</v>
      </c>
      <c r="B161" s="31"/>
      <c r="C161" s="157">
        <v>94.497061000000002</v>
      </c>
      <c r="D161" s="47">
        <f t="shared" si="8"/>
        <v>94.497061000000002</v>
      </c>
      <c r="E161" s="31"/>
      <c r="F161" s="157">
        <v>94.497061000000002</v>
      </c>
      <c r="G161" s="47">
        <f t="shared" si="9"/>
        <v>94.497061000000002</v>
      </c>
      <c r="H161" s="31"/>
      <c r="I161" s="157">
        <v>94.497061000000002</v>
      </c>
      <c r="J161" s="47">
        <f t="shared" si="10"/>
        <v>94.497061000000002</v>
      </c>
      <c r="K161" s="54"/>
      <c r="L161" s="47">
        <f t="shared" si="11"/>
        <v>94.497060999999988</v>
      </c>
      <c r="M161" s="133"/>
      <c r="N161" s="60">
        <f>L161*'Spectral Functions'!H159*'Spectral Functions'!D159</f>
        <v>46.932032107823588</v>
      </c>
      <c r="O161" s="61">
        <f>'Spectral Functions'!H159*'Spectral Functions'!D159</f>
        <v>0.49665070650000004</v>
      </c>
      <c r="P161" s="61">
        <f>L161*'Spectral Functions'!H159*'Spectral Functions'!F159</f>
        <v>0.20534834090931986</v>
      </c>
      <c r="Q161" s="62">
        <f>'Spectral Functions'!H159*'Spectral Functions'!F159</f>
        <v>2.1730658999999999E-3</v>
      </c>
      <c r="R161" s="31"/>
      <c r="S161" s="60">
        <f>L161*'Spectral Functions'!I159*'Spectral Functions'!D159</f>
        <v>0</v>
      </c>
      <c r="T161" s="61">
        <f>'Spectral Functions'!I159*'Spectral Functions'!D159</f>
        <v>0</v>
      </c>
      <c r="U161" s="61">
        <f>L161*'Spectral Functions'!I159*'Spectral Functions'!F159</f>
        <v>0</v>
      </c>
      <c r="V161" s="62">
        <f>'Spectral Functions'!I159*'Spectral Functions'!F159</f>
        <v>0</v>
      </c>
      <c r="W161" s="31"/>
      <c r="X161" s="60">
        <f>L161*'Spectral Functions'!J159*'Spectral Functions'!D159</f>
        <v>129.35702066059102</v>
      </c>
      <c r="Y161" s="61">
        <f>'Spectral Functions'!J159*'Spectral Functions'!D159</f>
        <v>1.3688999350000002</v>
      </c>
      <c r="Z161" s="61">
        <f>L161*'Spectral Functions'!J159*'Spectral Functions'!F159</f>
        <v>0.565994021239001</v>
      </c>
      <c r="AA161" s="62">
        <f>'Spectral Functions'!J159*'Spectral Functions'!F159</f>
        <v>5.989541000000001E-3</v>
      </c>
      <c r="AB161" s="31"/>
      <c r="AC161" s="60">
        <f>L161*'Spectral Functions'!K159*'Spectral Functions'!D159</f>
        <v>53.172617402032699</v>
      </c>
      <c r="AD161" s="61">
        <f>'Spectral Functions'!K159*'Spectral Functions'!D159</f>
        <v>0.56269069999999999</v>
      </c>
      <c r="AE161" s="61">
        <f>L161*'Spectral Functions'!K159*'Spectral Functions'!F159</f>
        <v>0.23265365412321998</v>
      </c>
      <c r="AF161" s="62">
        <f>'Spectral Functions'!K159*'Spectral Functions'!F159</f>
        <v>2.4620200000000001E-3</v>
      </c>
      <c r="AG161" s="31"/>
    </row>
    <row r="162" spans="1:33">
      <c r="A162" s="42">
        <v>694</v>
      </c>
      <c r="B162" s="31"/>
      <c r="C162" s="157">
        <v>93.889214999999993</v>
      </c>
      <c r="D162" s="47">
        <f t="shared" si="8"/>
        <v>93.889214999999993</v>
      </c>
      <c r="E162" s="31"/>
      <c r="F162" s="157">
        <v>93.889214999999993</v>
      </c>
      <c r="G162" s="47">
        <f t="shared" si="9"/>
        <v>93.889214999999993</v>
      </c>
      <c r="H162" s="31"/>
      <c r="I162" s="157">
        <v>93.889214999999993</v>
      </c>
      <c r="J162" s="47">
        <f t="shared" si="10"/>
        <v>93.889214999999993</v>
      </c>
      <c r="K162" s="54"/>
      <c r="L162" s="47">
        <f t="shared" si="11"/>
        <v>93.889214999999993</v>
      </c>
      <c r="M162" s="133"/>
      <c r="N162" s="60">
        <f>L162*'Spectral Functions'!H160*'Spectral Functions'!D160</f>
        <v>40.614985626495589</v>
      </c>
      <c r="O162" s="61">
        <f>'Spectral Functions'!H160*'Spectral Functions'!D160</f>
        <v>0.43258414319999999</v>
      </c>
      <c r="P162" s="61">
        <f>L162*'Spectral Functions'!H160*'Spectral Functions'!F160</f>
        <v>0.17865829454470197</v>
      </c>
      <c r="Q162" s="62">
        <f>'Spectral Functions'!H160*'Spectral Functions'!F160</f>
        <v>1.9028627999999998E-3</v>
      </c>
      <c r="R162" s="31"/>
      <c r="S162" s="60">
        <f>L162*'Spectral Functions'!I160*'Spectral Functions'!D160</f>
        <v>0</v>
      </c>
      <c r="T162" s="61">
        <f>'Spectral Functions'!I160*'Spectral Functions'!D160</f>
        <v>0</v>
      </c>
      <c r="U162" s="61">
        <f>L162*'Spectral Functions'!I160*'Spectral Functions'!F160</f>
        <v>0</v>
      </c>
      <c r="V162" s="62">
        <f>'Spectral Functions'!I160*'Spectral Functions'!F160</f>
        <v>0</v>
      </c>
      <c r="W162" s="31"/>
      <c r="X162" s="60">
        <f>L162*'Spectral Functions'!J160*'Spectral Functions'!D160</f>
        <v>112.07957365278828</v>
      </c>
      <c r="Y162" s="61">
        <f>'Spectral Functions'!J160*'Spectral Functions'!D160</f>
        <v>1.1937427920000001</v>
      </c>
      <c r="Z162" s="61">
        <f>L162*'Spectral Functions'!J160*'Spectral Functions'!F160</f>
        <v>0.49301865243161996</v>
      </c>
      <c r="AA162" s="62">
        <f>'Spectral Functions'!J160*'Spectral Functions'!F160</f>
        <v>5.2510680000000002E-3</v>
      </c>
      <c r="AB162" s="31"/>
      <c r="AC162" s="60">
        <f>L162*'Spectral Functions'!K160*'Spectral Functions'!D160</f>
        <v>45.313840091312095</v>
      </c>
      <c r="AD162" s="61">
        <f>'Spectral Functions'!K160*'Spectral Functions'!D160</f>
        <v>0.48263094000000001</v>
      </c>
      <c r="AE162" s="61">
        <f>L162*'Spectral Functions'!K160*'Spectral Functions'!F160</f>
        <v>0.19932774233714995</v>
      </c>
      <c r="AF162" s="62">
        <f>'Spectral Functions'!K160*'Spectral Functions'!F160</f>
        <v>2.1230099999999998E-3</v>
      </c>
      <c r="AG162" s="31"/>
    </row>
    <row r="163" spans="1:33">
      <c r="A163" s="42">
        <v>696</v>
      </c>
      <c r="B163" s="31"/>
      <c r="C163" s="157">
        <v>94.010195999999993</v>
      </c>
      <c r="D163" s="47">
        <f t="shared" si="8"/>
        <v>94.010195999999993</v>
      </c>
      <c r="E163" s="31"/>
      <c r="F163" s="157">
        <v>94.010195999999993</v>
      </c>
      <c r="G163" s="47">
        <f t="shared" si="9"/>
        <v>94.010195999999993</v>
      </c>
      <c r="H163" s="31"/>
      <c r="I163" s="157">
        <v>94.010195999999993</v>
      </c>
      <c r="J163" s="47">
        <f t="shared" si="10"/>
        <v>94.010195999999993</v>
      </c>
      <c r="K163" s="54"/>
      <c r="L163" s="47">
        <f t="shared" si="11"/>
        <v>94.010195999999993</v>
      </c>
      <c r="M163" s="133"/>
      <c r="N163" s="60">
        <f>L163*'Spectral Functions'!H161*'Spectral Functions'!D161</f>
        <v>35.589714597512703</v>
      </c>
      <c r="O163" s="61">
        <f>'Spectral Functions'!H161*'Spectral Functions'!D161</f>
        <v>0.37857292199999998</v>
      </c>
      <c r="P163" s="61">
        <f>L163*'Spectral Functions'!H161*'Spectral Functions'!F161</f>
        <v>0.15986396225721597</v>
      </c>
      <c r="Q163" s="62">
        <f>'Spectral Functions'!H161*'Spectral Functions'!F161</f>
        <v>1.7004960000000001E-3</v>
      </c>
      <c r="R163" s="31"/>
      <c r="S163" s="60">
        <f>L163*'Spectral Functions'!I161*'Spectral Functions'!D161</f>
        <v>0</v>
      </c>
      <c r="T163" s="61">
        <f>'Spectral Functions'!I161*'Spectral Functions'!D161</f>
        <v>0</v>
      </c>
      <c r="U163" s="61">
        <f>L163*'Spectral Functions'!I161*'Spectral Functions'!F161</f>
        <v>0</v>
      </c>
      <c r="V163" s="62">
        <f>'Spectral Functions'!I161*'Spectral Functions'!F161</f>
        <v>0</v>
      </c>
      <c r="W163" s="31"/>
      <c r="X163" s="60">
        <f>L163*'Spectral Functions'!J161*'Spectral Functions'!D161</f>
        <v>98.324535417380986</v>
      </c>
      <c r="Y163" s="61">
        <f>'Spectral Functions'!J161*'Spectral Functions'!D161</f>
        <v>1.0458922499999999</v>
      </c>
      <c r="Z163" s="61">
        <f>L163*'Spectral Functions'!J161*'Spectral Functions'!F161</f>
        <v>0.44165990080799994</v>
      </c>
      <c r="AA163" s="62">
        <f>'Spectral Functions'!J161*'Spectral Functions'!F161</f>
        <v>4.6979999999999999E-3</v>
      </c>
      <c r="AB163" s="31"/>
      <c r="AC163" s="60">
        <f>L163*'Spectral Functions'!K161*'Spectral Functions'!D161</f>
        <v>39.103780752199789</v>
      </c>
      <c r="AD163" s="61">
        <f>'Spectral Functions'!K161*'Spectral Functions'!D161</f>
        <v>0.41595254999999992</v>
      </c>
      <c r="AE163" s="61">
        <f>L163*'Spectral Functions'!K161*'Spectral Functions'!F161</f>
        <v>0.17564865020639997</v>
      </c>
      <c r="AF163" s="62">
        <f>'Spectral Functions'!K161*'Spectral Functions'!F161</f>
        <v>1.8683999999999999E-3</v>
      </c>
      <c r="AG163" s="31"/>
    </row>
    <row r="164" spans="1:33">
      <c r="A164" s="42">
        <v>698</v>
      </c>
      <c r="B164" s="31"/>
      <c r="C164" s="157">
        <v>93.721763999999993</v>
      </c>
      <c r="D164" s="47">
        <f t="shared" si="8"/>
        <v>93.721763999999993</v>
      </c>
      <c r="E164" s="31"/>
      <c r="F164" s="157">
        <v>93.721763999999993</v>
      </c>
      <c r="G164" s="47">
        <f t="shared" si="9"/>
        <v>93.721763999999993</v>
      </c>
      <c r="H164" s="31"/>
      <c r="I164" s="157">
        <v>93.721763999999993</v>
      </c>
      <c r="J164" s="47">
        <f t="shared" si="10"/>
        <v>93.721763999999993</v>
      </c>
      <c r="K164" s="54"/>
      <c r="L164" s="47">
        <f t="shared" si="11"/>
        <v>93.721763999999993</v>
      </c>
      <c r="M164" s="133"/>
      <c r="N164" s="60">
        <f>L164*'Spectral Functions'!H162*'Spectral Functions'!D162</f>
        <v>31.21670400814341</v>
      </c>
      <c r="O164" s="61">
        <f>'Spectral Functions'!H162*'Spectral Functions'!D162</f>
        <v>0.33307849399999995</v>
      </c>
      <c r="P164" s="61">
        <f>L164*'Spectral Functions'!H162*'Spectral Functions'!F162</f>
        <v>0.14019477847968598</v>
      </c>
      <c r="Q164" s="62">
        <f>'Spectral Functions'!H162*'Spectral Functions'!F162</f>
        <v>1.4958614999999998E-3</v>
      </c>
      <c r="R164" s="31"/>
      <c r="S164" s="60">
        <f>L164*'Spectral Functions'!I162*'Spectral Functions'!D162</f>
        <v>0</v>
      </c>
      <c r="T164" s="61">
        <f>'Spectral Functions'!I162*'Spectral Functions'!D162</f>
        <v>0</v>
      </c>
      <c r="U164" s="61">
        <f>L164*'Spectral Functions'!I162*'Spectral Functions'!F162</f>
        <v>0</v>
      </c>
      <c r="V164" s="62">
        <f>'Spectral Functions'!I162*'Spectral Functions'!F162</f>
        <v>0</v>
      </c>
      <c r="W164" s="31"/>
      <c r="X164" s="60">
        <f>L164*'Spectral Functions'!J162*'Spectral Functions'!D162</f>
        <v>86.337808974124158</v>
      </c>
      <c r="Y164" s="61">
        <f>'Spectral Functions'!J162*'Spectral Functions'!D162</f>
        <v>0.92121408399999982</v>
      </c>
      <c r="Z164" s="61">
        <f>L164*'Spectral Functions'!J162*'Spectral Functions'!F162</f>
        <v>0.38774465108139589</v>
      </c>
      <c r="AA164" s="62">
        <f>'Spectral Functions'!J162*'Spectral Functions'!F162</f>
        <v>4.1371889999999995E-3</v>
      </c>
      <c r="AB164" s="31"/>
      <c r="AC164" s="60">
        <f>L164*'Spectral Functions'!K162*'Spectral Functions'!D162</f>
        <v>33.779768009205114</v>
      </c>
      <c r="AD164" s="61">
        <f>'Spectral Functions'!K162*'Spectral Functions'!D162</f>
        <v>0.36042607999999998</v>
      </c>
      <c r="AE164" s="61">
        <f>L164*'Spectral Functions'!K162*'Spectral Functions'!F162</f>
        <v>0.15170554495151997</v>
      </c>
      <c r="AF164" s="62">
        <f>'Spectral Functions'!K162*'Spectral Functions'!F162</f>
        <v>1.6186799999999999E-3</v>
      </c>
      <c r="AG164" s="31"/>
    </row>
    <row r="165" spans="1:33">
      <c r="A165" s="42">
        <v>700</v>
      </c>
      <c r="B165" s="31"/>
      <c r="C165" s="157">
        <v>93.422753999999998</v>
      </c>
      <c r="D165" s="47">
        <f t="shared" si="8"/>
        <v>93.422753999999998</v>
      </c>
      <c r="E165" s="31"/>
      <c r="F165" s="157">
        <v>93.422753999999998</v>
      </c>
      <c r="G165" s="47">
        <f t="shared" si="9"/>
        <v>93.422753999999998</v>
      </c>
      <c r="H165" s="31"/>
      <c r="I165" s="157">
        <v>93.422753999999998</v>
      </c>
      <c r="J165" s="47">
        <f t="shared" si="10"/>
        <v>93.422753999999998</v>
      </c>
      <c r="K165" s="54"/>
      <c r="L165" s="47">
        <f t="shared" si="11"/>
        <v>93.422753999999998</v>
      </c>
      <c r="M165" s="133"/>
      <c r="N165" s="60">
        <f>L165*'Spectral Functions'!H163*'Spectral Functions'!D163</f>
        <v>27.442049105858658</v>
      </c>
      <c r="O165" s="61">
        <f>'Spectral Functions'!H163*'Spectral Functions'!D163</f>
        <v>0.29374052819999996</v>
      </c>
      <c r="P165" s="61">
        <f>L165*'Spectral Functions'!H163*'Spectral Functions'!F163</f>
        <v>0.12041854800230518</v>
      </c>
      <c r="Q165" s="62">
        <f>'Spectral Functions'!H163*'Spectral Functions'!F163</f>
        <v>1.2889638E-3</v>
      </c>
      <c r="R165" s="31"/>
      <c r="S165" s="60">
        <f>L165*'Spectral Functions'!I163*'Spectral Functions'!D163</f>
        <v>0</v>
      </c>
      <c r="T165" s="61">
        <f>'Spectral Functions'!I163*'Spectral Functions'!D163</f>
        <v>0</v>
      </c>
      <c r="U165" s="61">
        <f>L165*'Spectral Functions'!I163*'Spectral Functions'!F163</f>
        <v>0</v>
      </c>
      <c r="V165" s="62">
        <f>'Spectral Functions'!I163*'Spectral Functions'!F163</f>
        <v>0</v>
      </c>
      <c r="W165" s="31"/>
      <c r="X165" s="60">
        <f>L165*'Spectral Functions'!J163*'Spectral Functions'!D163</f>
        <v>75.977607563516969</v>
      </c>
      <c r="Y165" s="61">
        <f>'Spectral Functions'!J163*'Spectral Functions'!D163</f>
        <v>0.81326662199999988</v>
      </c>
      <c r="Z165" s="61">
        <f>L165*'Spectral Functions'!J163*'Spectral Functions'!F163</f>
        <v>0.33339759535429198</v>
      </c>
      <c r="AA165" s="62">
        <f>'Spectral Functions'!J163*'Spectral Functions'!F163</f>
        <v>3.5686979999999999E-3</v>
      </c>
      <c r="AB165" s="31"/>
      <c r="AC165" s="60">
        <f>L165*'Spectral Functions'!K163*'Spectral Functions'!D163</f>
        <v>29.239696446080398</v>
      </c>
      <c r="AD165" s="61">
        <f>'Spectral Functions'!K163*'Spectral Functions'!D163</f>
        <v>0.31298259999999994</v>
      </c>
      <c r="AE165" s="61">
        <f>L165*'Spectral Functions'!K163*'Spectral Functions'!F163</f>
        <v>0.1283068103436</v>
      </c>
      <c r="AF165" s="62">
        <f>'Spectral Functions'!K163*'Spectral Functions'!F163</f>
        <v>1.3733999999999999E-3</v>
      </c>
      <c r="AG165" s="31"/>
    </row>
    <row r="166" spans="1:33">
      <c r="A166" s="42">
        <v>702</v>
      </c>
      <c r="B166" s="31"/>
      <c r="C166" s="157">
        <v>94.602897999999996</v>
      </c>
      <c r="D166" s="47">
        <f t="shared" si="8"/>
        <v>94.602897999999996</v>
      </c>
      <c r="E166" s="31"/>
      <c r="F166" s="157">
        <v>94.602897999999996</v>
      </c>
      <c r="G166" s="47">
        <f t="shared" si="9"/>
        <v>94.602897999999996</v>
      </c>
      <c r="H166" s="31"/>
      <c r="I166" s="157">
        <v>94.602897999999996</v>
      </c>
      <c r="J166" s="47">
        <f t="shared" si="10"/>
        <v>94.602897999999996</v>
      </c>
      <c r="K166" s="54"/>
      <c r="L166" s="47">
        <f t="shared" si="11"/>
        <v>94.602897999999996</v>
      </c>
      <c r="M166" s="133"/>
      <c r="N166" s="60">
        <f>L166*'Spectral Functions'!H164*'Spectral Functions'!D164</f>
        <v>22.895312166859036</v>
      </c>
      <c r="O166" s="61">
        <f>'Spectral Functions'!H164*'Spectral Functions'!D164</f>
        <v>0.2420149134</v>
      </c>
      <c r="P166" s="61">
        <f>L166*'Spectral Functions'!H164*'Spectral Functions'!F164</f>
        <v>0.1092203323404128</v>
      </c>
      <c r="Q166" s="62">
        <f>'Spectral Functions'!H164*'Spectral Functions'!F164</f>
        <v>1.1545136E-3</v>
      </c>
      <c r="R166" s="31"/>
      <c r="S166" s="60">
        <f>L166*'Spectral Functions'!I164*'Spectral Functions'!D164</f>
        <v>0</v>
      </c>
      <c r="T166" s="61">
        <f>'Spectral Functions'!I164*'Spectral Functions'!D164</f>
        <v>0</v>
      </c>
      <c r="U166" s="61">
        <f>L166*'Spectral Functions'!I164*'Spectral Functions'!F164</f>
        <v>0</v>
      </c>
      <c r="V166" s="62">
        <f>'Spectral Functions'!I164*'Spectral Functions'!F164</f>
        <v>0</v>
      </c>
      <c r="W166" s="31"/>
      <c r="X166" s="60">
        <f>L166*'Spectral Functions'!J164*'Spectral Functions'!D164</f>
        <v>63.302878707173356</v>
      </c>
      <c r="Y166" s="61">
        <f>'Spectral Functions'!J164*'Spectral Functions'!D164</f>
        <v>0.66914312400000009</v>
      </c>
      <c r="Z166" s="61">
        <f>L166*'Spectral Functions'!J164*'Spectral Functions'!F164</f>
        <v>0.30198153229420799</v>
      </c>
      <c r="AA166" s="62">
        <f>'Spectral Functions'!J164*'Spectral Functions'!F164</f>
        <v>3.1920959999999997E-3</v>
      </c>
      <c r="AB166" s="31"/>
      <c r="AC166" s="60">
        <f>L166*'Spectral Functions'!K164*'Spectral Functions'!D164</f>
        <v>23.962354014243839</v>
      </c>
      <c r="AD166" s="61">
        <f>'Spectral Functions'!K164*'Spectral Functions'!D164</f>
        <v>0.25329407999999998</v>
      </c>
      <c r="AE166" s="61">
        <f>L166*'Spectral Functions'!K164*'Spectral Functions'!F164</f>
        <v>0.11431057371135998</v>
      </c>
      <c r="AF166" s="62">
        <f>'Spectral Functions'!K164*'Spectral Functions'!F164</f>
        <v>1.2083199999999999E-3</v>
      </c>
      <c r="AG166" s="31"/>
    </row>
    <row r="167" spans="1:33">
      <c r="A167" s="42">
        <v>704</v>
      </c>
      <c r="B167" s="31"/>
      <c r="C167" s="157">
        <v>94.075936999999996</v>
      </c>
      <c r="D167" s="47">
        <f t="shared" si="8"/>
        <v>94.075936999999996</v>
      </c>
      <c r="E167" s="31"/>
      <c r="F167" s="157">
        <v>94.075936999999996</v>
      </c>
      <c r="G167" s="47">
        <f t="shared" si="9"/>
        <v>94.075936999999996</v>
      </c>
      <c r="H167" s="31"/>
      <c r="I167" s="157">
        <v>94.075936999999996</v>
      </c>
      <c r="J167" s="47">
        <f t="shared" si="10"/>
        <v>94.075936999999996</v>
      </c>
      <c r="K167" s="54"/>
      <c r="L167" s="47">
        <f t="shared" si="11"/>
        <v>94.075936999999996</v>
      </c>
      <c r="M167" s="133"/>
      <c r="N167" s="60">
        <f>L167*'Spectral Functions'!H165*'Spectral Functions'!D165</f>
        <v>20.033775392626413</v>
      </c>
      <c r="O167" s="61">
        <f>'Spectral Functions'!H165*'Spectral Functions'!D165</f>
        <v>0.21295323790000001</v>
      </c>
      <c r="P167" s="61">
        <f>L167*'Spectral Functions'!H165*'Spectral Functions'!F165</f>
        <v>9.5757205700501793E-2</v>
      </c>
      <c r="Q167" s="62">
        <f>'Spectral Functions'!H165*'Spectral Functions'!F165</f>
        <v>1.0178714E-3</v>
      </c>
      <c r="R167" s="31"/>
      <c r="S167" s="60">
        <f>L167*'Spectral Functions'!I165*'Spectral Functions'!D165</f>
        <v>0</v>
      </c>
      <c r="T167" s="61">
        <f>'Spectral Functions'!I165*'Spectral Functions'!D165</f>
        <v>0</v>
      </c>
      <c r="U167" s="61">
        <f>L167*'Spectral Functions'!I165*'Spectral Functions'!F165</f>
        <v>0</v>
      </c>
      <c r="V167" s="62">
        <f>'Spectral Functions'!I165*'Spectral Functions'!F165</f>
        <v>0</v>
      </c>
      <c r="W167" s="31"/>
      <c r="X167" s="60">
        <f>L167*'Spectral Functions'!J165*'Spectral Functions'!D165</f>
        <v>55.314416370268439</v>
      </c>
      <c r="Y167" s="61">
        <f>'Spectral Functions'!J165*'Spectral Functions'!D165</f>
        <v>0.58797624700000006</v>
      </c>
      <c r="Z167" s="61">
        <f>L167*'Spectral Functions'!J165*'Spectral Functions'!F165</f>
        <v>0.26439120149667394</v>
      </c>
      <c r="AA167" s="62">
        <f>'Spectral Functions'!J165*'Spectral Functions'!F165</f>
        <v>2.810402E-3</v>
      </c>
      <c r="AB167" s="31"/>
      <c r="AC167" s="60">
        <f>L167*'Spectral Functions'!K165*'Spectral Functions'!D165</f>
        <v>20.597244355606751</v>
      </c>
      <c r="AD167" s="61">
        <f>'Spectral Functions'!K165*'Spectral Functions'!D165</f>
        <v>0.21894275000000002</v>
      </c>
      <c r="AE167" s="61">
        <f>L167*'Spectral Functions'!K165*'Spectral Functions'!F165</f>
        <v>9.8450468070499994E-2</v>
      </c>
      <c r="AF167" s="62">
        <f>'Spectral Functions'!K165*'Spectral Functions'!F165</f>
        <v>1.0464999999999999E-3</v>
      </c>
      <c r="AG167" s="31"/>
    </row>
    <row r="168" spans="1:33">
      <c r="A168" s="42">
        <v>706</v>
      </c>
      <c r="B168" s="31"/>
      <c r="C168" s="157">
        <v>95.530641000000003</v>
      </c>
      <c r="D168" s="47">
        <f t="shared" si="8"/>
        <v>95.530641000000003</v>
      </c>
      <c r="E168" s="31"/>
      <c r="F168" s="157">
        <v>95.530641000000003</v>
      </c>
      <c r="G168" s="47">
        <f t="shared" si="9"/>
        <v>95.530641000000003</v>
      </c>
      <c r="H168" s="31"/>
      <c r="I168" s="157">
        <v>95.530641000000003</v>
      </c>
      <c r="J168" s="47">
        <f t="shared" si="10"/>
        <v>95.530641000000003</v>
      </c>
      <c r="K168" s="54"/>
      <c r="L168" s="47">
        <f t="shared" si="11"/>
        <v>95.530641000000003</v>
      </c>
      <c r="M168" s="133"/>
      <c r="N168" s="60">
        <f>L168*'Spectral Functions'!H166*'Spectral Functions'!D166</f>
        <v>19.160266751683675</v>
      </c>
      <c r="O168" s="61">
        <f>'Spectral Functions'!H166*'Spectral Functions'!D166</f>
        <v>0.20056671400000001</v>
      </c>
      <c r="P168" s="61">
        <f>L168*'Spectral Functions'!H166*'Spectral Functions'!F166</f>
        <v>8.3974872542076001E-2</v>
      </c>
      <c r="Q168" s="62">
        <f>'Spectral Functions'!H166*'Spectral Functions'!F166</f>
        <v>8.7903600000000003E-4</v>
      </c>
      <c r="R168" s="31"/>
      <c r="S168" s="60">
        <f>L168*'Spectral Functions'!I166*'Spectral Functions'!D166</f>
        <v>0</v>
      </c>
      <c r="T168" s="61">
        <f>'Spectral Functions'!I166*'Spectral Functions'!D166</f>
        <v>0</v>
      </c>
      <c r="U168" s="61">
        <f>L168*'Spectral Functions'!I166*'Spectral Functions'!F166</f>
        <v>0</v>
      </c>
      <c r="V168" s="62">
        <f>'Spectral Functions'!I166*'Spectral Functions'!F166</f>
        <v>0</v>
      </c>
      <c r="W168" s="31"/>
      <c r="X168" s="60">
        <f>L168*'Spectral Functions'!J166*'Spectral Functions'!D166</f>
        <v>52.828381040654378</v>
      </c>
      <c r="Y168" s="61">
        <f>'Spectral Functions'!J166*'Spectral Functions'!D166</f>
        <v>0.55299933600000006</v>
      </c>
      <c r="Z168" s="61">
        <f>L168*'Spectral Functions'!J166*'Spectral Functions'!F166</f>
        <v>0.23153417548862401</v>
      </c>
      <c r="AA168" s="62">
        <f>'Spectral Functions'!J166*'Spectral Functions'!F166</f>
        <v>2.4236640000000003E-3</v>
      </c>
      <c r="AB168" s="31"/>
      <c r="AC168" s="60">
        <f>L168*'Spectral Functions'!K166*'Spectral Functions'!D166</f>
        <v>19.347807347440259</v>
      </c>
      <c r="AD168" s="61">
        <f>'Spectral Functions'!K166*'Spectral Functions'!D166</f>
        <v>0.20252986000000001</v>
      </c>
      <c r="AE168" s="61">
        <f>L168*'Spectral Functions'!K166*'Spectral Functions'!F166</f>
        <v>8.479681817724001E-2</v>
      </c>
      <c r="AF168" s="62">
        <f>'Spectral Functions'!K166*'Spectral Functions'!F166</f>
        <v>8.8763999999999998E-4</v>
      </c>
      <c r="AG168" s="31"/>
    </row>
    <row r="169" spans="1:33">
      <c r="A169" s="42">
        <v>708</v>
      </c>
      <c r="B169" s="31"/>
      <c r="C169" s="157">
        <v>93.954334000000003</v>
      </c>
      <c r="D169" s="47">
        <f t="shared" si="8"/>
        <v>93.954334000000003</v>
      </c>
      <c r="E169" s="31"/>
      <c r="F169" s="157">
        <v>93.954334000000003</v>
      </c>
      <c r="G169" s="47">
        <f t="shared" si="9"/>
        <v>93.954334000000003</v>
      </c>
      <c r="H169" s="31"/>
      <c r="I169" s="157">
        <v>93.954334000000003</v>
      </c>
      <c r="J169" s="47">
        <f t="shared" si="10"/>
        <v>93.954334000000003</v>
      </c>
      <c r="K169" s="54"/>
      <c r="L169" s="47">
        <f t="shared" si="11"/>
        <v>93.954334000000003</v>
      </c>
      <c r="M169" s="133"/>
      <c r="N169" s="60">
        <f>L169*'Spectral Functions'!H167*'Spectral Functions'!D167</f>
        <v>16.592879661856863</v>
      </c>
      <c r="O169" s="61">
        <f>'Spectral Functions'!H167*'Spectral Functions'!D167</f>
        <v>0.17660579300000001</v>
      </c>
      <c r="P169" s="61">
        <f>L169*'Spectral Functions'!H167*'Spectral Functions'!F167</f>
        <v>7.6273161838874004E-2</v>
      </c>
      <c r="Q169" s="62">
        <f>'Spectral Functions'!H167*'Spectral Functions'!F167</f>
        <v>8.1181099999999996E-4</v>
      </c>
      <c r="R169" s="31"/>
      <c r="S169" s="60">
        <f>L169*'Spectral Functions'!I167*'Spectral Functions'!D167</f>
        <v>0</v>
      </c>
      <c r="T169" s="61">
        <f>'Spectral Functions'!I167*'Spectral Functions'!D167</f>
        <v>0</v>
      </c>
      <c r="U169" s="61">
        <f>L169*'Spectral Functions'!I167*'Spectral Functions'!F167</f>
        <v>0</v>
      </c>
      <c r="V169" s="62">
        <f>'Spectral Functions'!I167*'Spectral Functions'!F167</f>
        <v>0</v>
      </c>
      <c r="W169" s="31"/>
      <c r="X169" s="60">
        <f>L169*'Spectral Functions'!J167*'Spectral Functions'!D167</f>
        <v>45.684884796832094</v>
      </c>
      <c r="Y169" s="61">
        <f>'Spectral Functions'!J167*'Spectral Functions'!D167</f>
        <v>0.48624563500000001</v>
      </c>
      <c r="Z169" s="61">
        <f>L169*'Spectral Functions'!J167*'Spectral Functions'!F167</f>
        <v>0.21000155986843</v>
      </c>
      <c r="AA169" s="62">
        <f>'Spectral Functions'!J167*'Spectral Functions'!F167</f>
        <v>2.235145E-3</v>
      </c>
      <c r="AB169" s="31"/>
      <c r="AC169" s="60">
        <f>L169*'Spectral Functions'!K167*'Spectral Functions'!D167</f>
        <v>16.453258541953165</v>
      </c>
      <c r="AD169" s="61">
        <f>'Spectral Functions'!K167*'Spectral Functions'!D167</f>
        <v>0.17511974000000002</v>
      </c>
      <c r="AE169" s="61">
        <f>L169*'Spectral Functions'!K167*'Spectral Functions'!F167</f>
        <v>7.5631359783320015E-2</v>
      </c>
      <c r="AF169" s="62">
        <f>'Spectral Functions'!K167*'Spectral Functions'!F167</f>
        <v>8.0498000000000006E-4</v>
      </c>
      <c r="AG169" s="31"/>
    </row>
    <row r="170" spans="1:33">
      <c r="A170" s="42">
        <v>710</v>
      </c>
      <c r="B170" s="31"/>
      <c r="C170" s="157">
        <v>95.790458000000001</v>
      </c>
      <c r="D170" s="47">
        <f t="shared" si="8"/>
        <v>95.790458000000001</v>
      </c>
      <c r="E170" s="31"/>
      <c r="F170" s="157">
        <v>95.790458000000001</v>
      </c>
      <c r="G170" s="47">
        <f t="shared" si="9"/>
        <v>95.790458000000001</v>
      </c>
      <c r="H170" s="31"/>
      <c r="I170" s="157">
        <v>95.790458000000001</v>
      </c>
      <c r="J170" s="47">
        <f t="shared" si="10"/>
        <v>95.790458000000001</v>
      </c>
      <c r="K170" s="54"/>
      <c r="L170" s="47">
        <f t="shared" si="11"/>
        <v>95.790458000000001</v>
      </c>
      <c r="M170" s="133"/>
      <c r="N170" s="60">
        <f>L170*'Spectral Functions'!H168*'Spectral Functions'!D168</f>
        <v>14.891944677011622</v>
      </c>
      <c r="O170" s="61">
        <f>'Spectral Functions'!H168*'Spectral Functions'!D168</f>
        <v>0.15546375900000001</v>
      </c>
      <c r="P170" s="61">
        <f>L170*'Spectral Functions'!H168*'Spectral Functions'!F168</f>
        <v>6.4097322856578001E-2</v>
      </c>
      <c r="Q170" s="62">
        <f>'Spectral Functions'!H168*'Spectral Functions'!F168</f>
        <v>6.6914100000000005E-4</v>
      </c>
      <c r="R170" s="31"/>
      <c r="S170" s="60">
        <f>L170*'Spectral Functions'!I168*'Spectral Functions'!D168</f>
        <v>0</v>
      </c>
      <c r="T170" s="61">
        <f>'Spectral Functions'!I168*'Spectral Functions'!D168</f>
        <v>0</v>
      </c>
      <c r="U170" s="61">
        <f>L170*'Spectral Functions'!I168*'Spectral Functions'!F168</f>
        <v>0</v>
      </c>
      <c r="V170" s="62">
        <f>'Spectral Functions'!I168*'Spectral Functions'!F168</f>
        <v>0</v>
      </c>
      <c r="W170" s="31"/>
      <c r="X170" s="60">
        <f>L170*'Spectral Functions'!J168*'Spectral Functions'!D168</f>
        <v>40.942682746012302</v>
      </c>
      <c r="Y170" s="61">
        <f>'Spectral Functions'!J168*'Spectral Functions'!D168</f>
        <v>0.42741921899999996</v>
      </c>
      <c r="Z170" s="61">
        <f>L170*'Spectral Functions'!J168*'Spectral Functions'!F168</f>
        <v>0.17622388556389801</v>
      </c>
      <c r="AA170" s="62">
        <f>'Spectral Functions'!J168*'Spectral Functions'!F168</f>
        <v>1.8396809999999999E-3</v>
      </c>
      <c r="AB170" s="31"/>
      <c r="AC170" s="60">
        <f>L170*'Spectral Functions'!K168*'Spectral Functions'!D168</f>
        <v>14.501564171887201</v>
      </c>
      <c r="AD170" s="61">
        <f>'Spectral Functions'!K168*'Spectral Functions'!D168</f>
        <v>0.15138840000000001</v>
      </c>
      <c r="AE170" s="61">
        <f>L170*'Spectral Functions'!K168*'Spectral Functions'!F168</f>
        <v>6.2417062432800013E-2</v>
      </c>
      <c r="AF170" s="62">
        <f>'Spectral Functions'!K168*'Spectral Functions'!F168</f>
        <v>6.5160000000000012E-4</v>
      </c>
      <c r="AG170" s="31"/>
    </row>
    <row r="171" spans="1:33">
      <c r="A171" s="42">
        <v>712</v>
      </c>
      <c r="B171" s="31"/>
      <c r="C171" s="157">
        <v>95.260420999999994</v>
      </c>
      <c r="D171" s="47">
        <f t="shared" si="8"/>
        <v>95.260420999999994</v>
      </c>
      <c r="E171" s="31"/>
      <c r="F171" s="157">
        <v>95.260420999999994</v>
      </c>
      <c r="G171" s="47">
        <f t="shared" si="9"/>
        <v>95.260420999999994</v>
      </c>
      <c r="H171" s="31"/>
      <c r="I171" s="157">
        <v>95.260420999999994</v>
      </c>
      <c r="J171" s="47">
        <f t="shared" si="10"/>
        <v>95.260420999999994</v>
      </c>
      <c r="K171" s="54"/>
      <c r="L171" s="47">
        <f t="shared" si="11"/>
        <v>95.260420999999994</v>
      </c>
      <c r="M171" s="133"/>
      <c r="N171" s="60">
        <f>L171*'Spectral Functions'!H169*'Spectral Functions'!D169</f>
        <v>12.482449265734999</v>
      </c>
      <c r="O171" s="61">
        <f>'Spectral Functions'!H169*'Spectral Functions'!D169</f>
        <v>0.13103499999999998</v>
      </c>
      <c r="P171" s="61">
        <f>L171*'Spectral Functions'!H169*'Spectral Functions'!F169</f>
        <v>5.4717585822399994E-2</v>
      </c>
      <c r="Q171" s="62">
        <f>'Spectral Functions'!H169*'Spectral Functions'!F169</f>
        <v>5.7439999999999998E-4</v>
      </c>
      <c r="R171" s="31"/>
      <c r="S171" s="60">
        <f>L171*'Spectral Functions'!I169*'Spectral Functions'!D169</f>
        <v>0</v>
      </c>
      <c r="T171" s="61">
        <f>'Spectral Functions'!I169*'Spectral Functions'!D169</f>
        <v>0</v>
      </c>
      <c r="U171" s="61">
        <f>L171*'Spectral Functions'!I169*'Spectral Functions'!F169</f>
        <v>0</v>
      </c>
      <c r="V171" s="62">
        <f>'Spectral Functions'!I169*'Spectral Functions'!F169</f>
        <v>0</v>
      </c>
      <c r="W171" s="31"/>
      <c r="X171" s="60">
        <f>L171*'Spectral Functions'!J169*'Spectral Functions'!D169</f>
        <v>35.746396771913204</v>
      </c>
      <c r="Y171" s="61">
        <f>'Spectral Functions'!J169*'Spectral Functions'!D169</f>
        <v>0.3752492</v>
      </c>
      <c r="Z171" s="61">
        <f>L171*'Spectral Functions'!J169*'Spectral Functions'!F169</f>
        <v>0.15669653379468801</v>
      </c>
      <c r="AA171" s="62">
        <f>'Spectral Functions'!J169*'Spectral Functions'!F169</f>
        <v>1.6449279999999999E-3</v>
      </c>
      <c r="AB171" s="31"/>
      <c r="AC171" s="60">
        <f>L171*'Spectral Functions'!K169*'Spectral Functions'!D169</f>
        <v>12.447679212069998</v>
      </c>
      <c r="AD171" s="61">
        <f>'Spectral Functions'!K169*'Spectral Functions'!D169</f>
        <v>0.13066999999999998</v>
      </c>
      <c r="AE171" s="61">
        <f>L171*'Spectral Functions'!K169*'Spectral Functions'!F169</f>
        <v>5.456516914879999E-2</v>
      </c>
      <c r="AF171" s="62">
        <f>'Spectral Functions'!K169*'Spectral Functions'!F169</f>
        <v>5.7279999999999994E-4</v>
      </c>
      <c r="AG171" s="31"/>
    </row>
    <row r="172" spans="1:33">
      <c r="A172" s="42">
        <v>714</v>
      </c>
      <c r="B172" s="31"/>
      <c r="C172" s="157">
        <v>95.097559000000004</v>
      </c>
      <c r="D172" s="47">
        <f t="shared" si="8"/>
        <v>95.097559000000004</v>
      </c>
      <c r="E172" s="31"/>
      <c r="F172" s="157">
        <v>95.097559000000004</v>
      </c>
      <c r="G172" s="47">
        <f t="shared" si="9"/>
        <v>95.097559000000004</v>
      </c>
      <c r="H172" s="31"/>
      <c r="I172" s="157">
        <v>95.097559000000004</v>
      </c>
      <c r="J172" s="47">
        <f t="shared" si="10"/>
        <v>95.097559000000004</v>
      </c>
      <c r="K172" s="54"/>
      <c r="L172" s="47">
        <f t="shared" si="11"/>
        <v>95.097559000000004</v>
      </c>
      <c r="M172" s="133"/>
      <c r="N172" s="60">
        <f>L172*'Spectral Functions'!H170*'Spectral Functions'!D170</f>
        <v>10.471105682711311</v>
      </c>
      <c r="O172" s="61">
        <f>'Spectral Functions'!H170*'Spectral Functions'!D170</f>
        <v>0.11010909000000001</v>
      </c>
      <c r="P172" s="61">
        <f>L172*'Spectral Functions'!H170*'Spectral Functions'!F170</f>
        <v>4.6099207408163007E-2</v>
      </c>
      <c r="Q172" s="62">
        <f>'Spectral Functions'!H170*'Spectral Functions'!F170</f>
        <v>4.8475700000000005E-4</v>
      </c>
      <c r="R172" s="31"/>
      <c r="S172" s="60">
        <f>L172*'Spectral Functions'!I170*'Spectral Functions'!D170</f>
        <v>0</v>
      </c>
      <c r="T172" s="61">
        <f>'Spectral Functions'!I170*'Spectral Functions'!D170</f>
        <v>0</v>
      </c>
      <c r="U172" s="61">
        <f>L172*'Spectral Functions'!I170*'Spectral Functions'!F170</f>
        <v>0</v>
      </c>
      <c r="V172" s="62">
        <f>'Spectral Functions'!I170*'Spectral Functions'!F170</f>
        <v>0</v>
      </c>
      <c r="W172" s="31"/>
      <c r="X172" s="60">
        <f>L172*'Spectral Functions'!J170*'Spectral Functions'!D170</f>
        <v>31.27148664669015</v>
      </c>
      <c r="Y172" s="61">
        <f>'Spectral Functions'!J170*'Spectral Functions'!D170</f>
        <v>0.32883584999999999</v>
      </c>
      <c r="Z172" s="61">
        <f>L172*'Spectral Functions'!J170*'Spectral Functions'!F170</f>
        <v>0.13767321165209501</v>
      </c>
      <c r="AA172" s="62">
        <f>'Spectral Functions'!J170*'Spectral Functions'!F170</f>
        <v>1.4477049999999999E-3</v>
      </c>
      <c r="AB172" s="31"/>
      <c r="AC172" s="60">
        <f>L172*'Spectral Functions'!K170*'Spectral Functions'!D170</f>
        <v>10.705322411748</v>
      </c>
      <c r="AD172" s="61">
        <f>'Spectral Functions'!K170*'Spectral Functions'!D170</f>
        <v>0.11257200000000001</v>
      </c>
      <c r="AE172" s="61">
        <f>L172*'Spectral Functions'!K170*'Spectral Functions'!F170</f>
        <v>4.71303502404E-2</v>
      </c>
      <c r="AF172" s="62">
        <f>'Spectral Functions'!K170*'Spectral Functions'!F170</f>
        <v>4.9560000000000001E-4</v>
      </c>
      <c r="AG172" s="31"/>
    </row>
    <row r="173" spans="1:33">
      <c r="A173" s="42">
        <v>716</v>
      </c>
      <c r="B173" s="31"/>
      <c r="C173" s="157">
        <v>94.60351</v>
      </c>
      <c r="D173" s="47">
        <f t="shared" si="8"/>
        <v>94.60351</v>
      </c>
      <c r="E173" s="31"/>
      <c r="F173" s="157">
        <v>94.60351</v>
      </c>
      <c r="G173" s="47">
        <f t="shared" si="9"/>
        <v>94.60351</v>
      </c>
      <c r="H173" s="31"/>
      <c r="I173" s="157">
        <v>94.60351</v>
      </c>
      <c r="J173" s="47">
        <f t="shared" si="10"/>
        <v>94.60351</v>
      </c>
      <c r="K173" s="54"/>
      <c r="L173" s="47">
        <f t="shared" si="11"/>
        <v>94.603509999999986</v>
      </c>
      <c r="M173" s="133"/>
      <c r="N173" s="60">
        <f>L173*'Spectral Functions'!H171*'Spectral Functions'!D171</f>
        <v>8.7333767604436794</v>
      </c>
      <c r="O173" s="61">
        <f>'Spectral Functions'!H171*'Spectral Functions'!D171</f>
        <v>9.2315568000000001E-2</v>
      </c>
      <c r="P173" s="61">
        <f>L173*'Spectral Functions'!H171*'Spectral Functions'!F171</f>
        <v>3.7861459944119998E-2</v>
      </c>
      <c r="Q173" s="62">
        <f>'Spectral Functions'!H171*'Spectral Functions'!F171</f>
        <v>4.00212E-4</v>
      </c>
      <c r="R173" s="31"/>
      <c r="S173" s="60">
        <f>L173*'Spectral Functions'!I171*'Spectral Functions'!D171</f>
        <v>0</v>
      </c>
      <c r="T173" s="61">
        <f>'Spectral Functions'!I171*'Spectral Functions'!D171</f>
        <v>0</v>
      </c>
      <c r="U173" s="61">
        <f>L173*'Spectral Functions'!I171*'Spectral Functions'!F171</f>
        <v>0</v>
      </c>
      <c r="V173" s="62">
        <f>'Spectral Functions'!I171*'Spectral Functions'!F171</f>
        <v>0</v>
      </c>
      <c r="W173" s="31"/>
      <c r="X173" s="60">
        <f>L173*'Spectral Functions'!J171*'Spectral Functions'!D171</f>
        <v>27.234487218267034</v>
      </c>
      <c r="Y173" s="61">
        <f>'Spectral Functions'!J171*'Spectral Functions'!D171</f>
        <v>0.28788030400000003</v>
      </c>
      <c r="Z173" s="61">
        <f>L173*'Spectral Functions'!J171*'Spectral Functions'!F171</f>
        <v>0.11806858620635999</v>
      </c>
      <c r="AA173" s="62">
        <f>'Spectral Functions'!J171*'Spectral Functions'!F171</f>
        <v>1.2480360000000001E-3</v>
      </c>
      <c r="AB173" s="31"/>
      <c r="AC173" s="60">
        <f>L173*'Spectral Functions'!K171*'Spectral Functions'!D171</f>
        <v>9.1625694236431983</v>
      </c>
      <c r="AD173" s="61">
        <f>'Spectral Functions'!K171*'Spectral Functions'!D171</f>
        <v>9.6852320000000006E-2</v>
      </c>
      <c r="AE173" s="61">
        <f>L173*'Spectral Functions'!K171*'Spectral Functions'!F171</f>
        <v>3.9722121778799996E-2</v>
      </c>
      <c r="AF173" s="62">
        <f>'Spectral Functions'!K171*'Spectral Functions'!F171</f>
        <v>4.1988000000000003E-4</v>
      </c>
      <c r="AG173" s="31"/>
    </row>
    <row r="174" spans="1:33">
      <c r="A174" s="42">
        <v>718</v>
      </c>
      <c r="B174" s="31"/>
      <c r="C174" s="157">
        <v>95.239714000000006</v>
      </c>
      <c r="D174" s="47">
        <f t="shared" si="8"/>
        <v>95.239714000000006</v>
      </c>
      <c r="E174" s="31"/>
      <c r="F174" s="157">
        <v>95.239714000000006</v>
      </c>
      <c r="G174" s="47">
        <f t="shared" si="9"/>
        <v>95.239714000000006</v>
      </c>
      <c r="H174" s="31"/>
      <c r="I174" s="157">
        <v>95.239714000000006</v>
      </c>
      <c r="J174" s="47">
        <f t="shared" si="10"/>
        <v>95.239714000000006</v>
      </c>
      <c r="K174" s="54"/>
      <c r="L174" s="47">
        <f t="shared" si="11"/>
        <v>95.239714000000006</v>
      </c>
      <c r="M174" s="133"/>
      <c r="N174" s="60">
        <f>L174*'Spectral Functions'!H172*'Spectral Functions'!D172</f>
        <v>7.3563357001793692</v>
      </c>
      <c r="O174" s="61">
        <f>'Spectral Functions'!H172*'Spectral Functions'!D172</f>
        <v>7.7240212000000003E-2</v>
      </c>
      <c r="P174" s="61">
        <f>L174*'Spectral Functions'!H172*'Spectral Functions'!F172</f>
        <v>3.6659480233452009E-2</v>
      </c>
      <c r="Q174" s="62">
        <f>'Spectral Functions'!H172*'Spectral Functions'!F172</f>
        <v>3.8491800000000004E-4</v>
      </c>
      <c r="R174" s="31"/>
      <c r="S174" s="60">
        <f>L174*'Spectral Functions'!I172*'Spectral Functions'!D172</f>
        <v>0</v>
      </c>
      <c r="T174" s="61">
        <f>'Spectral Functions'!I172*'Spectral Functions'!D172</f>
        <v>0</v>
      </c>
      <c r="U174" s="61">
        <f>L174*'Spectral Functions'!I172*'Spectral Functions'!F172</f>
        <v>0</v>
      </c>
      <c r="V174" s="62">
        <f>'Spectral Functions'!I172*'Spectral Functions'!F172</f>
        <v>0</v>
      </c>
      <c r="W174" s="31"/>
      <c r="X174" s="60">
        <f>L174*'Spectral Functions'!J172*'Spectral Functions'!D172</f>
        <v>23.987413040462986</v>
      </c>
      <c r="Y174" s="61">
        <f>'Spectral Functions'!J172*'Spectral Functions'!D172</f>
        <v>0.25186355599999999</v>
      </c>
      <c r="Z174" s="61">
        <f>L174*'Spectral Functions'!J172*'Spectral Functions'!F172</f>
        <v>0.11953860319167602</v>
      </c>
      <c r="AA174" s="62">
        <f>'Spectral Functions'!J172*'Spectral Functions'!F172</f>
        <v>1.255134E-3</v>
      </c>
      <c r="AB174" s="31"/>
      <c r="AC174" s="60">
        <f>L174*'Spectral Functions'!K172*'Spectral Functions'!D172</f>
        <v>7.8135194707998403</v>
      </c>
      <c r="AD174" s="61">
        <f>'Spectral Functions'!K172*'Spectral Functions'!D172</f>
        <v>8.2040559999999998E-2</v>
      </c>
      <c r="AE174" s="61">
        <f>L174*'Spectral Functions'!K172*'Spectral Functions'!F172</f>
        <v>3.8937804671760001E-2</v>
      </c>
      <c r="AF174" s="62">
        <f>'Spectral Functions'!K172*'Spectral Functions'!F172</f>
        <v>4.0884E-4</v>
      </c>
      <c r="AG174" s="31"/>
    </row>
    <row r="175" spans="1:33">
      <c r="A175" s="42">
        <v>720</v>
      </c>
      <c r="B175" s="31"/>
      <c r="C175" s="157">
        <v>95.161606000000006</v>
      </c>
      <c r="D175" s="47">
        <f t="shared" si="8"/>
        <v>95.161606000000006</v>
      </c>
      <c r="E175" s="31"/>
      <c r="F175" s="157">
        <v>95.161606000000006</v>
      </c>
      <c r="G175" s="47">
        <f t="shared" si="9"/>
        <v>95.161606000000006</v>
      </c>
      <c r="H175" s="31"/>
      <c r="I175" s="157">
        <v>95.161606000000006</v>
      </c>
      <c r="J175" s="47">
        <f t="shared" si="10"/>
        <v>95.161606000000006</v>
      </c>
      <c r="K175" s="54"/>
      <c r="L175" s="47">
        <f t="shared" si="11"/>
        <v>95.161606000000006</v>
      </c>
      <c r="M175" s="133"/>
      <c r="N175" s="60">
        <f>L175*'Spectral Functions'!H173*'Spectral Functions'!D173</f>
        <v>6.1378653480971277</v>
      </c>
      <c r="O175" s="61">
        <f>'Spectral Functions'!H173*'Spectral Functions'!D173</f>
        <v>6.4499387999999991E-2</v>
      </c>
      <c r="P175" s="61">
        <f>L175*'Spectral Functions'!H173*'Spectral Functions'!F173</f>
        <v>2.9311677880120002E-2</v>
      </c>
      <c r="Q175" s="62">
        <f>'Spectral Functions'!H173*'Spectral Functions'!F173</f>
        <v>3.0802E-4</v>
      </c>
      <c r="R175" s="31"/>
      <c r="S175" s="60">
        <f>L175*'Spectral Functions'!I173*'Spectral Functions'!D173</f>
        <v>0</v>
      </c>
      <c r="T175" s="61">
        <f>'Spectral Functions'!I173*'Spectral Functions'!D173</f>
        <v>0</v>
      </c>
      <c r="U175" s="61">
        <f>L175*'Spectral Functions'!I173*'Spectral Functions'!F173</f>
        <v>0</v>
      </c>
      <c r="V175" s="62">
        <f>'Spectral Functions'!I173*'Spectral Functions'!F173</f>
        <v>0</v>
      </c>
      <c r="W175" s="31"/>
      <c r="X175" s="60">
        <f>L175*'Spectral Functions'!J173*'Spectral Functions'!D173</f>
        <v>20.959548794760931</v>
      </c>
      <c r="Y175" s="61">
        <f>'Spectral Functions'!J173*'Spectral Functions'!D173</f>
        <v>0.22025215500000001</v>
      </c>
      <c r="Z175" s="61">
        <f>L175*'Spectral Functions'!J173*'Spectral Functions'!F173</f>
        <v>0.10009335623095002</v>
      </c>
      <c r="AA175" s="62">
        <f>'Spectral Functions'!J173*'Spectral Functions'!F173</f>
        <v>1.0518250000000002E-3</v>
      </c>
      <c r="AB175" s="31"/>
      <c r="AC175" s="60">
        <f>L175*'Spectral Functions'!K173*'Spectral Functions'!D173</f>
        <v>6.8050159612206</v>
      </c>
      <c r="AD175" s="61">
        <f>'Spectral Functions'!K173*'Spectral Functions'!D173</f>
        <v>7.1510099999999993E-2</v>
      </c>
      <c r="AE175" s="61">
        <f>L175*'Spectral Functions'!K173*'Spectral Functions'!F173</f>
        <v>3.2497688449000008E-2</v>
      </c>
      <c r="AF175" s="62">
        <f>'Spectral Functions'!K173*'Spectral Functions'!F173</f>
        <v>3.4150000000000001E-4</v>
      </c>
      <c r="AG175" s="31"/>
    </row>
    <row r="176" spans="1:33">
      <c r="A176" s="42">
        <v>722</v>
      </c>
      <c r="B176" s="31"/>
      <c r="C176" s="157">
        <v>94.985342000000003</v>
      </c>
      <c r="D176" s="47">
        <f t="shared" si="8"/>
        <v>94.985342000000003</v>
      </c>
      <c r="E176" s="31"/>
      <c r="F176" s="157">
        <v>94.985342000000003</v>
      </c>
      <c r="G176" s="47">
        <f t="shared" si="9"/>
        <v>94.985342000000003</v>
      </c>
      <c r="H176" s="31"/>
      <c r="I176" s="157">
        <v>94.985342000000003</v>
      </c>
      <c r="J176" s="47">
        <f t="shared" si="10"/>
        <v>94.985342000000003</v>
      </c>
      <c r="K176" s="54"/>
      <c r="L176" s="47">
        <f t="shared" si="11"/>
        <v>94.985342000000003</v>
      </c>
      <c r="M176" s="133"/>
      <c r="N176" s="60">
        <f>L176*'Spectral Functions'!H174*'Spectral Functions'!D174</f>
        <v>5.4740179210060891</v>
      </c>
      <c r="O176" s="61">
        <f>'Spectral Functions'!H174*'Spectral Functions'!D174</f>
        <v>5.7630133300000004E-2</v>
      </c>
      <c r="P176" s="61">
        <f>L176*'Spectral Functions'!H174*'Spectral Functions'!F174</f>
        <v>2.4035204922090402E-2</v>
      </c>
      <c r="Q176" s="62">
        <f>'Spectral Functions'!H174*'Spectral Functions'!F174</f>
        <v>2.5304119999999998E-4</v>
      </c>
      <c r="R176" s="31"/>
      <c r="S176" s="60">
        <f>L176*'Spectral Functions'!I174*'Spectral Functions'!D174</f>
        <v>0</v>
      </c>
      <c r="T176" s="61">
        <f>'Spectral Functions'!I174*'Spectral Functions'!D174</f>
        <v>0</v>
      </c>
      <c r="U176" s="61">
        <f>L176*'Spectral Functions'!I174*'Spectral Functions'!F174</f>
        <v>0</v>
      </c>
      <c r="V176" s="62">
        <f>'Spectral Functions'!I174*'Spectral Functions'!F174</f>
        <v>0</v>
      </c>
      <c r="W176" s="31"/>
      <c r="X176" s="60">
        <f>L176*'Spectral Functions'!J174*'Spectral Functions'!D174</f>
        <v>18.304212260552987</v>
      </c>
      <c r="Y176" s="61">
        <f>'Spectral Functions'!J174*'Spectral Functions'!D174</f>
        <v>0.19270565200000001</v>
      </c>
      <c r="Z176" s="61">
        <f>L176*'Spectral Functions'!J174*'Spectral Functions'!F174</f>
        <v>8.0369757455776E-2</v>
      </c>
      <c r="AA176" s="62">
        <f>'Spectral Functions'!J174*'Spectral Functions'!F174</f>
        <v>8.4612800000000003E-4</v>
      </c>
      <c r="AB176" s="31"/>
      <c r="AC176" s="60">
        <f>L176*'Spectral Functions'!K174*'Spectral Functions'!D174</f>
        <v>5.8408861429350001</v>
      </c>
      <c r="AD176" s="61">
        <f>'Spectral Functions'!K174*'Spectral Functions'!D174</f>
        <v>6.1492499999999999E-2</v>
      </c>
      <c r="AE176" s="61">
        <f>L176*'Spectral Functions'!K174*'Spectral Functions'!F174</f>
        <v>2.5646042339999998E-2</v>
      </c>
      <c r="AF176" s="62">
        <f>'Spectral Functions'!K174*'Spectral Functions'!F174</f>
        <v>2.7E-4</v>
      </c>
      <c r="AG176" s="31"/>
    </row>
    <row r="177" spans="1:33">
      <c r="A177" s="42">
        <v>724</v>
      </c>
      <c r="B177" s="31"/>
      <c r="C177" s="157">
        <v>94.523664999999994</v>
      </c>
      <c r="D177" s="47">
        <f t="shared" si="8"/>
        <v>94.523664999999994</v>
      </c>
      <c r="E177" s="31"/>
      <c r="F177" s="157">
        <v>94.523664999999994</v>
      </c>
      <c r="G177" s="47">
        <f t="shared" si="9"/>
        <v>94.523664999999994</v>
      </c>
      <c r="H177" s="31"/>
      <c r="I177" s="157">
        <v>94.523664999999994</v>
      </c>
      <c r="J177" s="47">
        <f t="shared" si="10"/>
        <v>94.523664999999994</v>
      </c>
      <c r="K177" s="54"/>
      <c r="L177" s="47">
        <f t="shared" si="11"/>
        <v>94.523664999999994</v>
      </c>
      <c r="M177" s="133"/>
      <c r="N177" s="60">
        <f>L177*'Spectral Functions'!H175*'Spectral Functions'!D175</f>
        <v>4.8659708764118266</v>
      </c>
      <c r="O177" s="61">
        <f>'Spectral Functions'!H175*'Spectral Functions'!D175</f>
        <v>5.1478863800000003E-2</v>
      </c>
      <c r="P177" s="61">
        <f>L177*'Spectral Functions'!H175*'Spectral Functions'!F175</f>
        <v>2.4544619805355997E-2</v>
      </c>
      <c r="Q177" s="62">
        <f>'Spectral Functions'!H175*'Spectral Functions'!F175</f>
        <v>2.596664E-4</v>
      </c>
      <c r="R177" s="31"/>
      <c r="S177" s="60">
        <f>L177*'Spectral Functions'!I175*'Spectral Functions'!D175</f>
        <v>0</v>
      </c>
      <c r="T177" s="61">
        <f>'Spectral Functions'!I175*'Spectral Functions'!D175</f>
        <v>0</v>
      </c>
      <c r="U177" s="61">
        <f>L177*'Spectral Functions'!I175*'Spectral Functions'!F175</f>
        <v>0</v>
      </c>
      <c r="V177" s="62">
        <f>'Spectral Functions'!I175*'Spectral Functions'!F175</f>
        <v>0</v>
      </c>
      <c r="W177" s="31"/>
      <c r="X177" s="60">
        <f>L177*'Spectral Functions'!J175*'Spectral Functions'!D175</f>
        <v>15.942735936184395</v>
      </c>
      <c r="Y177" s="61">
        <f>'Spectral Functions'!J175*'Spectral Functions'!D175</f>
        <v>0.168663963</v>
      </c>
      <c r="Z177" s="61">
        <f>L177*'Spectral Functions'!J175*'Spectral Functions'!F175</f>
        <v>8.0417331330059988E-2</v>
      </c>
      <c r="AA177" s="62">
        <f>'Spectral Functions'!J175*'Spectral Functions'!F175</f>
        <v>8.5076399999999995E-4</v>
      </c>
      <c r="AB177" s="31"/>
      <c r="AC177" s="60">
        <f>L177*'Spectral Functions'!K175*'Spectral Functions'!D175</f>
        <v>4.9996496652114999</v>
      </c>
      <c r="AD177" s="61">
        <f>'Spectral Functions'!K175*'Spectral Functions'!D175</f>
        <v>5.2893099999999998E-2</v>
      </c>
      <c r="AE177" s="61">
        <f>L177*'Spectral Functions'!K175*'Spectral Functions'!F175</f>
        <v>2.5218913821999998E-2</v>
      </c>
      <c r="AF177" s="62">
        <f>'Spectral Functions'!K175*'Spectral Functions'!F175</f>
        <v>2.6679999999999998E-4</v>
      </c>
      <c r="AG177" s="31"/>
    </row>
    <row r="178" spans="1:33">
      <c r="A178" s="42">
        <v>726</v>
      </c>
      <c r="B178" s="31"/>
      <c r="C178" s="157">
        <v>94.645382999999995</v>
      </c>
      <c r="D178" s="47">
        <f t="shared" si="8"/>
        <v>94.645382999999995</v>
      </c>
      <c r="E178" s="31"/>
      <c r="F178" s="157">
        <v>94.645382999999995</v>
      </c>
      <c r="G178" s="47">
        <f t="shared" si="9"/>
        <v>94.645382999999995</v>
      </c>
      <c r="H178" s="31"/>
      <c r="I178" s="157">
        <v>94.645382999999995</v>
      </c>
      <c r="J178" s="47">
        <f t="shared" si="10"/>
        <v>94.645382999999995</v>
      </c>
      <c r="K178" s="54"/>
      <c r="L178" s="47">
        <f t="shared" si="11"/>
        <v>94.645382999999995</v>
      </c>
      <c r="M178" s="133"/>
      <c r="N178" s="60">
        <f>L178*'Spectral Functions'!H176*'Spectral Functions'!D176</f>
        <v>4.3475706868967094</v>
      </c>
      <c r="O178" s="61">
        <f>'Spectral Functions'!H176*'Spectral Functions'!D176</f>
        <v>4.5935369999999996E-2</v>
      </c>
      <c r="P178" s="61">
        <f>L178*'Spectral Functions'!H176*'Spectral Functions'!F176</f>
        <v>1.8902481247376996E-2</v>
      </c>
      <c r="Q178" s="62">
        <f>'Spectral Functions'!H176*'Spectral Functions'!F176</f>
        <v>1.9971899999999998E-4</v>
      </c>
      <c r="R178" s="31"/>
      <c r="S178" s="60">
        <f>L178*'Spectral Functions'!I176*'Spectral Functions'!D176</f>
        <v>0</v>
      </c>
      <c r="T178" s="61">
        <f>'Spectral Functions'!I176*'Spectral Functions'!D176</f>
        <v>0</v>
      </c>
      <c r="U178" s="61">
        <f>L178*'Spectral Functions'!I176*'Spectral Functions'!F176</f>
        <v>0</v>
      </c>
      <c r="V178" s="62">
        <f>'Spectral Functions'!I176*'Spectral Functions'!F176</f>
        <v>0</v>
      </c>
      <c r="W178" s="31"/>
      <c r="X178" s="60">
        <f>L178*'Spectral Functions'!J176*'Spectral Functions'!D176</f>
        <v>13.965019014125341</v>
      </c>
      <c r="Y178" s="61">
        <f>'Spectral Functions'!J176*'Spectral Functions'!D176</f>
        <v>0.14755098</v>
      </c>
      <c r="Z178" s="61">
        <f>L178*'Spectral Functions'!J176*'Spectral Functions'!F176</f>
        <v>6.0717473974458008E-2</v>
      </c>
      <c r="AA178" s="62">
        <f>'Spectral Functions'!J176*'Spectral Functions'!F176</f>
        <v>6.4152600000000001E-4</v>
      </c>
      <c r="AB178" s="31"/>
      <c r="AC178" s="60">
        <f>L178*'Spectral Functions'!K176*'Spectral Functions'!D176</f>
        <v>4.3049263166784</v>
      </c>
      <c r="AD178" s="61">
        <f>'Spectral Functions'!K176*'Spectral Functions'!D176</f>
        <v>4.5484799999999999E-2</v>
      </c>
      <c r="AE178" s="61">
        <f>L178*'Spectral Functions'!K176*'Spectral Functions'!F176</f>
        <v>1.871707094208E-2</v>
      </c>
      <c r="AF178" s="62">
        <f>'Spectral Functions'!K176*'Spectral Functions'!F176</f>
        <v>1.9776E-4</v>
      </c>
      <c r="AG178" s="31"/>
    </row>
    <row r="179" spans="1:33">
      <c r="A179" s="42">
        <v>728</v>
      </c>
      <c r="B179" s="31"/>
      <c r="C179" s="157">
        <v>94.988404000000003</v>
      </c>
      <c r="D179" s="47">
        <f t="shared" si="8"/>
        <v>94.988404000000003</v>
      </c>
      <c r="E179" s="31"/>
      <c r="F179" s="157">
        <v>94.988404000000003</v>
      </c>
      <c r="G179" s="47">
        <f t="shared" si="9"/>
        <v>94.988404000000003</v>
      </c>
      <c r="H179" s="31"/>
      <c r="I179" s="157">
        <v>94.988404000000003</v>
      </c>
      <c r="J179" s="47">
        <f t="shared" si="10"/>
        <v>94.988404000000003</v>
      </c>
      <c r="K179" s="54"/>
      <c r="L179" s="47">
        <f t="shared" si="11"/>
        <v>94.988404000000003</v>
      </c>
      <c r="M179" s="133"/>
      <c r="N179" s="60">
        <f>L179*'Spectral Functions'!H177*'Spectral Functions'!D177</f>
        <v>3.8821143955092827</v>
      </c>
      <c r="O179" s="61">
        <f>'Spectral Functions'!H177*'Spectral Functions'!D177</f>
        <v>4.0869350700000001E-2</v>
      </c>
      <c r="P179" s="61">
        <f>L179*'Spectral Functions'!H177*'Spectral Functions'!F177</f>
        <v>1.9442976939111602E-2</v>
      </c>
      <c r="Q179" s="62">
        <f>'Spectral Functions'!H177*'Spectral Functions'!F177</f>
        <v>2.0468789999999998E-4</v>
      </c>
      <c r="R179" s="31"/>
      <c r="S179" s="60">
        <f>L179*'Spectral Functions'!I177*'Spectral Functions'!D177</f>
        <v>0</v>
      </c>
      <c r="T179" s="61">
        <f>'Spectral Functions'!I177*'Spectral Functions'!D177</f>
        <v>0</v>
      </c>
      <c r="U179" s="61">
        <f>L179*'Spectral Functions'!I177*'Spectral Functions'!F177</f>
        <v>0</v>
      </c>
      <c r="V179" s="62">
        <f>'Spectral Functions'!I177*'Spectral Functions'!F177</f>
        <v>0</v>
      </c>
      <c r="W179" s="31"/>
      <c r="X179" s="60">
        <f>L179*'Spectral Functions'!J177*'Spectral Functions'!D177</f>
        <v>12.232228138330061</v>
      </c>
      <c r="Y179" s="61">
        <f>'Spectral Functions'!J177*'Spectral Functions'!D177</f>
        <v>0.12877601500000002</v>
      </c>
      <c r="Z179" s="61">
        <f>L179*'Spectral Functions'!J177*'Spectral Functions'!F177</f>
        <v>6.1263246101820004E-2</v>
      </c>
      <c r="AA179" s="62">
        <f>'Spectral Functions'!J177*'Spectral Functions'!F177</f>
        <v>6.4495500000000001E-4</v>
      </c>
      <c r="AB179" s="31"/>
      <c r="AC179" s="60">
        <f>L179*'Spectral Functions'!K177*'Spectral Functions'!D177</f>
        <v>3.70747719837936</v>
      </c>
      <c r="AD179" s="61">
        <f>'Spectral Functions'!K177*'Spectral Functions'!D177</f>
        <v>3.9030839999999997E-2</v>
      </c>
      <c r="AE179" s="61">
        <f>L179*'Spectral Functions'!K177*'Spectral Functions'!F177</f>
        <v>1.8568333213919999E-2</v>
      </c>
      <c r="AF179" s="62">
        <f>'Spectral Functions'!K177*'Spectral Functions'!F177</f>
        <v>1.9547999999999999E-4</v>
      </c>
      <c r="AG179" s="31"/>
    </row>
    <row r="180" spans="1:33">
      <c r="A180" s="42">
        <v>730</v>
      </c>
      <c r="B180" s="31"/>
      <c r="C180" s="157">
        <v>93.129793000000006</v>
      </c>
      <c r="D180" s="47">
        <f t="shared" si="8"/>
        <v>93.129793000000006</v>
      </c>
      <c r="E180" s="31"/>
      <c r="F180" s="157">
        <v>93.129793000000006</v>
      </c>
      <c r="G180" s="47">
        <f t="shared" si="9"/>
        <v>93.129793000000006</v>
      </c>
      <c r="H180" s="31"/>
      <c r="I180" s="157">
        <v>93.129793000000006</v>
      </c>
      <c r="J180" s="47">
        <f t="shared" si="10"/>
        <v>93.129793000000006</v>
      </c>
      <c r="K180" s="54"/>
      <c r="L180" s="47">
        <f t="shared" si="11"/>
        <v>93.129793000000006</v>
      </c>
      <c r="M180" s="133"/>
      <c r="N180" s="60">
        <f>L180*'Spectral Functions'!H178*'Spectral Functions'!D178</f>
        <v>3.3843843600740162</v>
      </c>
      <c r="O180" s="61">
        <f>'Spectral Functions'!H178*'Spectral Functions'!D178</f>
        <v>3.6340511999999998E-2</v>
      </c>
      <c r="P180" s="61">
        <f>L180*'Spectral Functions'!H178*'Spectral Functions'!F178</f>
        <v>1.9525294385042403E-2</v>
      </c>
      <c r="Q180" s="62">
        <f>'Spectral Functions'!H178*'Spectral Functions'!F178</f>
        <v>2.0965679999999999E-4</v>
      </c>
      <c r="R180" s="31"/>
      <c r="S180" s="60">
        <f>L180*'Spectral Functions'!I178*'Spectral Functions'!D178</f>
        <v>0</v>
      </c>
      <c r="T180" s="61">
        <f>'Spectral Functions'!I178*'Spectral Functions'!D178</f>
        <v>0</v>
      </c>
      <c r="U180" s="61">
        <f>L180*'Spectral Functions'!I178*'Spectral Functions'!F178</f>
        <v>0</v>
      </c>
      <c r="V180" s="62">
        <f>'Spectral Functions'!I178*'Spectral Functions'!F178</f>
        <v>0</v>
      </c>
      <c r="W180" s="31"/>
      <c r="X180" s="60">
        <f>L180*'Spectral Functions'!J178*'Spectral Functions'!D178</f>
        <v>10.466149648843201</v>
      </c>
      <c r="Y180" s="61">
        <f>'Spectral Functions'!J178*'Spectral Functions'!D178</f>
        <v>0.11238239999999999</v>
      </c>
      <c r="Z180" s="61">
        <f>L180*'Spectral Functions'!J178*'Spectral Functions'!F178</f>
        <v>6.0381632589480011E-2</v>
      </c>
      <c r="AA180" s="62">
        <f>'Spectral Functions'!J178*'Spectral Functions'!F178</f>
        <v>6.4836000000000006E-4</v>
      </c>
      <c r="AB180" s="31"/>
      <c r="AC180" s="60">
        <f>L180*'Spectral Functions'!K178*'Spectral Functions'!D178</f>
        <v>3.118730507984</v>
      </c>
      <c r="AD180" s="61">
        <f>'Spectral Functions'!K178*'Spectral Functions'!D178</f>
        <v>3.3487999999999997E-2</v>
      </c>
      <c r="AE180" s="61">
        <f>L180*'Spectral Functions'!K178*'Spectral Functions'!F178</f>
        <v>1.7992676007600003E-2</v>
      </c>
      <c r="AF180" s="62">
        <f>'Spectral Functions'!K178*'Spectral Functions'!F178</f>
        <v>1.9320000000000003E-4</v>
      </c>
      <c r="AG180" s="31"/>
    </row>
    <row r="181" spans="1:33">
      <c r="A181" s="42">
        <v>732</v>
      </c>
      <c r="B181" s="31"/>
      <c r="C181" s="157">
        <v>94.524096999999998</v>
      </c>
      <c r="D181" s="47">
        <f t="shared" si="8"/>
        <v>94.524096999999998</v>
      </c>
      <c r="E181" s="31"/>
      <c r="F181" s="157">
        <v>94.524096999999998</v>
      </c>
      <c r="G181" s="47">
        <f t="shared" si="9"/>
        <v>94.524096999999998</v>
      </c>
      <c r="H181" s="31"/>
      <c r="I181" s="157">
        <v>94.524096999999998</v>
      </c>
      <c r="J181" s="47">
        <f t="shared" si="10"/>
        <v>94.524096999999998</v>
      </c>
      <c r="K181" s="54"/>
      <c r="L181" s="47">
        <f t="shared" si="11"/>
        <v>94.524096999999998</v>
      </c>
      <c r="M181" s="133"/>
      <c r="N181" s="60">
        <f>L181*'Spectral Functions'!H179*'Spectral Functions'!D179</f>
        <v>3.0168929931355351</v>
      </c>
      <c r="O181" s="61">
        <f>'Spectral Functions'!H179*'Spectral Functions'!D179</f>
        <v>3.1916654999999995E-2</v>
      </c>
      <c r="P181" s="61">
        <f>L181*'Spectral Functions'!H179*'Spectral Functions'!F179</f>
        <v>1.34084133028246E-2</v>
      </c>
      <c r="Q181" s="62">
        <f>'Spectral Functions'!H179*'Spectral Functions'!F179</f>
        <v>1.418518E-4</v>
      </c>
      <c r="R181" s="31"/>
      <c r="S181" s="60">
        <f>L181*'Spectral Functions'!I179*'Spectral Functions'!D179</f>
        <v>0</v>
      </c>
      <c r="T181" s="61">
        <f>'Spectral Functions'!I179*'Spectral Functions'!D179</f>
        <v>0</v>
      </c>
      <c r="U181" s="61">
        <f>L181*'Spectral Functions'!I179*'Spectral Functions'!F179</f>
        <v>0</v>
      </c>
      <c r="V181" s="62">
        <f>'Spectral Functions'!I179*'Spectral Functions'!F179</f>
        <v>0</v>
      </c>
      <c r="W181" s="31"/>
      <c r="X181" s="60">
        <f>L181*'Spectral Functions'!J179*'Spectral Functions'!D179</f>
        <v>9.2407418895879001</v>
      </c>
      <c r="Y181" s="61">
        <f>'Spectral Functions'!J179*'Spectral Functions'!D179</f>
        <v>9.7760700000000006E-2</v>
      </c>
      <c r="Z181" s="61">
        <f>L181*'Spectral Functions'!J179*'Spectral Functions'!F179</f>
        <v>4.1069963953723997E-2</v>
      </c>
      <c r="AA181" s="62">
        <f>'Spectral Functions'!J179*'Spectral Functions'!F179</f>
        <v>4.3449199999999997E-4</v>
      </c>
      <c r="AB181" s="31"/>
      <c r="AC181" s="60">
        <f>L181*'Spectral Functions'!K179*'Spectral Functions'!D179</f>
        <v>2.7120853911239995</v>
      </c>
      <c r="AD181" s="61">
        <f>'Spectral Functions'!K179*'Spectral Functions'!D179</f>
        <v>2.8691999999999999E-2</v>
      </c>
      <c r="AE181" s="61">
        <f>L181*'Spectral Functions'!K179*'Spectral Functions'!F179</f>
        <v>1.2053712849439999E-2</v>
      </c>
      <c r="AF181" s="62">
        <f>'Spectral Functions'!K179*'Spectral Functions'!F179</f>
        <v>1.2752E-4</v>
      </c>
      <c r="AG181" s="31"/>
    </row>
    <row r="182" spans="1:33">
      <c r="A182" s="42">
        <v>734</v>
      </c>
      <c r="B182" s="31"/>
      <c r="C182" s="157">
        <v>94.268410000000003</v>
      </c>
      <c r="D182" s="47">
        <f t="shared" si="8"/>
        <v>94.268410000000003</v>
      </c>
      <c r="E182" s="31"/>
      <c r="F182" s="157">
        <v>94.268410000000003</v>
      </c>
      <c r="G182" s="47">
        <f t="shared" si="9"/>
        <v>94.268410000000003</v>
      </c>
      <c r="H182" s="31"/>
      <c r="I182" s="157">
        <v>94.268410000000003</v>
      </c>
      <c r="J182" s="47">
        <f t="shared" si="10"/>
        <v>94.268410000000003</v>
      </c>
      <c r="K182" s="54"/>
      <c r="L182" s="47">
        <f t="shared" si="11"/>
        <v>94.268410000000003</v>
      </c>
      <c r="M182" s="133"/>
      <c r="N182" s="60">
        <f>L182*'Spectral Functions'!H180*'Spectral Functions'!D180</f>
        <v>2.6390301673716383</v>
      </c>
      <c r="O182" s="61">
        <f>'Spectral Functions'!H180*'Spectral Functions'!D180</f>
        <v>2.7994851800000001E-2</v>
      </c>
      <c r="P182" s="61">
        <f>L182*'Spectral Functions'!H180*'Spectral Functions'!F180</f>
        <v>1.3568278495484001E-2</v>
      </c>
      <c r="Q182" s="62">
        <f>'Spectral Functions'!H180*'Spectral Functions'!F180</f>
        <v>1.4393239999999999E-4</v>
      </c>
      <c r="R182" s="31"/>
      <c r="S182" s="60">
        <f>L182*'Spectral Functions'!I180*'Spectral Functions'!D180</f>
        <v>0</v>
      </c>
      <c r="T182" s="61">
        <f>'Spectral Functions'!I180*'Spectral Functions'!D180</f>
        <v>0</v>
      </c>
      <c r="U182" s="61">
        <f>L182*'Spectral Functions'!I180*'Spectral Functions'!F180</f>
        <v>0</v>
      </c>
      <c r="V182" s="62">
        <f>'Spectral Functions'!I180*'Spectral Functions'!F180</f>
        <v>0</v>
      </c>
      <c r="W182" s="31"/>
      <c r="X182" s="60">
        <f>L182*'Spectral Functions'!J180*'Spectral Functions'!D180</f>
        <v>8.0074977346023601</v>
      </c>
      <c r="Y182" s="61">
        <f>'Spectral Functions'!J180*'Spectral Functions'!D180</f>
        <v>8.494359600000001E-2</v>
      </c>
      <c r="Z182" s="61">
        <f>L182*'Spectral Functions'!J180*'Spectral Functions'!F180</f>
        <v>4.1169654162480002E-2</v>
      </c>
      <c r="AA182" s="62">
        <f>'Spectral Functions'!J180*'Spectral Functions'!F180</f>
        <v>4.36728E-4</v>
      </c>
      <c r="AB182" s="31"/>
      <c r="AC182" s="60">
        <f>L182*'Spectral Functions'!K180*'Spectral Functions'!D180</f>
        <v>2.3146363732488</v>
      </c>
      <c r="AD182" s="61">
        <f>'Spectral Functions'!K180*'Spectral Functions'!D180</f>
        <v>2.4553680000000001E-2</v>
      </c>
      <c r="AE182" s="61">
        <f>L182*'Spectral Functions'!K180*'Spectral Functions'!F180</f>
        <v>1.19004440784E-2</v>
      </c>
      <c r="AF182" s="62">
        <f>'Spectral Functions'!K180*'Spectral Functions'!F180</f>
        <v>1.2623999999999998E-4</v>
      </c>
      <c r="AG182" s="31"/>
    </row>
    <row r="183" spans="1:33">
      <c r="A183" s="42">
        <v>736</v>
      </c>
      <c r="B183" s="31"/>
      <c r="C183" s="157">
        <v>95.390950000000004</v>
      </c>
      <c r="D183" s="47">
        <f t="shared" si="8"/>
        <v>95.390950000000004</v>
      </c>
      <c r="E183" s="31"/>
      <c r="F183" s="157">
        <v>95.390950000000004</v>
      </c>
      <c r="G183" s="47">
        <f t="shared" si="9"/>
        <v>95.390950000000004</v>
      </c>
      <c r="H183" s="31"/>
      <c r="I183" s="157">
        <v>95.390950000000004</v>
      </c>
      <c r="J183" s="47">
        <f t="shared" si="10"/>
        <v>95.390950000000004</v>
      </c>
      <c r="K183" s="54"/>
      <c r="L183" s="47">
        <f t="shared" si="11"/>
        <v>95.390950000000018</v>
      </c>
      <c r="M183" s="133"/>
      <c r="N183" s="60">
        <f>L183*'Spectral Functions'!H181*'Spectral Functions'!D181</f>
        <v>2.3329902004468006</v>
      </c>
      <c r="O183" s="61">
        <f>'Spectral Functions'!H181*'Spectral Functions'!D181</f>
        <v>2.4457144E-2</v>
      </c>
      <c r="P183" s="61">
        <f>L183*'Spectral Functions'!H181*'Spectral Functions'!F181</f>
        <v>1.3928299704160003E-2</v>
      </c>
      <c r="Q183" s="62">
        <f>'Spectral Functions'!H181*'Spectral Functions'!F181</f>
        <v>1.460128E-4</v>
      </c>
      <c r="R183" s="31"/>
      <c r="S183" s="60">
        <f>L183*'Spectral Functions'!I181*'Spectral Functions'!D181</f>
        <v>0</v>
      </c>
      <c r="T183" s="61">
        <f>'Spectral Functions'!I181*'Spectral Functions'!D181</f>
        <v>0</v>
      </c>
      <c r="U183" s="61">
        <f>L183*'Spectral Functions'!I181*'Spectral Functions'!F181</f>
        <v>0</v>
      </c>
      <c r="V183" s="62">
        <f>'Spectral Functions'!I181*'Spectral Functions'!F181</f>
        <v>0</v>
      </c>
      <c r="W183" s="31"/>
      <c r="X183" s="60">
        <f>L183*'Spectral Functions'!J181*'Spectral Functions'!D181</f>
        <v>7.0134722197322521</v>
      </c>
      <c r="Y183" s="61">
        <f>'Spectral Functions'!J181*'Spectral Functions'!D181</f>
        <v>7.3523455000000001E-2</v>
      </c>
      <c r="Z183" s="61">
        <f>L183*'Spectral Functions'!J181*'Spectral Functions'!F181</f>
        <v>4.1871475938700005E-2</v>
      </c>
      <c r="AA183" s="62">
        <f>'Spectral Functions'!J181*'Spectral Functions'!F181</f>
        <v>4.3894600000000001E-4</v>
      </c>
      <c r="AB183" s="31"/>
      <c r="AC183" s="60">
        <f>L183*'Spectral Functions'!K181*'Spectral Functions'!D181</f>
        <v>1.9985262543550004</v>
      </c>
      <c r="AD183" s="61">
        <f>'Spectral Functions'!K181*'Spectral Functions'!D181</f>
        <v>2.0950900000000001E-2</v>
      </c>
      <c r="AE183" s="61">
        <f>L183*'Spectral Functions'!K181*'Spectral Functions'!F181</f>
        <v>1.1931500026E-2</v>
      </c>
      <c r="AF183" s="62">
        <f>'Spectral Functions'!K181*'Spectral Functions'!F181</f>
        <v>1.2507999999999999E-4</v>
      </c>
      <c r="AG183" s="31"/>
    </row>
    <row r="184" spans="1:33">
      <c r="A184" s="42">
        <v>738</v>
      </c>
      <c r="B184" s="31"/>
      <c r="C184" s="157">
        <v>94.440247999999997</v>
      </c>
      <c r="D184" s="47">
        <f t="shared" si="8"/>
        <v>94.440247999999997</v>
      </c>
      <c r="E184" s="31"/>
      <c r="F184" s="157">
        <v>94.440247999999997</v>
      </c>
      <c r="G184" s="47">
        <f t="shared" si="9"/>
        <v>94.440247999999997</v>
      </c>
      <c r="H184" s="31"/>
      <c r="I184" s="157">
        <v>94.440247999999997</v>
      </c>
      <c r="J184" s="47">
        <f t="shared" si="10"/>
        <v>94.440247999999997</v>
      </c>
      <c r="K184" s="54"/>
      <c r="L184" s="47">
        <f t="shared" si="11"/>
        <v>94.440247999999997</v>
      </c>
      <c r="M184" s="133"/>
      <c r="N184" s="60">
        <f>L184*'Spectral Functions'!H182*'Spectral Functions'!D182</f>
        <v>2.0209737376470822</v>
      </c>
      <c r="O184" s="61">
        <f>'Spectral Functions'!H182*'Spectral Functions'!D182</f>
        <v>2.1399496299999998E-2</v>
      </c>
      <c r="P184" s="61">
        <f>L184*'Spectral Functions'!H182*'Spectral Functions'!F182</f>
        <v>1.3985977423163199E-2</v>
      </c>
      <c r="Q184" s="62">
        <f>'Spectral Functions'!H182*'Spectral Functions'!F182</f>
        <v>1.4809339999999999E-4</v>
      </c>
      <c r="R184" s="31"/>
      <c r="S184" s="60">
        <f>L184*'Spectral Functions'!I182*'Spectral Functions'!D182</f>
        <v>0</v>
      </c>
      <c r="T184" s="61">
        <f>'Spectral Functions'!I182*'Spectral Functions'!D182</f>
        <v>0</v>
      </c>
      <c r="U184" s="61">
        <f>L184*'Spectral Functions'!I182*'Spectral Functions'!F182</f>
        <v>0</v>
      </c>
      <c r="V184" s="62">
        <f>'Spectral Functions'!I182*'Spectral Functions'!F182</f>
        <v>0</v>
      </c>
      <c r="W184" s="31"/>
      <c r="X184" s="60">
        <f>L184*'Spectral Functions'!J182*'Spectral Functions'!D182</f>
        <v>6.0201772828197271</v>
      </c>
      <c r="Y184" s="61">
        <f>'Spectral Functions'!J182*'Spectral Functions'!D182</f>
        <v>6.3745886000000002E-2</v>
      </c>
      <c r="Z184" s="61">
        <f>L184*'Spectral Functions'!J182*'Spectral Functions'!F182</f>
        <v>4.1662126524703996E-2</v>
      </c>
      <c r="AA184" s="62">
        <f>'Spectral Functions'!J182*'Spectral Functions'!F182</f>
        <v>4.4114799999999999E-4</v>
      </c>
      <c r="AB184" s="31"/>
      <c r="AC184" s="60">
        <f>L184*'Spectral Functions'!K182*'Spectral Functions'!D182</f>
        <v>1.6927262282974398</v>
      </c>
      <c r="AD184" s="61">
        <f>'Spectral Functions'!K182*'Spectral Functions'!D182</f>
        <v>1.792378E-2</v>
      </c>
      <c r="AE184" s="61">
        <f>L184*'Spectral Functions'!K182*'Spectral Functions'!F182</f>
        <v>1.171436836192E-2</v>
      </c>
      <c r="AF184" s="62">
        <f>'Spectral Functions'!K182*'Spectral Functions'!F182</f>
        <v>1.2404000000000001E-4</v>
      </c>
      <c r="AG184" s="31"/>
    </row>
    <row r="185" spans="1:33">
      <c r="A185" s="42">
        <v>740</v>
      </c>
      <c r="B185" s="31"/>
      <c r="C185" s="157">
        <v>95.572942999999995</v>
      </c>
      <c r="D185" s="47">
        <f t="shared" si="8"/>
        <v>95.572942999999995</v>
      </c>
      <c r="E185" s="31"/>
      <c r="F185" s="157">
        <v>95.572942999999995</v>
      </c>
      <c r="G185" s="47">
        <f t="shared" si="9"/>
        <v>95.572942999999995</v>
      </c>
      <c r="H185" s="31"/>
      <c r="I185" s="157">
        <v>95.572942999999995</v>
      </c>
      <c r="J185" s="47">
        <f t="shared" si="10"/>
        <v>95.572942999999995</v>
      </c>
      <c r="K185" s="54"/>
      <c r="L185" s="47">
        <f t="shared" si="11"/>
        <v>95.572942999999995</v>
      </c>
      <c r="M185" s="133"/>
      <c r="N185" s="60">
        <f>L185*'Spectral Functions'!H183*'Spectral Functions'!D183</f>
        <v>1.786895107189209</v>
      </c>
      <c r="O185" s="61">
        <f>'Spectral Functions'!H183*'Spectral Functions'!D183</f>
        <v>1.8696662999999999E-2</v>
      </c>
      <c r="P185" s="61">
        <f>L185*'Spectral Functions'!H183*'Spectral Functions'!F183</f>
        <v>7.1762855710410002E-3</v>
      </c>
      <c r="Q185" s="62">
        <f>'Spectral Functions'!H183*'Spectral Functions'!F183</f>
        <v>7.5086999999999994E-5</v>
      </c>
      <c r="R185" s="31"/>
      <c r="S185" s="60">
        <f>L185*'Spectral Functions'!I183*'Spectral Functions'!D183</f>
        <v>0</v>
      </c>
      <c r="T185" s="61">
        <f>'Spectral Functions'!I183*'Spectral Functions'!D183</f>
        <v>0</v>
      </c>
      <c r="U185" s="61">
        <f>L185*'Spectral Functions'!I183*'Spectral Functions'!F183</f>
        <v>0</v>
      </c>
      <c r="V185" s="62">
        <f>'Spectral Functions'!I183*'Spectral Functions'!F183</f>
        <v>0</v>
      </c>
      <c r="W185" s="31"/>
      <c r="X185" s="60">
        <f>L185*'Spectral Functions'!J183*'Spectral Functions'!D183</f>
        <v>5.2751565214392686</v>
      </c>
      <c r="Y185" s="61">
        <f>'Spectral Functions'!J183*'Spectral Functions'!D183</f>
        <v>5.5195082999999999E-2</v>
      </c>
      <c r="Z185" s="61">
        <f>L185*'Spectral Functions'!J183*'Spectral Functions'!F183</f>
        <v>2.1185367555980997E-2</v>
      </c>
      <c r="AA185" s="62">
        <f>'Spectral Functions'!J183*'Spectral Functions'!F183</f>
        <v>2.2166699999999999E-4</v>
      </c>
      <c r="AB185" s="31"/>
      <c r="AC185" s="60">
        <f>L185*'Spectral Functions'!K183*'Spectral Functions'!D183</f>
        <v>1.4635562626304999</v>
      </c>
      <c r="AD185" s="61">
        <f>'Spectral Functions'!K183*'Spectral Functions'!D183</f>
        <v>1.5313499999999999E-2</v>
      </c>
      <c r="AE185" s="61">
        <f>L185*'Spectral Functions'!K183*'Spectral Functions'!F183</f>
        <v>5.8777359945E-3</v>
      </c>
      <c r="AF185" s="62">
        <f>'Spectral Functions'!K183*'Spectral Functions'!F183</f>
        <v>6.1499999999999991E-5</v>
      </c>
      <c r="AG185" s="31"/>
    </row>
    <row r="186" spans="1:33">
      <c r="A186" s="42">
        <v>742</v>
      </c>
      <c r="B186" s="31"/>
      <c r="C186" s="157">
        <v>95.306290000000004</v>
      </c>
      <c r="D186" s="47">
        <f t="shared" si="8"/>
        <v>95.306290000000004</v>
      </c>
      <c r="E186" s="31"/>
      <c r="F186" s="157">
        <v>95.306290000000004</v>
      </c>
      <c r="G186" s="47">
        <f t="shared" si="9"/>
        <v>95.306290000000004</v>
      </c>
      <c r="H186" s="31"/>
      <c r="I186" s="157">
        <v>95.306290000000004</v>
      </c>
      <c r="J186" s="47">
        <f t="shared" si="10"/>
        <v>95.306290000000004</v>
      </c>
      <c r="K186" s="54"/>
      <c r="L186" s="47">
        <f t="shared" si="11"/>
        <v>95.306290000000004</v>
      </c>
      <c r="M186" s="133"/>
      <c r="N186" s="60">
        <f>L186*'Spectral Functions'!H184*'Spectral Functions'!D184</f>
        <v>1.4914902099370351</v>
      </c>
      <c r="O186" s="61">
        <f>'Spectral Functions'!H184*'Spectral Functions'!D184</f>
        <v>1.56494415E-2</v>
      </c>
      <c r="P186" s="61">
        <f>L186*'Spectral Functions'!H184*'Spectral Functions'!F184</f>
        <v>6.9371637671490002E-3</v>
      </c>
      <c r="Q186" s="62">
        <f>'Spectral Functions'!H184*'Spectral Functions'!F184</f>
        <v>7.2788100000000002E-5</v>
      </c>
      <c r="R186" s="31"/>
      <c r="S186" s="60">
        <f>L186*'Spectral Functions'!I184*'Spectral Functions'!D184</f>
        <v>0</v>
      </c>
      <c r="T186" s="61">
        <f>'Spectral Functions'!I184*'Spectral Functions'!D184</f>
        <v>0</v>
      </c>
      <c r="U186" s="61">
        <f>L186*'Spectral Functions'!I184*'Spectral Functions'!F184</f>
        <v>0</v>
      </c>
      <c r="V186" s="62">
        <f>'Spectral Functions'!I184*'Spectral Functions'!F184</f>
        <v>0</v>
      </c>
      <c r="W186" s="31"/>
      <c r="X186" s="60">
        <f>L186*'Spectral Functions'!J184*'Spectral Functions'!D184</f>
        <v>4.56435785181485</v>
      </c>
      <c r="Y186" s="61">
        <f>'Spectral Functions'!J184*'Spectral Functions'!D184</f>
        <v>4.7891465000000001E-2</v>
      </c>
      <c r="Z186" s="61">
        <f>L186*'Spectral Functions'!J184*'Spectral Functions'!F184</f>
        <v>2.1229571403789997E-2</v>
      </c>
      <c r="AA186" s="62">
        <f>'Spectral Functions'!J184*'Spectral Functions'!F184</f>
        <v>2.2275099999999998E-4</v>
      </c>
      <c r="AB186" s="31"/>
      <c r="AC186" s="60">
        <f>L186*'Spectral Functions'!K184*'Spectral Functions'!D184</f>
        <v>1.2495321763029998</v>
      </c>
      <c r="AD186" s="61">
        <f>'Spectral Functions'!K184*'Spectral Functions'!D184</f>
        <v>1.3110699999999999E-2</v>
      </c>
      <c r="AE186" s="61">
        <f>L186*'Spectral Functions'!K184*'Spectral Functions'!F184</f>
        <v>5.8117775641999998E-3</v>
      </c>
      <c r="AF186" s="62">
        <f>'Spectral Functions'!K184*'Spectral Functions'!F184</f>
        <v>6.0979999999999996E-5</v>
      </c>
      <c r="AG186" s="31"/>
    </row>
    <row r="187" spans="1:33">
      <c r="A187" s="42">
        <v>744</v>
      </c>
      <c r="B187" s="31"/>
      <c r="C187" s="157">
        <v>95.118787999999995</v>
      </c>
      <c r="D187" s="47">
        <f t="shared" si="8"/>
        <v>95.118787999999995</v>
      </c>
      <c r="E187" s="31"/>
      <c r="F187" s="157">
        <v>95.118787999999995</v>
      </c>
      <c r="G187" s="47">
        <f t="shared" si="9"/>
        <v>95.118787999999995</v>
      </c>
      <c r="H187" s="31"/>
      <c r="I187" s="157">
        <v>95.118787999999995</v>
      </c>
      <c r="J187" s="47">
        <f t="shared" si="10"/>
        <v>95.118787999999995</v>
      </c>
      <c r="K187" s="54"/>
      <c r="L187" s="47">
        <f t="shared" si="11"/>
        <v>95.118787999999995</v>
      </c>
      <c r="M187" s="133"/>
      <c r="N187" s="60">
        <f>L187*'Spectral Functions'!H185*'Spectral Functions'!D185</f>
        <v>1.2403985048491539</v>
      </c>
      <c r="O187" s="61">
        <f>'Spectral Functions'!H185*'Spectral Functions'!D185</f>
        <v>1.30405205E-2</v>
      </c>
      <c r="P187" s="61">
        <f>L187*'Spectral Functions'!H185*'Spectral Functions'!F185</f>
        <v>6.7048567829683997E-3</v>
      </c>
      <c r="Q187" s="62">
        <f>'Spectral Functions'!H185*'Spectral Functions'!F185</f>
        <v>7.0489300000000003E-5</v>
      </c>
      <c r="R187" s="31"/>
      <c r="S187" s="60">
        <f>L187*'Spectral Functions'!I185*'Spectral Functions'!D185</f>
        <v>0</v>
      </c>
      <c r="T187" s="61">
        <f>'Spectral Functions'!I185*'Spectral Functions'!D185</f>
        <v>0</v>
      </c>
      <c r="U187" s="61">
        <f>L187*'Spectral Functions'!I185*'Spectral Functions'!F185</f>
        <v>0</v>
      </c>
      <c r="V187" s="62">
        <f>'Spectral Functions'!I185*'Spectral Functions'!F185</f>
        <v>0</v>
      </c>
      <c r="W187" s="31"/>
      <c r="X187" s="60">
        <f>L187*'Spectral Functions'!J185*'Spectral Functions'!D185</f>
        <v>3.93866070093428</v>
      </c>
      <c r="Y187" s="61">
        <f>'Spectral Functions'!J185*'Spectral Functions'!D185</f>
        <v>4.1407809999999996E-2</v>
      </c>
      <c r="Z187" s="61">
        <f>L187*'Spectral Functions'!J185*'Spectral Functions'!F185</f>
        <v>2.1290057842888E-2</v>
      </c>
      <c r="AA187" s="62">
        <f>'Spectral Functions'!J185*'Spectral Functions'!F185</f>
        <v>2.2382599999999999E-4</v>
      </c>
      <c r="AB187" s="31"/>
      <c r="AC187" s="60">
        <f>L187*'Spectral Functions'!K185*'Spectral Functions'!D185</f>
        <v>1.0639131556588</v>
      </c>
      <c r="AD187" s="61">
        <f>'Spectral Functions'!K185*'Spectral Functions'!D185</f>
        <v>1.11851E-2</v>
      </c>
      <c r="AE187" s="61">
        <f>L187*'Spectral Functions'!K185*'Spectral Functions'!F185</f>
        <v>5.7508819224799997E-3</v>
      </c>
      <c r="AF187" s="62">
        <f>'Spectral Functions'!K185*'Spectral Functions'!F185</f>
        <v>6.0460000000000001E-5</v>
      </c>
      <c r="AG187" s="31"/>
    </row>
    <row r="188" spans="1:33">
      <c r="A188" s="42">
        <v>746</v>
      </c>
      <c r="B188" s="31"/>
      <c r="C188" s="157">
        <v>96.168958000000003</v>
      </c>
      <c r="D188" s="47">
        <f t="shared" si="8"/>
        <v>96.168958000000003</v>
      </c>
      <c r="E188" s="31"/>
      <c r="F188" s="157">
        <v>96.168958000000003</v>
      </c>
      <c r="G188" s="47">
        <f t="shared" si="9"/>
        <v>96.168958000000003</v>
      </c>
      <c r="H188" s="31"/>
      <c r="I188" s="157">
        <v>96.168958000000003</v>
      </c>
      <c r="J188" s="47">
        <f t="shared" si="10"/>
        <v>96.168958000000003</v>
      </c>
      <c r="K188" s="54"/>
      <c r="L188" s="47">
        <f t="shared" si="11"/>
        <v>96.168958000000018</v>
      </c>
      <c r="M188" s="133"/>
      <c r="N188" s="60">
        <f>L188*'Spectral Functions'!H186*'Spectral Functions'!D186</f>
        <v>1.0492479541765123</v>
      </c>
      <c r="O188" s="61">
        <f>'Spectral Functions'!H186*'Spectral Functions'!D186</f>
        <v>1.0910464E-2</v>
      </c>
      <c r="P188" s="61">
        <f>L188*'Spectral Functions'!H186*'Spectral Functions'!F186</f>
        <v>6.5577997136032004E-3</v>
      </c>
      <c r="Q188" s="62">
        <f>'Spectral Functions'!H186*'Spectral Functions'!F186</f>
        <v>6.8190399999999997E-5</v>
      </c>
      <c r="R188" s="31"/>
      <c r="S188" s="60">
        <f>L188*'Spectral Functions'!I186*'Spectral Functions'!D186</f>
        <v>0</v>
      </c>
      <c r="T188" s="61">
        <f>'Spectral Functions'!I186*'Spectral Functions'!D186</f>
        <v>0</v>
      </c>
      <c r="U188" s="61">
        <f>L188*'Spectral Functions'!I186*'Spectral Functions'!F186</f>
        <v>0</v>
      </c>
      <c r="V188" s="62">
        <f>'Spectral Functions'!I186*'Spectral Functions'!F186</f>
        <v>0</v>
      </c>
      <c r="W188" s="31"/>
      <c r="X188" s="60">
        <f>L188*'Spectral Functions'!J186*'Spectral Functions'!D186</f>
        <v>3.4604360754390409</v>
      </c>
      <c r="Y188" s="61">
        <f>'Spectral Functions'!J186*'Spectral Functions'!D186</f>
        <v>3.5982880000000002E-2</v>
      </c>
      <c r="Z188" s="61">
        <f>L188*'Spectral Functions'!J186*'Spectral Functions'!F186</f>
        <v>2.1627725471494001E-2</v>
      </c>
      <c r="AA188" s="62">
        <f>'Spectral Functions'!J186*'Spectral Functions'!F186</f>
        <v>2.2489299999999999E-4</v>
      </c>
      <c r="AB188" s="31"/>
      <c r="AC188" s="60">
        <f>L188*'Spectral Functions'!K186*'Spectral Functions'!D186</f>
        <v>0.92322199680000028</v>
      </c>
      <c r="AD188" s="61">
        <f>'Spectral Functions'!K186*'Spectral Functions'!D186</f>
        <v>9.6000000000000009E-3</v>
      </c>
      <c r="AE188" s="61">
        <f>L188*'Spectral Functions'!K186*'Spectral Functions'!F186</f>
        <v>5.7701374800000014E-3</v>
      </c>
      <c r="AF188" s="62">
        <f>'Spectral Functions'!K186*'Spectral Functions'!F186</f>
        <v>5.9999999999999995E-5</v>
      </c>
      <c r="AG188" s="31"/>
    </row>
    <row r="189" spans="1:33">
      <c r="A189" s="42">
        <v>748</v>
      </c>
      <c r="B189" s="31"/>
      <c r="C189" s="157">
        <v>94.172901999999993</v>
      </c>
      <c r="D189" s="47">
        <f t="shared" si="8"/>
        <v>94.172901999999993</v>
      </c>
      <c r="E189" s="31"/>
      <c r="F189" s="157">
        <v>94.172901999999993</v>
      </c>
      <c r="G189" s="47">
        <f t="shared" si="9"/>
        <v>94.172901999999993</v>
      </c>
      <c r="H189" s="31"/>
      <c r="I189" s="157">
        <v>94.172901999999993</v>
      </c>
      <c r="J189" s="47">
        <f t="shared" si="10"/>
        <v>94.172901999999993</v>
      </c>
      <c r="K189" s="54"/>
      <c r="L189" s="47">
        <f t="shared" si="11"/>
        <v>94.172901999999979</v>
      </c>
      <c r="M189" s="133"/>
      <c r="N189" s="60">
        <f>L189*'Spectral Functions'!H187*'Spectral Functions'!D187</f>
        <v>0.85631804014040136</v>
      </c>
      <c r="O189" s="61">
        <f>'Spectral Functions'!H187*'Spectral Functions'!D187</f>
        <v>9.0930407999999987E-3</v>
      </c>
      <c r="P189" s="61">
        <f>L189*'Spectral Functions'!H187*'Spectral Functions'!F187</f>
        <v>0</v>
      </c>
      <c r="Q189" s="62">
        <f>'Spectral Functions'!H187*'Spectral Functions'!F187</f>
        <v>0</v>
      </c>
      <c r="R189" s="31"/>
      <c r="S189" s="60">
        <f>L189*'Spectral Functions'!I187*'Spectral Functions'!D187</f>
        <v>0</v>
      </c>
      <c r="T189" s="61">
        <f>'Spectral Functions'!I187*'Spectral Functions'!D187</f>
        <v>0</v>
      </c>
      <c r="U189" s="61">
        <f>L189*'Spectral Functions'!I187*'Spectral Functions'!F187</f>
        <v>0</v>
      </c>
      <c r="V189" s="62">
        <f>'Spectral Functions'!I187*'Spectral Functions'!F187</f>
        <v>0</v>
      </c>
      <c r="W189" s="31"/>
      <c r="X189" s="60">
        <f>L189*'Spectral Functions'!J187*'Spectral Functions'!D187</f>
        <v>2.9364276704126753</v>
      </c>
      <c r="Y189" s="61">
        <f>'Spectral Functions'!J187*'Spectral Functions'!D187</f>
        <v>3.1181237999999997E-2</v>
      </c>
      <c r="Z189" s="61">
        <f>L189*'Spectral Functions'!J187*'Spectral Functions'!F187</f>
        <v>0</v>
      </c>
      <c r="AA189" s="62">
        <f>'Spectral Functions'!J187*'Spectral Functions'!F187</f>
        <v>0</v>
      </c>
      <c r="AB189" s="31"/>
      <c r="AC189" s="60">
        <f>L189*'Spectral Functions'!K187*'Spectral Functions'!D187</f>
        <v>0.7745532843695998</v>
      </c>
      <c r="AD189" s="61">
        <f>'Spectral Functions'!K187*'Spectral Functions'!D187</f>
        <v>8.2247999999999991E-3</v>
      </c>
      <c r="AE189" s="61">
        <f>L189*'Spectral Functions'!K187*'Spectral Functions'!F187</f>
        <v>0</v>
      </c>
      <c r="AF189" s="62">
        <f>'Spectral Functions'!K187*'Spectral Functions'!F187</f>
        <v>0</v>
      </c>
      <c r="AG189" s="31"/>
    </row>
    <row r="190" spans="1:33">
      <c r="A190" s="42">
        <v>750</v>
      </c>
      <c r="B190" s="31"/>
      <c r="C190" s="157">
        <v>95.103379000000004</v>
      </c>
      <c r="D190" s="47">
        <f t="shared" si="8"/>
        <v>95.103379000000004</v>
      </c>
      <c r="E190" s="31"/>
      <c r="F190" s="157">
        <v>95.103379000000004</v>
      </c>
      <c r="G190" s="47">
        <f t="shared" si="9"/>
        <v>95.103379000000004</v>
      </c>
      <c r="H190" s="31"/>
      <c r="I190" s="157">
        <v>95.103379000000004</v>
      </c>
      <c r="J190" s="47">
        <f t="shared" si="10"/>
        <v>95.103379000000004</v>
      </c>
      <c r="K190" s="54"/>
      <c r="L190" s="47">
        <f t="shared" si="11"/>
        <v>95.103379000000004</v>
      </c>
      <c r="M190" s="133"/>
      <c r="N190" s="60">
        <f>L190*'Spectral Functions'!H188*'Spectral Functions'!D188</f>
        <v>0.72574567796799616</v>
      </c>
      <c r="O190" s="61">
        <f>'Spectral Functions'!H188*'Spectral Functions'!D188</f>
        <v>7.6311240000000004E-3</v>
      </c>
      <c r="P190" s="61">
        <f>L190*'Spectral Functions'!H188*'Spectral Functions'!F188</f>
        <v>0</v>
      </c>
      <c r="Q190" s="62">
        <f>'Spectral Functions'!H188*'Spectral Functions'!F188</f>
        <v>0</v>
      </c>
      <c r="R190" s="31"/>
      <c r="S190" s="60">
        <f>L190*'Spectral Functions'!I188*'Spectral Functions'!D188</f>
        <v>0</v>
      </c>
      <c r="T190" s="61">
        <f>'Spectral Functions'!I188*'Spectral Functions'!D188</f>
        <v>0</v>
      </c>
      <c r="U190" s="61">
        <f>L190*'Spectral Functions'!I188*'Spectral Functions'!F188</f>
        <v>0</v>
      </c>
      <c r="V190" s="62">
        <f>'Spectral Functions'!I188*'Spectral Functions'!F188</f>
        <v>0</v>
      </c>
      <c r="W190" s="31"/>
      <c r="X190" s="60">
        <f>L190*'Spectral Functions'!J188*'Spectral Functions'!D188</f>
        <v>2.5906160439600003</v>
      </c>
      <c r="Y190" s="61">
        <f>'Spectral Functions'!J188*'Spectral Functions'!D188</f>
        <v>2.724E-2</v>
      </c>
      <c r="Z190" s="61">
        <f>L190*'Spectral Functions'!J188*'Spectral Functions'!F188</f>
        <v>0</v>
      </c>
      <c r="AA190" s="62">
        <f>'Spectral Functions'!J188*'Spectral Functions'!F188</f>
        <v>0</v>
      </c>
      <c r="AB190" s="31"/>
      <c r="AC190" s="60">
        <f>L190*'Spectral Functions'!K188*'Spectral Functions'!D188</f>
        <v>0.67561440441600007</v>
      </c>
      <c r="AD190" s="61">
        <f>'Spectral Functions'!K188*'Spectral Functions'!D188</f>
        <v>7.1040000000000009E-3</v>
      </c>
      <c r="AE190" s="61">
        <f>L190*'Spectral Functions'!K188*'Spectral Functions'!F188</f>
        <v>0</v>
      </c>
      <c r="AF190" s="62">
        <f>'Spectral Functions'!K188*'Spectral Functions'!F188</f>
        <v>0</v>
      </c>
      <c r="AG190" s="31"/>
    </row>
    <row r="191" spans="1:33">
      <c r="A191" s="42">
        <v>752</v>
      </c>
      <c r="B191" s="31"/>
      <c r="C191" s="157">
        <v>95.722368000000003</v>
      </c>
      <c r="D191" s="47">
        <f t="shared" si="8"/>
        <v>95.722368000000003</v>
      </c>
      <c r="E191" s="31"/>
      <c r="F191" s="157">
        <v>95.722368000000003</v>
      </c>
      <c r="G191" s="47">
        <f t="shared" si="9"/>
        <v>95.722368000000003</v>
      </c>
      <c r="H191" s="31"/>
      <c r="I191" s="157">
        <v>95.722368000000003</v>
      </c>
      <c r="J191" s="47">
        <f t="shared" si="10"/>
        <v>95.722368000000003</v>
      </c>
      <c r="K191" s="54"/>
      <c r="L191" s="47">
        <f t="shared" si="11"/>
        <v>95.722368000000003</v>
      </c>
      <c r="M191" s="133"/>
      <c r="N191" s="60">
        <f>L191*'Spectral Functions'!H189*'Spectral Functions'!D189</f>
        <v>0.59887849524572156</v>
      </c>
      <c r="O191" s="61">
        <f>'Spectral Functions'!H189*'Spectral Functions'!D189</f>
        <v>6.2564112E-3</v>
      </c>
      <c r="P191" s="61">
        <f>L191*'Spectral Functions'!H189*'Spectral Functions'!F189</f>
        <v>0</v>
      </c>
      <c r="Q191" s="62">
        <f>'Spectral Functions'!H189*'Spectral Functions'!F189</f>
        <v>0</v>
      </c>
      <c r="R191" s="31"/>
      <c r="S191" s="60">
        <f>L191*'Spectral Functions'!I189*'Spectral Functions'!D189</f>
        <v>0</v>
      </c>
      <c r="T191" s="61">
        <f>'Spectral Functions'!I189*'Spectral Functions'!D189</f>
        <v>0</v>
      </c>
      <c r="U191" s="61">
        <f>L191*'Spectral Functions'!I189*'Spectral Functions'!F189</f>
        <v>0</v>
      </c>
      <c r="V191" s="62">
        <f>'Spectral Functions'!I189*'Spectral Functions'!F189</f>
        <v>0</v>
      </c>
      <c r="W191" s="31"/>
      <c r="X191" s="60">
        <f>L191*'Spectral Functions'!J189*'Spectral Functions'!D189</f>
        <v>2.2701769501931519</v>
      </c>
      <c r="Y191" s="61">
        <f>'Spectral Functions'!J189*'Spectral Functions'!D189</f>
        <v>2.3716263999999997E-2</v>
      </c>
      <c r="Z191" s="61">
        <f>L191*'Spectral Functions'!J189*'Spectral Functions'!F189</f>
        <v>0</v>
      </c>
      <c r="AA191" s="62">
        <f>'Spectral Functions'!J189*'Spectral Functions'!F189</f>
        <v>0</v>
      </c>
      <c r="AB191" s="31"/>
      <c r="AC191" s="60">
        <f>L191*'Spectral Functions'!K189*'Spectral Functions'!D189</f>
        <v>0.58655603994623995</v>
      </c>
      <c r="AD191" s="61">
        <f>'Spectral Functions'!K189*'Spectral Functions'!D189</f>
        <v>6.1276799999999999E-3</v>
      </c>
      <c r="AE191" s="61">
        <f>L191*'Spectral Functions'!K189*'Spectral Functions'!F189</f>
        <v>0</v>
      </c>
      <c r="AF191" s="62">
        <f>'Spectral Functions'!K189*'Spectral Functions'!F189</f>
        <v>0</v>
      </c>
      <c r="AG191" s="31"/>
    </row>
    <row r="192" spans="1:33">
      <c r="A192" s="42">
        <v>754</v>
      </c>
      <c r="B192" s="31"/>
      <c r="C192" s="157">
        <v>95.524277999999995</v>
      </c>
      <c r="D192" s="47">
        <f t="shared" si="8"/>
        <v>95.524277999999995</v>
      </c>
      <c r="E192" s="31"/>
      <c r="F192" s="157">
        <v>95.524277999999995</v>
      </c>
      <c r="G192" s="47">
        <f t="shared" si="9"/>
        <v>95.524277999999995</v>
      </c>
      <c r="H192" s="31"/>
      <c r="I192" s="157">
        <v>95.524277999999995</v>
      </c>
      <c r="J192" s="47">
        <f t="shared" si="10"/>
        <v>95.524277999999995</v>
      </c>
      <c r="K192" s="54"/>
      <c r="L192" s="47">
        <f t="shared" si="11"/>
        <v>95.524277999999995</v>
      </c>
      <c r="M192" s="133"/>
      <c r="N192" s="60">
        <f>L192*'Spectral Functions'!H190*'Spectral Functions'!D190</f>
        <v>0.49307568023952419</v>
      </c>
      <c r="O192" s="61">
        <f>'Spectral Functions'!H190*'Spectral Functions'!D190</f>
        <v>5.1617839000000004E-3</v>
      </c>
      <c r="P192" s="61">
        <f>L192*'Spectral Functions'!H190*'Spectral Functions'!F190</f>
        <v>0</v>
      </c>
      <c r="Q192" s="62">
        <f>'Spectral Functions'!H190*'Spectral Functions'!F190</f>
        <v>0</v>
      </c>
      <c r="R192" s="31"/>
      <c r="S192" s="60">
        <f>L192*'Spectral Functions'!I190*'Spectral Functions'!D190</f>
        <v>0</v>
      </c>
      <c r="T192" s="61">
        <f>'Spectral Functions'!I190*'Spectral Functions'!D190</f>
        <v>0</v>
      </c>
      <c r="U192" s="61">
        <f>L192*'Spectral Functions'!I190*'Spectral Functions'!F190</f>
        <v>0</v>
      </c>
      <c r="V192" s="62">
        <f>'Spectral Functions'!I190*'Spectral Functions'!F190</f>
        <v>0</v>
      </c>
      <c r="W192" s="31"/>
      <c r="X192" s="60">
        <f>L192*'Spectral Functions'!J190*'Spectral Functions'!D190</f>
        <v>1.9912649970207539</v>
      </c>
      <c r="Y192" s="61">
        <f>'Spectral Functions'!J190*'Spectral Functions'!D190</f>
        <v>2.0845643000000001E-2</v>
      </c>
      <c r="Z192" s="61">
        <f>L192*'Spectral Functions'!J190*'Spectral Functions'!F190</f>
        <v>0</v>
      </c>
      <c r="AA192" s="62">
        <f>'Spectral Functions'!J190*'Spectral Functions'!F190</f>
        <v>0</v>
      </c>
      <c r="AB192" s="31"/>
      <c r="AC192" s="60">
        <f>L192*'Spectral Functions'!K190*'Spectral Functions'!D190</f>
        <v>0.50974047323472005</v>
      </c>
      <c r="AD192" s="61">
        <f>'Spectral Functions'!K190*'Spectral Functions'!D190</f>
        <v>5.3362399999999999E-3</v>
      </c>
      <c r="AE192" s="61">
        <f>L192*'Spectral Functions'!K190*'Spectral Functions'!F190</f>
        <v>0</v>
      </c>
      <c r="AF192" s="62">
        <f>'Spectral Functions'!K190*'Spectral Functions'!F190</f>
        <v>0</v>
      </c>
      <c r="AG192" s="31"/>
    </row>
    <row r="193" spans="1:33">
      <c r="A193" s="42">
        <v>756</v>
      </c>
      <c r="B193" s="31"/>
      <c r="C193" s="157">
        <v>95.475848999999997</v>
      </c>
      <c r="D193" s="47">
        <f t="shared" si="8"/>
        <v>95.475848999999997</v>
      </c>
      <c r="E193" s="31"/>
      <c r="F193" s="157">
        <v>95.475848999999997</v>
      </c>
      <c r="G193" s="47">
        <f t="shared" si="9"/>
        <v>95.475848999999997</v>
      </c>
      <c r="H193" s="31"/>
      <c r="I193" s="157">
        <v>95.475848999999997</v>
      </c>
      <c r="J193" s="47">
        <f t="shared" si="10"/>
        <v>95.475848999999997</v>
      </c>
      <c r="K193" s="54"/>
      <c r="L193" s="47">
        <f t="shared" si="11"/>
        <v>95.475848999999997</v>
      </c>
      <c r="M193" s="133"/>
      <c r="N193" s="60">
        <f>L193*'Spectral Functions'!H191*'Spectral Functions'!D191</f>
        <v>0.39438705420844794</v>
      </c>
      <c r="O193" s="61">
        <f>'Spectral Functions'!H191*'Spectral Functions'!D191</f>
        <v>4.1307519999999997E-3</v>
      </c>
      <c r="P193" s="61">
        <f>L193*'Spectral Functions'!H191*'Spectral Functions'!F191</f>
        <v>0</v>
      </c>
      <c r="Q193" s="62">
        <f>'Spectral Functions'!H191*'Spectral Functions'!F191</f>
        <v>0</v>
      </c>
      <c r="R193" s="31"/>
      <c r="S193" s="60">
        <f>L193*'Spectral Functions'!I191*'Spectral Functions'!D191</f>
        <v>0</v>
      </c>
      <c r="T193" s="61">
        <f>'Spectral Functions'!I191*'Spectral Functions'!D191</f>
        <v>0</v>
      </c>
      <c r="U193" s="61">
        <f>L193*'Spectral Functions'!I191*'Spectral Functions'!F191</f>
        <v>0</v>
      </c>
      <c r="V193" s="62">
        <f>'Spectral Functions'!I191*'Spectral Functions'!F191</f>
        <v>0</v>
      </c>
      <c r="W193" s="31"/>
      <c r="X193" s="60">
        <f>L193*'Spectral Functions'!J191*'Spectral Functions'!D191</f>
        <v>1.735520265168816</v>
      </c>
      <c r="Y193" s="61">
        <f>'Spectral Functions'!J191*'Spectral Functions'!D191</f>
        <v>1.8177584E-2</v>
      </c>
      <c r="Z193" s="61">
        <f>L193*'Spectral Functions'!J191*'Spectral Functions'!F191</f>
        <v>0</v>
      </c>
      <c r="AA193" s="62">
        <f>'Spectral Functions'!J191*'Spectral Functions'!F191</f>
        <v>0</v>
      </c>
      <c r="AB193" s="31"/>
      <c r="AC193" s="60">
        <f>L193*'Spectral Functions'!K191*'Spectral Functions'!D191</f>
        <v>0.44063822878782</v>
      </c>
      <c r="AD193" s="61">
        <f>'Spectral Functions'!K191*'Spectral Functions'!D191</f>
        <v>4.61518E-3</v>
      </c>
      <c r="AE193" s="61">
        <f>L193*'Spectral Functions'!K191*'Spectral Functions'!F191</f>
        <v>0</v>
      </c>
      <c r="AF193" s="62">
        <f>'Spectral Functions'!K191*'Spectral Functions'!F191</f>
        <v>0</v>
      </c>
      <c r="AG193" s="31"/>
    </row>
    <row r="194" spans="1:33">
      <c r="A194" s="42">
        <v>758</v>
      </c>
      <c r="B194" s="31"/>
      <c r="C194" s="157">
        <v>94.971452999999997</v>
      </c>
      <c r="D194" s="47">
        <f t="shared" si="8"/>
        <v>94.971452999999997</v>
      </c>
      <c r="E194" s="31"/>
      <c r="F194" s="157">
        <v>94.971452999999997</v>
      </c>
      <c r="G194" s="47">
        <f t="shared" si="9"/>
        <v>94.971452999999997</v>
      </c>
      <c r="H194" s="31"/>
      <c r="I194" s="157">
        <v>94.971452999999997</v>
      </c>
      <c r="J194" s="47">
        <f t="shared" si="10"/>
        <v>94.971452999999997</v>
      </c>
      <c r="K194" s="54"/>
      <c r="L194" s="47">
        <f t="shared" si="11"/>
        <v>94.971452999999997</v>
      </c>
      <c r="M194" s="133"/>
      <c r="N194" s="60">
        <f>L194*'Spectral Functions'!H192*'Spectral Functions'!D192</f>
        <v>0.32668887270524666</v>
      </c>
      <c r="O194" s="61">
        <f>'Spectral Functions'!H192*'Spectral Functions'!D192</f>
        <v>3.4398638999999995E-3</v>
      </c>
      <c r="P194" s="61">
        <f>L194*'Spectral Functions'!H192*'Spectral Functions'!F192</f>
        <v>0</v>
      </c>
      <c r="Q194" s="62">
        <f>'Spectral Functions'!H192*'Spectral Functions'!F192</f>
        <v>0</v>
      </c>
      <c r="R194" s="31"/>
      <c r="S194" s="60">
        <f>L194*'Spectral Functions'!I192*'Spectral Functions'!D192</f>
        <v>0</v>
      </c>
      <c r="T194" s="61">
        <f>'Spectral Functions'!I192*'Spectral Functions'!D192</f>
        <v>0</v>
      </c>
      <c r="U194" s="61">
        <f>L194*'Spectral Functions'!I192*'Spectral Functions'!F192</f>
        <v>0</v>
      </c>
      <c r="V194" s="62">
        <f>'Spectral Functions'!I192*'Spectral Functions'!F192</f>
        <v>0</v>
      </c>
      <c r="W194" s="31"/>
      <c r="X194" s="60">
        <f>L194*'Spectral Functions'!J192*'Spectral Functions'!D192</f>
        <v>1.5144708226952699</v>
      </c>
      <c r="Y194" s="61">
        <f>'Spectral Functions'!J192*'Spectral Functions'!D192</f>
        <v>1.594659E-2</v>
      </c>
      <c r="Z194" s="61">
        <f>L194*'Spectral Functions'!J192*'Spectral Functions'!F192</f>
        <v>0</v>
      </c>
      <c r="AA194" s="62">
        <f>'Spectral Functions'!J192*'Spectral Functions'!F192</f>
        <v>0</v>
      </c>
      <c r="AB194" s="31"/>
      <c r="AC194" s="60">
        <f>L194*'Spectral Functions'!K192*'Spectral Functions'!D192</f>
        <v>0.38636666395271996</v>
      </c>
      <c r="AD194" s="61">
        <f>'Spectral Functions'!K192*'Spectral Functions'!D192</f>
        <v>4.0682399999999999E-3</v>
      </c>
      <c r="AE194" s="61">
        <f>L194*'Spectral Functions'!K192*'Spectral Functions'!F192</f>
        <v>0</v>
      </c>
      <c r="AF194" s="62">
        <f>'Spectral Functions'!K192*'Spectral Functions'!F192</f>
        <v>0</v>
      </c>
      <c r="AG194" s="31"/>
    </row>
    <row r="195" spans="1:33">
      <c r="A195" s="42">
        <v>760</v>
      </c>
      <c r="B195" s="31"/>
      <c r="C195" s="157">
        <v>96.085420999999997</v>
      </c>
      <c r="D195" s="47">
        <f t="shared" si="8"/>
        <v>96.085420999999997</v>
      </c>
      <c r="E195" s="31"/>
      <c r="F195" s="157">
        <v>96.085420999999997</v>
      </c>
      <c r="G195" s="47">
        <f t="shared" si="9"/>
        <v>96.085420999999997</v>
      </c>
      <c r="H195" s="31"/>
      <c r="I195" s="157">
        <v>96.085420999999997</v>
      </c>
      <c r="J195" s="47">
        <f t="shared" si="10"/>
        <v>96.085420999999997</v>
      </c>
      <c r="K195" s="54"/>
      <c r="L195" s="47">
        <f t="shared" si="11"/>
        <v>96.085420999999997</v>
      </c>
      <c r="M195" s="133"/>
      <c r="N195" s="60">
        <f>L195*'Spectral Functions'!H193*'Spectral Functions'!D193</f>
        <v>0.26760673734373203</v>
      </c>
      <c r="O195" s="61">
        <f>'Spectral Functions'!H193*'Spectral Functions'!D193</f>
        <v>2.7850919999999999E-3</v>
      </c>
      <c r="P195" s="61">
        <f>L195*'Spectral Functions'!H193*'Spectral Functions'!F193</f>
        <v>0</v>
      </c>
      <c r="Q195" s="62">
        <f>'Spectral Functions'!H193*'Spectral Functions'!F193</f>
        <v>0</v>
      </c>
      <c r="R195" s="31"/>
      <c r="S195" s="60">
        <f>L195*'Spectral Functions'!I193*'Spectral Functions'!D193</f>
        <v>0</v>
      </c>
      <c r="T195" s="61">
        <f>'Spectral Functions'!I193*'Spectral Functions'!D193</f>
        <v>0</v>
      </c>
      <c r="U195" s="61">
        <f>L195*'Spectral Functions'!I193*'Spectral Functions'!F193</f>
        <v>0</v>
      </c>
      <c r="V195" s="62">
        <f>'Spectral Functions'!I193*'Spectral Functions'!F193</f>
        <v>0</v>
      </c>
      <c r="W195" s="31"/>
      <c r="X195" s="60">
        <f>L195*'Spectral Functions'!J193*'Spectral Functions'!D193</f>
        <v>1.3381720497249001</v>
      </c>
      <c r="Y195" s="61">
        <f>'Spectral Functions'!J193*'Spectral Functions'!D193</f>
        <v>1.3926900000000001E-2</v>
      </c>
      <c r="Z195" s="61">
        <f>L195*'Spectral Functions'!J193*'Spectral Functions'!F193</f>
        <v>0</v>
      </c>
      <c r="AA195" s="62">
        <f>'Spectral Functions'!J193*'Spectral Functions'!F193</f>
        <v>0</v>
      </c>
      <c r="AB195" s="31"/>
      <c r="AC195" s="60">
        <f>L195*'Spectral Functions'!K193*'Spectral Functions'!D193</f>
        <v>0.33495377760600004</v>
      </c>
      <c r="AD195" s="61">
        <f>'Spectral Functions'!K193*'Spectral Functions'!D193</f>
        <v>3.4860000000000004E-3</v>
      </c>
      <c r="AE195" s="61">
        <f>L195*'Spectral Functions'!K193*'Spectral Functions'!F193</f>
        <v>0</v>
      </c>
      <c r="AF195" s="62">
        <f>'Spectral Functions'!K193*'Spectral Functions'!F193</f>
        <v>0</v>
      </c>
      <c r="AG195" s="31"/>
    </row>
    <row r="196" spans="1:33">
      <c r="A196" s="42">
        <v>762</v>
      </c>
      <c r="B196" s="31"/>
      <c r="C196" s="157">
        <v>95.371624999999995</v>
      </c>
      <c r="D196" s="47">
        <f t="shared" si="8"/>
        <v>95.371624999999995</v>
      </c>
      <c r="E196" s="31"/>
      <c r="F196" s="157">
        <v>95.371624999999995</v>
      </c>
      <c r="G196" s="47">
        <f t="shared" si="9"/>
        <v>95.371624999999995</v>
      </c>
      <c r="H196" s="31"/>
      <c r="I196" s="157">
        <v>95.371624999999995</v>
      </c>
      <c r="J196" s="47">
        <f t="shared" si="10"/>
        <v>95.371624999999995</v>
      </c>
      <c r="K196" s="54"/>
      <c r="L196" s="47">
        <f t="shared" si="11"/>
        <v>95.371624999999995</v>
      </c>
      <c r="M196" s="133"/>
      <c r="N196" s="60">
        <f>L196*'Spectral Functions'!H194*'Spectral Functions'!D194</f>
        <v>0.25042406622219998</v>
      </c>
      <c r="O196" s="61">
        <f>'Spectral Functions'!H194*'Spectral Functions'!D194</f>
        <v>2.6257711999999999E-3</v>
      </c>
      <c r="P196" s="61">
        <f>L196*'Spectral Functions'!H194*'Spectral Functions'!F194</f>
        <v>0</v>
      </c>
      <c r="Q196" s="62">
        <f>'Spectral Functions'!H194*'Spectral Functions'!F194</f>
        <v>0</v>
      </c>
      <c r="R196" s="31"/>
      <c r="S196" s="60">
        <f>L196*'Spectral Functions'!I194*'Spectral Functions'!D194</f>
        <v>0</v>
      </c>
      <c r="T196" s="61">
        <f>'Spectral Functions'!I194*'Spectral Functions'!D194</f>
        <v>0</v>
      </c>
      <c r="U196" s="61">
        <f>L196*'Spectral Functions'!I194*'Spectral Functions'!F194</f>
        <v>0</v>
      </c>
      <c r="V196" s="62">
        <f>'Spectral Functions'!I194*'Spectral Functions'!F194</f>
        <v>0</v>
      </c>
      <c r="W196" s="31"/>
      <c r="X196" s="60">
        <f>L196*'Spectral Functions'!J194*'Spectral Functions'!D194</f>
        <v>1.1560780528439998</v>
      </c>
      <c r="Y196" s="61">
        <f>'Spectral Functions'!J194*'Spectral Functions'!D194</f>
        <v>1.2121824E-2</v>
      </c>
      <c r="Z196" s="61">
        <f>L196*'Spectral Functions'!J194*'Spectral Functions'!F194</f>
        <v>0</v>
      </c>
      <c r="AA196" s="62">
        <f>'Spectral Functions'!J194*'Spectral Functions'!F194</f>
        <v>0</v>
      </c>
      <c r="AB196" s="31"/>
      <c r="AC196" s="60">
        <f>L196*'Spectral Functions'!K194*'Spectral Functions'!D194</f>
        <v>0.28793838046999998</v>
      </c>
      <c r="AD196" s="61">
        <f>'Spectral Functions'!K194*'Spectral Functions'!D194</f>
        <v>3.0191200000000001E-3</v>
      </c>
      <c r="AE196" s="61">
        <f>L196*'Spectral Functions'!K194*'Spectral Functions'!F194</f>
        <v>0</v>
      </c>
      <c r="AF196" s="62">
        <f>'Spectral Functions'!K194*'Spectral Functions'!F194</f>
        <v>0</v>
      </c>
      <c r="AG196" s="31"/>
    </row>
    <row r="197" spans="1:33">
      <c r="A197" s="42">
        <v>764</v>
      </c>
      <c r="B197" s="31"/>
      <c r="C197" s="157">
        <v>94.382408999999996</v>
      </c>
      <c r="D197" s="47">
        <f t="shared" si="8"/>
        <v>94.382408999999996</v>
      </c>
      <c r="E197" s="31"/>
      <c r="F197" s="157">
        <v>94.382408999999996</v>
      </c>
      <c r="G197" s="47">
        <f t="shared" si="9"/>
        <v>94.382408999999996</v>
      </c>
      <c r="H197" s="31"/>
      <c r="I197" s="157">
        <v>94.382408999999996</v>
      </c>
      <c r="J197" s="47">
        <f t="shared" si="10"/>
        <v>94.382408999999996</v>
      </c>
      <c r="K197" s="54"/>
      <c r="L197" s="47">
        <f t="shared" si="11"/>
        <v>94.382408999999996</v>
      </c>
      <c r="M197" s="133"/>
      <c r="N197" s="60">
        <f>L197*'Spectral Functions'!H195*'Spectral Functions'!D195</f>
        <v>0.23178332900690549</v>
      </c>
      <c r="O197" s="61">
        <f>'Spectral Functions'!H195*'Spectral Functions'!D195</f>
        <v>2.4557895000000001E-3</v>
      </c>
      <c r="P197" s="61">
        <f>L197*'Spectral Functions'!H195*'Spectral Functions'!F195</f>
        <v>0</v>
      </c>
      <c r="Q197" s="62">
        <f>'Spectral Functions'!H195*'Spectral Functions'!F195</f>
        <v>0</v>
      </c>
      <c r="R197" s="31"/>
      <c r="S197" s="60">
        <f>L197*'Spectral Functions'!I195*'Spectral Functions'!D195</f>
        <v>0</v>
      </c>
      <c r="T197" s="61">
        <f>'Spectral Functions'!I195*'Spectral Functions'!D195</f>
        <v>0</v>
      </c>
      <c r="U197" s="61">
        <f>L197*'Spectral Functions'!I195*'Spectral Functions'!F195</f>
        <v>0</v>
      </c>
      <c r="V197" s="62">
        <f>'Spectral Functions'!I195*'Spectral Functions'!F195</f>
        <v>0</v>
      </c>
      <c r="W197" s="31"/>
      <c r="X197" s="60">
        <f>L197*'Spectral Functions'!J195*'Spectral Functions'!D195</f>
        <v>0.99426724040209502</v>
      </c>
      <c r="Y197" s="61">
        <f>'Spectral Functions'!J195*'Spectral Functions'!D195</f>
        <v>1.0534455E-2</v>
      </c>
      <c r="Z197" s="61">
        <f>L197*'Spectral Functions'!J195*'Spectral Functions'!F195</f>
        <v>0</v>
      </c>
      <c r="AA197" s="62">
        <f>'Spectral Functions'!J195*'Spectral Functions'!F195</f>
        <v>0</v>
      </c>
      <c r="AB197" s="31"/>
      <c r="AC197" s="60">
        <f>L197*'Spectral Functions'!K195*'Spectral Functions'!D195</f>
        <v>0.24642303165810001</v>
      </c>
      <c r="AD197" s="61">
        <f>'Spectral Functions'!K195*'Spectral Functions'!D195</f>
        <v>2.6109000000000002E-3</v>
      </c>
      <c r="AE197" s="61">
        <f>L197*'Spectral Functions'!K195*'Spectral Functions'!F195</f>
        <v>0</v>
      </c>
      <c r="AF197" s="62">
        <f>'Spectral Functions'!K195*'Spectral Functions'!F195</f>
        <v>0</v>
      </c>
      <c r="AG197" s="31"/>
    </row>
    <row r="198" spans="1:33">
      <c r="A198" s="42">
        <v>766</v>
      </c>
      <c r="B198" s="31"/>
      <c r="C198" s="157">
        <v>95.271404000000004</v>
      </c>
      <c r="D198" s="47">
        <f t="shared" ref="D198:D205" si="12">IF(C198&lt;0,0,IF(C198&gt;100,100,C198))</f>
        <v>95.271404000000004</v>
      </c>
      <c r="E198" s="31"/>
      <c r="F198" s="157">
        <v>95.271404000000004</v>
      </c>
      <c r="G198" s="47">
        <f t="shared" ref="G198:G205" si="13">IF(F198&lt;0,0,IF(F198&gt;100,100,F198))</f>
        <v>95.271404000000004</v>
      </c>
      <c r="H198" s="31"/>
      <c r="I198" s="157">
        <v>95.271404000000004</v>
      </c>
      <c r="J198" s="47">
        <f t="shared" ref="J198:J205" si="14">IF(I198&lt;0,0,IF(I198&gt;100,100,I198))</f>
        <v>95.271404000000004</v>
      </c>
      <c r="K198" s="54"/>
      <c r="L198" s="47">
        <f t="shared" ref="L198:L205" si="15">(D198+G198+J198)/3</f>
        <v>95.271404000000004</v>
      </c>
      <c r="M198" s="133"/>
      <c r="N198" s="60">
        <f>L198*'Spectral Functions'!H196*'Spectral Functions'!D196</f>
        <v>0.22350861921208004</v>
      </c>
      <c r="O198" s="61">
        <f>'Spectral Functions'!H196*'Spectral Functions'!D196</f>
        <v>2.3460200000000003E-3</v>
      </c>
      <c r="P198" s="61">
        <f>L198*'Spectral Functions'!H196*'Spectral Functions'!F196</f>
        <v>0</v>
      </c>
      <c r="Q198" s="62">
        <f>'Spectral Functions'!H196*'Spectral Functions'!F196</f>
        <v>0</v>
      </c>
      <c r="R198" s="31"/>
      <c r="S198" s="60">
        <f>L198*'Spectral Functions'!I196*'Spectral Functions'!D196</f>
        <v>0</v>
      </c>
      <c r="T198" s="61">
        <f>'Spectral Functions'!I196*'Spectral Functions'!D196</f>
        <v>0</v>
      </c>
      <c r="U198" s="61">
        <f>L198*'Spectral Functions'!I196*'Spectral Functions'!F196</f>
        <v>0</v>
      </c>
      <c r="V198" s="62">
        <f>'Spectral Functions'!I196*'Spectral Functions'!F196</f>
        <v>0</v>
      </c>
      <c r="W198" s="31"/>
      <c r="X198" s="60">
        <f>L198*'Spectral Functions'!J196*'Spectral Functions'!D196</f>
        <v>0.89584844438048017</v>
      </c>
      <c r="Y198" s="61">
        <f>'Spectral Functions'!J196*'Spectral Functions'!D196</f>
        <v>9.4031200000000009E-3</v>
      </c>
      <c r="Z198" s="61">
        <f>L198*'Spectral Functions'!J196*'Spectral Functions'!F196</f>
        <v>0</v>
      </c>
      <c r="AA198" s="62">
        <f>'Spectral Functions'!J196*'Spectral Functions'!F196</f>
        <v>0</v>
      </c>
      <c r="AB198" s="31"/>
      <c r="AC198" s="60">
        <f>L198*'Spectral Functions'!K196*'Spectral Functions'!D196</f>
        <v>0.2211820915264</v>
      </c>
      <c r="AD198" s="61">
        <f>'Spectral Functions'!K196*'Spectral Functions'!D196</f>
        <v>2.3216000000000001E-3</v>
      </c>
      <c r="AE198" s="61">
        <f>L198*'Spectral Functions'!K196*'Spectral Functions'!F196</f>
        <v>0</v>
      </c>
      <c r="AF198" s="62">
        <f>'Spectral Functions'!K196*'Spectral Functions'!F196</f>
        <v>0</v>
      </c>
      <c r="AG198" s="31"/>
    </row>
    <row r="199" spans="1:33">
      <c r="A199" s="42">
        <v>768</v>
      </c>
      <c r="B199" s="31"/>
      <c r="C199" s="157">
        <v>95.004902000000001</v>
      </c>
      <c r="D199" s="47">
        <f t="shared" si="12"/>
        <v>95.004902000000001</v>
      </c>
      <c r="E199" s="31"/>
      <c r="F199" s="157">
        <v>95.004902000000001</v>
      </c>
      <c r="G199" s="47">
        <f t="shared" si="13"/>
        <v>95.004902000000001</v>
      </c>
      <c r="H199" s="31"/>
      <c r="I199" s="157">
        <v>95.004902000000001</v>
      </c>
      <c r="J199" s="47">
        <f t="shared" si="14"/>
        <v>95.004902000000001</v>
      </c>
      <c r="K199" s="54"/>
      <c r="L199" s="47">
        <f t="shared" si="15"/>
        <v>95.004902000000001</v>
      </c>
      <c r="M199" s="133"/>
      <c r="N199" s="60">
        <f>L199*'Spectral Functions'!H197*'Spectral Functions'!D197</f>
        <v>0.20262189475030401</v>
      </c>
      <c r="O199" s="61">
        <f>'Spectral Functions'!H197*'Spectral Functions'!D197</f>
        <v>2.1327519999999999E-3</v>
      </c>
      <c r="P199" s="61">
        <f>L199*'Spectral Functions'!H197*'Spectral Functions'!F197</f>
        <v>0</v>
      </c>
      <c r="Q199" s="62">
        <f>'Spectral Functions'!H197*'Spectral Functions'!F197</f>
        <v>0</v>
      </c>
      <c r="R199" s="31"/>
      <c r="S199" s="60">
        <f>L199*'Spectral Functions'!I197*'Spectral Functions'!D197</f>
        <v>0</v>
      </c>
      <c r="T199" s="61">
        <f>'Spectral Functions'!I197*'Spectral Functions'!D197</f>
        <v>0</v>
      </c>
      <c r="U199" s="61">
        <f>L199*'Spectral Functions'!I197*'Spectral Functions'!F197</f>
        <v>0</v>
      </c>
      <c r="V199" s="62">
        <f>'Spectral Functions'!I197*'Spectral Functions'!F197</f>
        <v>0</v>
      </c>
      <c r="W199" s="31"/>
      <c r="X199" s="60">
        <f>L199*'Spectral Functions'!J197*'Spectral Functions'!D197</f>
        <v>0.76247115148139599</v>
      </c>
      <c r="Y199" s="61">
        <f>'Spectral Functions'!J197*'Spectral Functions'!D197</f>
        <v>8.0255980000000001E-3</v>
      </c>
      <c r="Z199" s="61">
        <f>L199*'Spectral Functions'!J197*'Spectral Functions'!F197</f>
        <v>0</v>
      </c>
      <c r="AA199" s="62">
        <f>'Spectral Functions'!J197*'Spectral Functions'!F197</f>
        <v>0</v>
      </c>
      <c r="AB199" s="31"/>
      <c r="AC199" s="60">
        <f>L199*'Spectral Functions'!K197*'Spectral Functions'!D197</f>
        <v>0.18773728674415999</v>
      </c>
      <c r="AD199" s="61">
        <f>'Spectral Functions'!K197*'Spectral Functions'!D197</f>
        <v>1.9760799999999999E-3</v>
      </c>
      <c r="AE199" s="61">
        <f>L199*'Spectral Functions'!K197*'Spectral Functions'!F197</f>
        <v>0</v>
      </c>
      <c r="AF199" s="62">
        <f>'Spectral Functions'!K197*'Spectral Functions'!F197</f>
        <v>0</v>
      </c>
      <c r="AG199" s="31"/>
    </row>
    <row r="200" spans="1:33">
      <c r="A200" s="42">
        <v>770</v>
      </c>
      <c r="B200" s="31"/>
      <c r="C200" s="157">
        <v>95.592535999999996</v>
      </c>
      <c r="D200" s="47">
        <f t="shared" si="12"/>
        <v>95.592535999999996</v>
      </c>
      <c r="E200" s="31"/>
      <c r="F200" s="157">
        <v>95.592535999999996</v>
      </c>
      <c r="G200" s="47">
        <f t="shared" si="13"/>
        <v>95.592535999999996</v>
      </c>
      <c r="H200" s="31"/>
      <c r="I200" s="157">
        <v>95.592535999999996</v>
      </c>
      <c r="J200" s="47">
        <f t="shared" si="14"/>
        <v>95.592535999999996</v>
      </c>
      <c r="K200" s="54"/>
      <c r="L200" s="47">
        <f t="shared" si="15"/>
        <v>95.592535999999996</v>
      </c>
      <c r="M200" s="133"/>
      <c r="N200" s="60">
        <f>L200*'Spectral Functions'!H198*'Spectral Functions'!D198</f>
        <v>0.19158292813483199</v>
      </c>
      <c r="O200" s="61">
        <f>'Spectral Functions'!H198*'Spectral Functions'!D198</f>
        <v>2.0041620000000003E-3</v>
      </c>
      <c r="P200" s="61">
        <f>L200*'Spectral Functions'!H198*'Spectral Functions'!F198</f>
        <v>0</v>
      </c>
      <c r="Q200" s="62">
        <f>'Spectral Functions'!H198*'Spectral Functions'!F198</f>
        <v>0</v>
      </c>
      <c r="R200" s="31"/>
      <c r="S200" s="60">
        <f>L200*'Spectral Functions'!I198*'Spectral Functions'!D198</f>
        <v>0</v>
      </c>
      <c r="T200" s="61">
        <f>'Spectral Functions'!I198*'Spectral Functions'!D198</f>
        <v>0</v>
      </c>
      <c r="U200" s="61">
        <f>L200*'Spectral Functions'!I198*'Spectral Functions'!F198</f>
        <v>0</v>
      </c>
      <c r="V200" s="62">
        <f>'Spectral Functions'!I198*'Spectral Functions'!F198</f>
        <v>0</v>
      </c>
      <c r="W200" s="31"/>
      <c r="X200" s="60">
        <f>L200*'Spectral Functions'!J198*'Spectral Functions'!D198</f>
        <v>0.67968587316864004</v>
      </c>
      <c r="Y200" s="61">
        <f>'Spectral Functions'!J198*'Spectral Functions'!D198</f>
        <v>7.1102400000000003E-3</v>
      </c>
      <c r="Z200" s="61">
        <f>L200*'Spectral Functions'!J198*'Spectral Functions'!F198</f>
        <v>0</v>
      </c>
      <c r="AA200" s="62">
        <f>'Spectral Functions'!J198*'Spectral Functions'!F198</f>
        <v>0</v>
      </c>
      <c r="AB200" s="31"/>
      <c r="AC200" s="60">
        <f>L200*'Spectral Functions'!K198*'Spectral Functions'!D198</f>
        <v>0.166904567856</v>
      </c>
      <c r="AD200" s="61">
        <f>'Spectral Functions'!K198*'Spectral Functions'!D198</f>
        <v>1.7460000000000002E-3</v>
      </c>
      <c r="AE200" s="61">
        <f>L200*'Spectral Functions'!K198*'Spectral Functions'!F198</f>
        <v>0</v>
      </c>
      <c r="AF200" s="62">
        <f>'Spectral Functions'!K198*'Spectral Functions'!F198</f>
        <v>0</v>
      </c>
      <c r="AG200" s="31"/>
    </row>
    <row r="201" spans="1:33">
      <c r="A201" s="42">
        <v>772</v>
      </c>
      <c r="B201" s="31"/>
      <c r="C201" s="157">
        <v>95.300888</v>
      </c>
      <c r="D201" s="47">
        <f t="shared" si="12"/>
        <v>95.300888</v>
      </c>
      <c r="E201" s="31"/>
      <c r="F201" s="157">
        <v>95.300888</v>
      </c>
      <c r="G201" s="47">
        <f t="shared" si="13"/>
        <v>95.300888</v>
      </c>
      <c r="H201" s="31"/>
      <c r="I201" s="157">
        <v>95.300888</v>
      </c>
      <c r="J201" s="47">
        <f t="shared" si="14"/>
        <v>95.300888</v>
      </c>
      <c r="K201" s="54"/>
      <c r="L201" s="47">
        <f t="shared" si="15"/>
        <v>95.300888</v>
      </c>
      <c r="M201" s="133"/>
      <c r="N201" s="60">
        <f>L201*'Spectral Functions'!H199*'Spectral Functions'!D199</f>
        <v>0.1638358926193392</v>
      </c>
      <c r="O201" s="61">
        <f>'Spectral Functions'!H199*'Spectral Functions'!D199</f>
        <v>1.7191434000000002E-3</v>
      </c>
      <c r="P201" s="61">
        <f>L201*'Spectral Functions'!H199*'Spectral Functions'!F199</f>
        <v>0</v>
      </c>
      <c r="Q201" s="62">
        <f>'Spectral Functions'!H199*'Spectral Functions'!F199</f>
        <v>0</v>
      </c>
      <c r="R201" s="31"/>
      <c r="S201" s="60">
        <f>L201*'Spectral Functions'!I199*'Spectral Functions'!D199</f>
        <v>0</v>
      </c>
      <c r="T201" s="61">
        <f>'Spectral Functions'!I199*'Spectral Functions'!D199</f>
        <v>0</v>
      </c>
      <c r="U201" s="61">
        <f>L201*'Spectral Functions'!I199*'Spectral Functions'!F199</f>
        <v>0</v>
      </c>
      <c r="V201" s="62">
        <f>'Spectral Functions'!I199*'Spectral Functions'!F199</f>
        <v>0</v>
      </c>
      <c r="W201" s="31"/>
      <c r="X201" s="60">
        <f>L201*'Spectral Functions'!J199*'Spectral Functions'!D199</f>
        <v>0.58962030419739198</v>
      </c>
      <c r="Y201" s="61">
        <f>'Spectral Functions'!J199*'Spectral Functions'!D199</f>
        <v>6.1869339999999998E-3</v>
      </c>
      <c r="Z201" s="61">
        <f>L201*'Spectral Functions'!J199*'Spectral Functions'!F199</f>
        <v>0</v>
      </c>
      <c r="AA201" s="62">
        <f>'Spectral Functions'!J199*'Spectral Functions'!F199</f>
        <v>0</v>
      </c>
      <c r="AB201" s="31"/>
      <c r="AC201" s="60">
        <f>L201*'Spectral Functions'!K199*'Spectral Functions'!D199</f>
        <v>8.6525582232959988E-2</v>
      </c>
      <c r="AD201" s="61">
        <f>'Spectral Functions'!K199*'Spectral Functions'!D199</f>
        <v>9.0791999999999999E-4</v>
      </c>
      <c r="AE201" s="61">
        <f>L201*'Spectral Functions'!K199*'Spectral Functions'!F199</f>
        <v>0</v>
      </c>
      <c r="AF201" s="62">
        <f>'Spectral Functions'!K199*'Spectral Functions'!F199</f>
        <v>0</v>
      </c>
      <c r="AG201" s="31"/>
    </row>
    <row r="202" spans="1:33">
      <c r="A202" s="42">
        <v>774</v>
      </c>
      <c r="B202" s="31"/>
      <c r="C202" s="157">
        <v>93.849866000000006</v>
      </c>
      <c r="D202" s="47">
        <f t="shared" si="12"/>
        <v>93.849866000000006</v>
      </c>
      <c r="E202" s="31"/>
      <c r="F202" s="157">
        <v>93.849866000000006</v>
      </c>
      <c r="G202" s="47">
        <f t="shared" si="13"/>
        <v>93.849866000000006</v>
      </c>
      <c r="H202" s="31"/>
      <c r="I202" s="157">
        <v>93.849866000000006</v>
      </c>
      <c r="J202" s="47">
        <f t="shared" si="14"/>
        <v>93.849866000000006</v>
      </c>
      <c r="K202" s="54"/>
      <c r="L202" s="47">
        <f t="shared" si="15"/>
        <v>93.849866000000006</v>
      </c>
      <c r="M202" s="133"/>
      <c r="N202" s="60">
        <f>L202*'Spectral Functions'!H200*'Spectral Functions'!D200</f>
        <v>0.14124753954501523</v>
      </c>
      <c r="O202" s="61">
        <f>'Spectral Functions'!H200*'Spectral Functions'!D200</f>
        <v>1.5050372000000002E-3</v>
      </c>
      <c r="P202" s="61">
        <f>L202*'Spectral Functions'!H200*'Spectral Functions'!F200</f>
        <v>0</v>
      </c>
      <c r="Q202" s="62">
        <f>'Spectral Functions'!H200*'Spectral Functions'!F200</f>
        <v>0</v>
      </c>
      <c r="R202" s="31"/>
      <c r="S202" s="60">
        <f>L202*'Spectral Functions'!I200*'Spectral Functions'!D200</f>
        <v>0</v>
      </c>
      <c r="T202" s="61">
        <f>'Spectral Functions'!I200*'Spectral Functions'!D200</f>
        <v>0</v>
      </c>
      <c r="U202" s="61">
        <f>L202*'Spectral Functions'!I200*'Spectral Functions'!F200</f>
        <v>0</v>
      </c>
      <c r="V202" s="62">
        <f>'Spectral Functions'!I200*'Spectral Functions'!F200</f>
        <v>0</v>
      </c>
      <c r="W202" s="31"/>
      <c r="X202" s="60">
        <f>L202*'Spectral Functions'!J200*'Spectral Functions'!D200</f>
        <v>0.51568117580403594</v>
      </c>
      <c r="Y202" s="61">
        <f>'Spectral Functions'!J200*'Spectral Functions'!D200</f>
        <v>5.494746E-3</v>
      </c>
      <c r="Z202" s="61">
        <f>L202*'Spectral Functions'!J200*'Spectral Functions'!F200</f>
        <v>0</v>
      </c>
      <c r="AA202" s="62">
        <f>'Spectral Functions'!J200*'Spectral Functions'!F200</f>
        <v>0</v>
      </c>
      <c r="AB202" s="31"/>
      <c r="AC202" s="60">
        <f>L202*'Spectral Functions'!K200*'Spectral Functions'!D200</f>
        <v>2.512548612552E-2</v>
      </c>
      <c r="AD202" s="61">
        <f>'Spectral Functions'!K200*'Spectral Functions'!D200</f>
        <v>2.6771999999999999E-4</v>
      </c>
      <c r="AE202" s="61">
        <f>L202*'Spectral Functions'!K200*'Spectral Functions'!F200</f>
        <v>0</v>
      </c>
      <c r="AF202" s="62">
        <f>'Spectral Functions'!K200*'Spectral Functions'!F200</f>
        <v>0</v>
      </c>
      <c r="AG202" s="31"/>
    </row>
    <row r="203" spans="1:33">
      <c r="A203" s="42">
        <v>776</v>
      </c>
      <c r="B203" s="31"/>
      <c r="C203" s="157">
        <v>95.382890000000003</v>
      </c>
      <c r="D203" s="47">
        <f t="shared" si="12"/>
        <v>95.382890000000003</v>
      </c>
      <c r="E203" s="31"/>
      <c r="F203" s="157">
        <v>95.382890000000003</v>
      </c>
      <c r="G203" s="47">
        <f t="shared" si="13"/>
        <v>95.382890000000003</v>
      </c>
      <c r="H203" s="31"/>
      <c r="I203" s="157">
        <v>95.382890000000003</v>
      </c>
      <c r="J203" s="47">
        <f t="shared" si="14"/>
        <v>95.382890000000003</v>
      </c>
      <c r="K203" s="54"/>
      <c r="L203" s="47">
        <f t="shared" si="15"/>
        <v>95.382890000000017</v>
      </c>
      <c r="M203" s="133"/>
      <c r="N203" s="60">
        <f>L203*'Spectral Functions'!H201*'Spectral Functions'!D201</f>
        <v>0.12352427633404003</v>
      </c>
      <c r="O203" s="61">
        <f>'Spectral Functions'!H201*'Spectral Functions'!D201</f>
        <v>1.2950360000000001E-3</v>
      </c>
      <c r="P203" s="61">
        <f>L203*'Spectral Functions'!H201*'Spectral Functions'!F201</f>
        <v>0</v>
      </c>
      <c r="Q203" s="62">
        <f>'Spectral Functions'!H201*'Spectral Functions'!F201</f>
        <v>0</v>
      </c>
      <c r="R203" s="31"/>
      <c r="S203" s="60">
        <f>L203*'Spectral Functions'!I201*'Spectral Functions'!D201</f>
        <v>0</v>
      </c>
      <c r="T203" s="61">
        <f>'Spectral Functions'!I201*'Spectral Functions'!D201</f>
        <v>0</v>
      </c>
      <c r="U203" s="61">
        <f>L203*'Spectral Functions'!I201*'Spectral Functions'!F201</f>
        <v>0</v>
      </c>
      <c r="V203" s="62">
        <f>'Spectral Functions'!I201*'Spectral Functions'!F201</f>
        <v>0</v>
      </c>
      <c r="W203" s="31"/>
      <c r="X203" s="60">
        <f>L203*'Spectral Functions'!J201*'Spectral Functions'!D201</f>
        <v>0.45752501612080015</v>
      </c>
      <c r="Y203" s="61">
        <f>'Spectral Functions'!J201*'Spectral Functions'!D201</f>
        <v>4.7967200000000008E-3</v>
      </c>
      <c r="Z203" s="61">
        <f>L203*'Spectral Functions'!J201*'Spectral Functions'!F201</f>
        <v>0</v>
      </c>
      <c r="AA203" s="62">
        <f>'Spectral Functions'!J201*'Spectral Functions'!F201</f>
        <v>0</v>
      </c>
      <c r="AB203" s="31"/>
      <c r="AC203" s="60">
        <f>L203*'Spectral Functions'!K201*'Spectral Functions'!D201</f>
        <v>0</v>
      </c>
      <c r="AD203" s="61">
        <f>'Spectral Functions'!K201*'Spectral Functions'!D201</f>
        <v>0</v>
      </c>
      <c r="AE203" s="61">
        <f>L203*'Spectral Functions'!K201*'Spectral Functions'!F201</f>
        <v>0</v>
      </c>
      <c r="AF203" s="62">
        <f>'Spectral Functions'!K201*'Spectral Functions'!F201</f>
        <v>0</v>
      </c>
      <c r="AG203" s="31"/>
    </row>
    <row r="204" spans="1:33">
      <c r="A204" s="42">
        <v>778</v>
      </c>
      <c r="B204" s="31"/>
      <c r="C204" s="157">
        <v>94.939350000000005</v>
      </c>
      <c r="D204" s="47">
        <f t="shared" si="12"/>
        <v>94.939350000000005</v>
      </c>
      <c r="E204" s="31"/>
      <c r="F204" s="157">
        <v>94.939350000000005</v>
      </c>
      <c r="G204" s="47">
        <f t="shared" si="13"/>
        <v>94.939350000000005</v>
      </c>
      <c r="H204" s="31"/>
      <c r="I204" s="157">
        <v>94.939350000000005</v>
      </c>
      <c r="J204" s="47">
        <f t="shared" si="14"/>
        <v>94.939350000000005</v>
      </c>
      <c r="K204" s="54"/>
      <c r="L204" s="47">
        <f t="shared" si="15"/>
        <v>94.939350000000005</v>
      </c>
      <c r="M204" s="133"/>
      <c r="N204" s="60">
        <f>L204*'Spectral Functions'!H202*'Spectral Functions'!D202</f>
        <v>0.10340263291033501</v>
      </c>
      <c r="O204" s="61">
        <f>'Spectral Functions'!H202*'Spectral Functions'!D202</f>
        <v>1.0891441E-3</v>
      </c>
      <c r="P204" s="61">
        <f>L204*'Spectral Functions'!H202*'Spectral Functions'!F202</f>
        <v>0</v>
      </c>
      <c r="Q204" s="62">
        <f>'Spectral Functions'!H202*'Spectral Functions'!F202</f>
        <v>0</v>
      </c>
      <c r="R204" s="31"/>
      <c r="S204" s="60">
        <f>L204*'Spectral Functions'!I202*'Spectral Functions'!D202</f>
        <v>0</v>
      </c>
      <c r="T204" s="61">
        <f>'Spectral Functions'!I202*'Spectral Functions'!D202</f>
        <v>0</v>
      </c>
      <c r="U204" s="61">
        <f>L204*'Spectral Functions'!I202*'Spectral Functions'!F202</f>
        <v>0</v>
      </c>
      <c r="V204" s="62">
        <f>'Spectral Functions'!I202*'Spectral Functions'!F202</f>
        <v>0</v>
      </c>
      <c r="W204" s="31"/>
      <c r="X204" s="60">
        <f>L204*'Spectral Functions'!J202*'Spectral Functions'!D202</f>
        <v>0.38857916440199997</v>
      </c>
      <c r="Y204" s="61">
        <f>'Spectral Functions'!J202*'Spectral Functions'!D202</f>
        <v>4.0929199999999999E-3</v>
      </c>
      <c r="Z204" s="61">
        <f>L204*'Spectral Functions'!J202*'Spectral Functions'!F202</f>
        <v>0</v>
      </c>
      <c r="AA204" s="62">
        <f>'Spectral Functions'!J202*'Spectral Functions'!F202</f>
        <v>0</v>
      </c>
      <c r="AB204" s="31"/>
      <c r="AC204" s="60">
        <f>L204*'Spectral Functions'!K202*'Spectral Functions'!D202</f>
        <v>0</v>
      </c>
      <c r="AD204" s="61">
        <f>'Spectral Functions'!K202*'Spectral Functions'!D202</f>
        <v>0</v>
      </c>
      <c r="AE204" s="61">
        <f>L204*'Spectral Functions'!K202*'Spectral Functions'!F202</f>
        <v>0</v>
      </c>
      <c r="AF204" s="62">
        <f>'Spectral Functions'!K202*'Spectral Functions'!F202</f>
        <v>0</v>
      </c>
      <c r="AG204" s="31"/>
    </row>
    <row r="205" spans="1:33" ht="13.5" thickBot="1">
      <c r="A205" s="43">
        <v>780</v>
      </c>
      <c r="B205" s="30"/>
      <c r="C205" s="157">
        <v>94.508484999999993</v>
      </c>
      <c r="D205" s="48">
        <f t="shared" si="12"/>
        <v>94.508484999999993</v>
      </c>
      <c r="E205" s="30"/>
      <c r="F205" s="157">
        <v>94.508484999999993</v>
      </c>
      <c r="G205" s="48">
        <f t="shared" si="13"/>
        <v>94.508484999999993</v>
      </c>
      <c r="H205" s="30"/>
      <c r="I205" s="157">
        <v>94.508484999999993</v>
      </c>
      <c r="J205" s="48">
        <f t="shared" si="14"/>
        <v>94.508484999999993</v>
      </c>
      <c r="K205" s="55"/>
      <c r="L205" s="48">
        <f t="shared" si="15"/>
        <v>94.508484999999993</v>
      </c>
      <c r="M205" s="134"/>
      <c r="N205" s="66">
        <f>L205*'Spectral Functions'!H203*'Spectral Functions'!D203</f>
        <v>8.9853186045870004E-2</v>
      </c>
      <c r="O205" s="67">
        <f>'Spectral Functions'!H203*'Spectral Functions'!D203</f>
        <v>9.5074200000000008E-4</v>
      </c>
      <c r="P205" s="67">
        <f>L205*'Spectral Functions'!H203*'Spectral Functions'!F203</f>
        <v>0</v>
      </c>
      <c r="Q205" s="68">
        <f>'Spectral Functions'!H203*'Spectral Functions'!F203</f>
        <v>0</v>
      </c>
      <c r="R205" s="30"/>
      <c r="S205" s="60">
        <f>L205*'Spectral Functions'!I203*'Spectral Functions'!D203</f>
        <v>0</v>
      </c>
      <c r="T205" s="61">
        <f>'Spectral Functions'!I203*'Spectral Functions'!D203</f>
        <v>0</v>
      </c>
      <c r="U205" s="61">
        <f>L205*'Spectral Functions'!I203*'Spectral Functions'!F203</f>
        <v>0</v>
      </c>
      <c r="V205" s="62">
        <f>'Spectral Functions'!I203*'Spectral Functions'!F203</f>
        <v>0</v>
      </c>
      <c r="W205" s="30"/>
      <c r="X205" s="60">
        <f>L205*'Spectral Functions'!J203*'Spectral Functions'!D203</f>
        <v>0.34260507168562504</v>
      </c>
      <c r="Y205" s="61">
        <f>'Spectral Functions'!J203*'Spectral Functions'!D203</f>
        <v>3.6251250000000003E-3</v>
      </c>
      <c r="Z205" s="61">
        <f>L205*'Spectral Functions'!J203*'Spectral Functions'!F203</f>
        <v>0</v>
      </c>
      <c r="AA205" s="62">
        <f>'Spectral Functions'!J203*'Spectral Functions'!F203</f>
        <v>0</v>
      </c>
      <c r="AB205" s="30"/>
      <c r="AC205" s="60">
        <f>L205*'Spectral Functions'!K203*'Spectral Functions'!D203</f>
        <v>0</v>
      </c>
      <c r="AD205" s="61">
        <f>'Spectral Functions'!K203*'Spectral Functions'!D203</f>
        <v>0</v>
      </c>
      <c r="AE205" s="61">
        <f>L205*'Spectral Functions'!K203*'Spectral Functions'!F203</f>
        <v>0</v>
      </c>
      <c r="AF205" s="62">
        <f>'Spectral Functions'!K203*'Spectral Functions'!F203</f>
        <v>0</v>
      </c>
      <c r="AG205" s="30"/>
    </row>
    <row r="206" spans="1:33" ht="13.5" thickBot="1">
      <c r="N206" s="63">
        <f>SUM(N5:N205)</f>
        <v>291108.66538427986</v>
      </c>
      <c r="O206" s="64">
        <f>SUM(O5:O205)</f>
        <v>5283.5054051415973</v>
      </c>
      <c r="P206" s="64">
        <f>SUM(P5:P205)</f>
        <v>160000.39525370425</v>
      </c>
      <c r="Q206" s="65">
        <f>SUM(Q5:Q205)</f>
        <v>5230.9954043898988</v>
      </c>
      <c r="S206" s="63">
        <f>SUM(S5:S205)</f>
        <v>255502.91985245622</v>
      </c>
      <c r="T206" s="64">
        <f>SUM(T5:T205)</f>
        <v>5059.0083220000006</v>
      </c>
      <c r="U206" s="64">
        <f>SUM(U5:U205)</f>
        <v>122775.76069588267</v>
      </c>
      <c r="V206" s="65">
        <f>SUM(V5:V205)</f>
        <v>3298.0281249999994</v>
      </c>
      <c r="X206" s="63">
        <f>SUM(X5:X205)</f>
        <v>344714.87523566291</v>
      </c>
      <c r="Y206" s="64">
        <f>SUM(Y5:Y205)</f>
        <v>5395.2072355962</v>
      </c>
      <c r="Z206" s="64">
        <f>SUM(Z5:Z205)</f>
        <v>106410.84074643721</v>
      </c>
      <c r="AA206" s="65">
        <f>SUM(AA5:AA205)</f>
        <v>3061.0617721166027</v>
      </c>
      <c r="AC206" s="63">
        <f>SUM(AC5:AC205)</f>
        <v>295763.92655668745</v>
      </c>
      <c r="AD206" s="64">
        <f>SUM(AD5:AD205)</f>
        <v>5323.3871092699956</v>
      </c>
      <c r="AE206" s="64">
        <f>SUM(AE5:AE205)</f>
        <v>163018.19792866873</v>
      </c>
      <c r="AF206" s="65">
        <f>SUM(AF5:AF205)</f>
        <v>5354.05633493</v>
      </c>
    </row>
  </sheetData>
  <sheetProtection selectLockedCells="1"/>
  <mergeCells count="8">
    <mergeCell ref="X1:AA1"/>
    <mergeCell ref="AC1:AF1"/>
    <mergeCell ref="L1:L4"/>
    <mergeCell ref="D1:D2"/>
    <mergeCell ref="G1:G2"/>
    <mergeCell ref="J1:J2"/>
    <mergeCell ref="N1:Q1"/>
    <mergeCell ref="S1:V1"/>
  </mergeCells>
  <phoneticPr fontId="6" type="noConversion"/>
  <pageMargins left="0.75" right="0.75" top="1" bottom="1" header="0.5" footer="0.5"/>
  <pageSetup orientation="portrait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Q203"/>
  <sheetViews>
    <sheetView topLeftCell="F1" zoomScaleNormal="100" workbookViewId="0">
      <pane ySplit="2" topLeftCell="A3" activePane="bottomLeft" state="frozen"/>
      <selection activeCell="D214" sqref="D214"/>
      <selection pane="bottomLeft" activeCell="D214" sqref="D214"/>
    </sheetView>
  </sheetViews>
  <sheetFormatPr defaultRowHeight="12.75"/>
  <cols>
    <col min="1" max="1" width="12.28515625" customWidth="1"/>
    <col min="2" max="2" width="2.7109375" customWidth="1"/>
    <col min="3" max="5" width="10.7109375" customWidth="1"/>
    <col min="6" max="6" width="20.7109375" customWidth="1"/>
    <col min="7" max="7" width="3.28515625" customWidth="1"/>
    <col min="8" max="11" width="20.7109375" customWidth="1"/>
    <col min="12" max="14" width="10.7109375" customWidth="1"/>
    <col min="15" max="16" width="12.28515625" customWidth="1"/>
  </cols>
  <sheetData>
    <row r="1" spans="1:17" ht="12.75" customHeight="1" thickBot="1">
      <c r="A1" s="1" t="s">
        <v>4</v>
      </c>
      <c r="B1" s="29"/>
      <c r="C1" s="342" t="s">
        <v>0</v>
      </c>
      <c r="D1" s="343"/>
      <c r="E1" s="344"/>
      <c r="F1" s="340" t="s">
        <v>6</v>
      </c>
      <c r="G1" s="32"/>
      <c r="H1" s="340" t="s">
        <v>7</v>
      </c>
      <c r="I1" s="340" t="s">
        <v>8</v>
      </c>
      <c r="J1" s="340" t="s">
        <v>10</v>
      </c>
      <c r="K1" s="340" t="s">
        <v>9</v>
      </c>
      <c r="L1" s="337" t="s">
        <v>50</v>
      </c>
      <c r="M1" s="338"/>
      <c r="N1" s="339"/>
      <c r="O1" s="1" t="s">
        <v>4</v>
      </c>
      <c r="P1" s="1" t="s">
        <v>4</v>
      </c>
      <c r="Q1" s="335" t="s">
        <v>171</v>
      </c>
    </row>
    <row r="2" spans="1:17" ht="26.25" thickBot="1">
      <c r="A2" s="2" t="s">
        <v>5</v>
      </c>
      <c r="B2" s="30"/>
      <c r="C2" s="3" t="s">
        <v>1</v>
      </c>
      <c r="D2" s="4" t="s">
        <v>2</v>
      </c>
      <c r="E2" s="4" t="s">
        <v>3</v>
      </c>
      <c r="F2" s="341"/>
      <c r="G2" s="33"/>
      <c r="H2" s="341"/>
      <c r="I2" s="341"/>
      <c r="J2" s="341"/>
      <c r="K2" s="341"/>
      <c r="L2" s="96" t="s">
        <v>51</v>
      </c>
      <c r="M2" s="96" t="s">
        <v>52</v>
      </c>
      <c r="N2" s="96" t="s">
        <v>53</v>
      </c>
      <c r="O2" s="2" t="s">
        <v>5</v>
      </c>
      <c r="P2" s="2" t="s">
        <v>5</v>
      </c>
      <c r="Q2" s="336"/>
    </row>
    <row r="3" spans="1:17">
      <c r="A3" s="13">
        <v>380</v>
      </c>
      <c r="B3" s="31"/>
      <c r="C3" s="15">
        <v>1.3680000000000001E-3</v>
      </c>
      <c r="D3" s="16">
        <v>3.8999999999999999E-5</v>
      </c>
      <c r="E3" s="17">
        <v>6.45E-3</v>
      </c>
      <c r="F3" s="5">
        <v>5.9000000000000003E-4</v>
      </c>
      <c r="G3" s="34"/>
      <c r="H3" s="9">
        <v>49.975499999999997</v>
      </c>
      <c r="I3" s="12">
        <v>83</v>
      </c>
      <c r="J3" s="37">
        <v>9.7950999999999997</v>
      </c>
      <c r="K3" s="25">
        <v>33</v>
      </c>
      <c r="L3" s="46">
        <v>0</v>
      </c>
      <c r="M3" s="46">
        <v>0</v>
      </c>
      <c r="N3" s="41">
        <v>7.1400000000000005E-2</v>
      </c>
      <c r="O3" s="13">
        <v>380</v>
      </c>
      <c r="P3" s="231">
        <v>315</v>
      </c>
      <c r="Q3" s="232">
        <v>3.0000000000000001E-3</v>
      </c>
    </row>
    <row r="4" spans="1:17">
      <c r="A4" s="13">
        <v>382</v>
      </c>
      <c r="B4" s="31"/>
      <c r="C4" s="18">
        <v>1.642E-3</v>
      </c>
      <c r="D4" s="19">
        <v>4.6999999999999997E-5</v>
      </c>
      <c r="E4" s="20">
        <v>7.7450000000000001E-3</v>
      </c>
      <c r="F4" s="6">
        <v>7.9000000000000001E-4</v>
      </c>
      <c r="G4" s="34"/>
      <c r="H4" s="10">
        <v>50.91</v>
      </c>
      <c r="I4" s="13">
        <v>125</v>
      </c>
      <c r="J4" s="38">
        <v>10.2273</v>
      </c>
      <c r="K4" s="26">
        <v>35.770000000000003</v>
      </c>
      <c r="L4" s="47">
        <v>0</v>
      </c>
      <c r="M4" s="47">
        <v>0</v>
      </c>
      <c r="N4" s="85">
        <f>N3+($N$8-$N$3)/5</f>
        <v>8.7740000000000012E-2</v>
      </c>
      <c r="O4" s="13">
        <v>382</v>
      </c>
      <c r="P4" s="231">
        <v>310</v>
      </c>
      <c r="Q4" s="232">
        <v>1.4999999999999999E-2</v>
      </c>
    </row>
    <row r="5" spans="1:17">
      <c r="A5" s="13">
        <v>384</v>
      </c>
      <c r="B5" s="31"/>
      <c r="C5" s="18">
        <v>1.9959999999999999E-3</v>
      </c>
      <c r="D5" s="19">
        <v>5.7000000000000003E-5</v>
      </c>
      <c r="E5" s="20">
        <v>9.4149999999999998E-3</v>
      </c>
      <c r="F5" s="6">
        <v>1.0059999999999999E-3</v>
      </c>
      <c r="G5" s="34"/>
      <c r="H5" s="10">
        <v>51.8446</v>
      </c>
      <c r="I5" s="13">
        <v>139</v>
      </c>
      <c r="J5" s="38">
        <v>10.6722</v>
      </c>
      <c r="K5" s="26">
        <v>38.54</v>
      </c>
      <c r="L5" s="47">
        <v>0</v>
      </c>
      <c r="M5" s="47">
        <v>0</v>
      </c>
      <c r="N5" s="85">
        <f>N4+($N$8-$N$3)/5</f>
        <v>0.10408000000000001</v>
      </c>
      <c r="O5" s="13">
        <v>384</v>
      </c>
      <c r="P5" s="231">
        <v>305</v>
      </c>
      <c r="Q5" s="232">
        <v>0.06</v>
      </c>
    </row>
    <row r="6" spans="1:17">
      <c r="A6" s="13">
        <v>386</v>
      </c>
      <c r="B6" s="31"/>
      <c r="C6" s="18">
        <v>2.5349999999999999E-3</v>
      </c>
      <c r="D6" s="19">
        <v>7.2000000000000002E-5</v>
      </c>
      <c r="E6" s="20">
        <v>1.1965999999999999E-2</v>
      </c>
      <c r="F6" s="6">
        <v>1.33E-3</v>
      </c>
      <c r="G6" s="34"/>
      <c r="H6" s="10">
        <v>52.7791</v>
      </c>
      <c r="I6" s="13">
        <v>109</v>
      </c>
      <c r="J6" s="38">
        <v>11.1302</v>
      </c>
      <c r="K6" s="26">
        <v>41.42</v>
      </c>
      <c r="L6" s="47">
        <v>0</v>
      </c>
      <c r="M6" s="47">
        <v>0</v>
      </c>
      <c r="N6" s="85">
        <f>N5+($N$8-$N$3)/5</f>
        <v>0.12042</v>
      </c>
      <c r="O6" s="13">
        <v>386</v>
      </c>
      <c r="P6" s="231">
        <v>300</v>
      </c>
      <c r="Q6" s="232">
        <v>0.3</v>
      </c>
    </row>
    <row r="7" spans="1:17">
      <c r="A7" s="13">
        <v>388</v>
      </c>
      <c r="B7" s="31"/>
      <c r="C7" s="18">
        <v>3.3010000000000001E-3</v>
      </c>
      <c r="D7" s="19">
        <v>9.3999999999999994E-5</v>
      </c>
      <c r="E7" s="20">
        <v>1.5587999999999999E-2</v>
      </c>
      <c r="F7" s="6">
        <v>1.7700000000000001E-3</v>
      </c>
      <c r="G7" s="34"/>
      <c r="H7" s="10">
        <v>53.713700000000003</v>
      </c>
      <c r="I7" s="13">
        <v>51</v>
      </c>
      <c r="J7" s="38">
        <v>11.6012</v>
      </c>
      <c r="K7" s="26">
        <v>41</v>
      </c>
      <c r="L7" s="47">
        <v>0</v>
      </c>
      <c r="M7" s="47">
        <v>0</v>
      </c>
      <c r="N7" s="85">
        <f>N6+($N$8-$N$3)/5</f>
        <v>0.13675999999999999</v>
      </c>
      <c r="O7" s="13">
        <v>388</v>
      </c>
      <c r="P7" s="231">
        <v>295</v>
      </c>
      <c r="Q7" s="232">
        <v>0.54</v>
      </c>
    </row>
    <row r="8" spans="1:17">
      <c r="A8" s="13">
        <v>390</v>
      </c>
      <c r="B8" s="31"/>
      <c r="C8" s="18">
        <v>4.2430000000000002E-3</v>
      </c>
      <c r="D8" s="19">
        <v>1.2E-4</v>
      </c>
      <c r="E8" s="20">
        <v>2.0049999999999998E-2</v>
      </c>
      <c r="F8" s="6">
        <v>2.2100000000000002E-3</v>
      </c>
      <c r="G8" s="34"/>
      <c r="H8" s="10">
        <v>54.648200000000003</v>
      </c>
      <c r="I8" s="13">
        <v>21</v>
      </c>
      <c r="J8" s="38">
        <v>12.0853</v>
      </c>
      <c r="K8" s="26">
        <v>47.4</v>
      </c>
      <c r="L8" s="47">
        <v>0</v>
      </c>
      <c r="M8" s="47">
        <v>0</v>
      </c>
      <c r="N8" s="85">
        <v>0.15310000000000001</v>
      </c>
      <c r="O8" s="13">
        <v>390</v>
      </c>
      <c r="P8" s="231">
        <v>290</v>
      </c>
      <c r="Q8" s="232">
        <v>0.64</v>
      </c>
    </row>
    <row r="9" spans="1:17">
      <c r="A9" s="13">
        <v>392</v>
      </c>
      <c r="B9" s="31"/>
      <c r="C9" s="18">
        <v>5.3299999999999997E-3</v>
      </c>
      <c r="D9" s="19">
        <v>1.5100000000000001E-4</v>
      </c>
      <c r="E9" s="20">
        <v>2.5503000000000001E-2</v>
      </c>
      <c r="F9" s="6">
        <v>3.1380000000000002E-3</v>
      </c>
      <c r="G9" s="34"/>
      <c r="H9" s="10">
        <v>60.269500000000001</v>
      </c>
      <c r="I9" s="13">
        <v>13</v>
      </c>
      <c r="J9" s="38">
        <v>12.582800000000001</v>
      </c>
      <c r="K9" s="26">
        <v>50.51</v>
      </c>
      <c r="L9" s="47">
        <v>0</v>
      </c>
      <c r="M9" s="47">
        <v>0</v>
      </c>
      <c r="N9" s="85">
        <f>N8+($N$13-$N$8)/5</f>
        <v>0.17042000000000002</v>
      </c>
      <c r="O9" s="13">
        <v>392</v>
      </c>
      <c r="P9" s="231">
        <v>285</v>
      </c>
      <c r="Q9" s="232">
        <v>0.77</v>
      </c>
    </row>
    <row r="10" spans="1:17">
      <c r="A10" s="13">
        <v>394</v>
      </c>
      <c r="B10" s="31"/>
      <c r="C10" s="18">
        <v>6.7409999999999996E-3</v>
      </c>
      <c r="D10" s="19">
        <v>1.92E-4</v>
      </c>
      <c r="E10" s="20">
        <v>3.1897000000000002E-2</v>
      </c>
      <c r="F10" s="6">
        <v>4.0660000000000002E-3</v>
      </c>
      <c r="G10" s="34"/>
      <c r="H10" s="10">
        <v>65.890900000000002</v>
      </c>
      <c r="I10" s="13">
        <v>4</v>
      </c>
      <c r="J10" s="38">
        <v>13.0938</v>
      </c>
      <c r="K10" s="26">
        <v>53.62</v>
      </c>
      <c r="L10" s="47">
        <v>0</v>
      </c>
      <c r="M10" s="47">
        <v>0</v>
      </c>
      <c r="N10" s="85">
        <f>N9+($N$13-$N$8)/5</f>
        <v>0.18774000000000002</v>
      </c>
      <c r="O10" s="13">
        <v>394</v>
      </c>
      <c r="P10" s="231">
        <v>280</v>
      </c>
      <c r="Q10" s="232">
        <v>0.88</v>
      </c>
    </row>
    <row r="11" spans="1:17">
      <c r="A11" s="13">
        <v>396</v>
      </c>
      <c r="B11" s="31"/>
      <c r="C11" s="18">
        <v>8.7510000000000001E-3</v>
      </c>
      <c r="D11" s="19">
        <v>2.4699999999999999E-4</v>
      </c>
      <c r="E11" s="20">
        <v>4.1438000000000003E-2</v>
      </c>
      <c r="F11" s="6">
        <v>5.4819999999999999E-3</v>
      </c>
      <c r="G11" s="34"/>
      <c r="H11" s="10">
        <v>71.512200000000007</v>
      </c>
      <c r="I11" s="13">
        <v>0</v>
      </c>
      <c r="J11" s="38">
        <v>13.6182</v>
      </c>
      <c r="K11" s="26">
        <v>56.8</v>
      </c>
      <c r="L11" s="47">
        <v>0</v>
      </c>
      <c r="M11" s="47">
        <v>0</v>
      </c>
      <c r="N11" s="85">
        <f>N10+($N$13-$N$8)/5</f>
        <v>0.20506000000000002</v>
      </c>
      <c r="O11" s="13">
        <v>396</v>
      </c>
      <c r="P11" s="231">
        <v>275</v>
      </c>
      <c r="Q11" s="232">
        <v>0.96</v>
      </c>
    </row>
    <row r="12" spans="1:17">
      <c r="A12" s="13">
        <v>398</v>
      </c>
      <c r="B12" s="31"/>
      <c r="C12" s="18">
        <v>1.1421000000000001E-2</v>
      </c>
      <c r="D12" s="19">
        <v>3.19E-4</v>
      </c>
      <c r="E12" s="20">
        <v>5.4120000000000001E-2</v>
      </c>
      <c r="F12" s="6">
        <v>7.3860000000000002E-3</v>
      </c>
      <c r="G12" s="34"/>
      <c r="H12" s="10">
        <v>77.133600000000001</v>
      </c>
      <c r="I12" s="13">
        <v>0</v>
      </c>
      <c r="J12" s="38">
        <v>14.1563</v>
      </c>
      <c r="K12" s="26">
        <v>60.05</v>
      </c>
      <c r="L12" s="47">
        <v>0</v>
      </c>
      <c r="M12" s="47">
        <v>0</v>
      </c>
      <c r="N12" s="85">
        <f>N11+($N$13-$N$8)/5</f>
        <v>0.22238000000000002</v>
      </c>
      <c r="O12" s="13">
        <v>398</v>
      </c>
      <c r="P12" s="231">
        <v>270</v>
      </c>
      <c r="Q12" s="232">
        <v>1</v>
      </c>
    </row>
    <row r="13" spans="1:17">
      <c r="A13" s="13">
        <v>400</v>
      </c>
      <c r="B13" s="31"/>
      <c r="C13" s="18">
        <v>1.431E-2</v>
      </c>
      <c r="D13" s="19">
        <v>3.9599999999999998E-4</v>
      </c>
      <c r="E13" s="20">
        <v>6.7849999999999994E-2</v>
      </c>
      <c r="F13" s="6">
        <v>9.2899999999999996E-3</v>
      </c>
      <c r="G13" s="34"/>
      <c r="H13" s="10">
        <v>82.754900000000006</v>
      </c>
      <c r="I13" s="13">
        <v>0</v>
      </c>
      <c r="J13" s="38">
        <v>14.708</v>
      </c>
      <c r="K13" s="26">
        <v>63.3</v>
      </c>
      <c r="L13" s="47">
        <v>0</v>
      </c>
      <c r="M13" s="47">
        <v>0</v>
      </c>
      <c r="N13" s="85">
        <v>0.2397</v>
      </c>
      <c r="O13" s="13">
        <v>400</v>
      </c>
      <c r="P13" s="231">
        <v>265</v>
      </c>
      <c r="Q13" s="232">
        <v>0.81</v>
      </c>
    </row>
    <row r="14" spans="1:17">
      <c r="A14" s="13">
        <v>402</v>
      </c>
      <c r="B14" s="31"/>
      <c r="C14" s="18">
        <v>1.7146999999999999E-2</v>
      </c>
      <c r="D14" s="19">
        <v>4.73E-4</v>
      </c>
      <c r="E14" s="20">
        <v>8.1362000000000004E-2</v>
      </c>
      <c r="F14" s="6">
        <v>1.2973999999999999E-2</v>
      </c>
      <c r="G14" s="34"/>
      <c r="H14" s="10">
        <v>84.501099999999994</v>
      </c>
      <c r="I14" s="13">
        <v>0</v>
      </c>
      <c r="J14" s="38">
        <v>15.2736</v>
      </c>
      <c r="K14" s="26">
        <v>66.7</v>
      </c>
      <c r="L14" s="47">
        <v>0</v>
      </c>
      <c r="M14" s="47">
        <v>0</v>
      </c>
      <c r="N14" s="85">
        <f>N13+($N$18-$N$13)/5</f>
        <v>0.25291999999999998</v>
      </c>
      <c r="O14" s="13">
        <v>402</v>
      </c>
      <c r="P14" s="231">
        <v>260</v>
      </c>
      <c r="Q14" s="232">
        <v>0.65</v>
      </c>
    </row>
    <row r="15" spans="1:17">
      <c r="A15" s="13">
        <v>404</v>
      </c>
      <c r="B15" s="31"/>
      <c r="C15" s="18">
        <v>2.0747999999999999E-2</v>
      </c>
      <c r="D15" s="19">
        <v>5.7200000000000003E-4</v>
      </c>
      <c r="E15" s="20">
        <v>9.8540000000000003E-2</v>
      </c>
      <c r="F15" s="6">
        <v>1.6657999999999999E-2</v>
      </c>
      <c r="G15" s="34"/>
      <c r="H15" s="10">
        <v>86.247299999999996</v>
      </c>
      <c r="I15" s="13">
        <v>0</v>
      </c>
      <c r="J15" s="38">
        <v>15.853</v>
      </c>
      <c r="K15" s="26">
        <v>70.11</v>
      </c>
      <c r="L15" s="47">
        <v>0</v>
      </c>
      <c r="M15" s="47">
        <v>0</v>
      </c>
      <c r="N15" s="85">
        <f>N14+($N$18-$N$13)/5</f>
        <v>0.26613999999999999</v>
      </c>
      <c r="O15" s="13">
        <v>404</v>
      </c>
      <c r="P15" s="231">
        <v>255</v>
      </c>
      <c r="Q15" s="232">
        <v>0.52</v>
      </c>
    </row>
    <row r="16" spans="1:17">
      <c r="A16" s="13">
        <v>406</v>
      </c>
      <c r="B16" s="31"/>
      <c r="C16" s="18">
        <v>2.6207000000000001E-2</v>
      </c>
      <c r="D16" s="19">
        <v>7.2499999999999995E-4</v>
      </c>
      <c r="E16" s="20">
        <v>0.124613</v>
      </c>
      <c r="F16" s="6">
        <v>2.1767999999999999E-2</v>
      </c>
      <c r="G16" s="34"/>
      <c r="H16" s="10">
        <v>87.993600000000001</v>
      </c>
      <c r="I16" s="13">
        <v>2</v>
      </c>
      <c r="J16" s="38">
        <v>16.446400000000001</v>
      </c>
      <c r="K16" s="26">
        <v>73.569999999999993</v>
      </c>
      <c r="L16" s="47">
        <v>0</v>
      </c>
      <c r="M16" s="47">
        <v>0</v>
      </c>
      <c r="N16" s="85">
        <f>N15+($N$18-$N$13)/5</f>
        <v>0.27936</v>
      </c>
      <c r="O16" s="13">
        <v>406</v>
      </c>
      <c r="P16" s="231">
        <v>250</v>
      </c>
      <c r="Q16" s="232">
        <v>0.43</v>
      </c>
    </row>
    <row r="17" spans="1:17">
      <c r="A17" s="13">
        <v>408</v>
      </c>
      <c r="B17" s="31"/>
      <c r="C17" s="18">
        <v>3.388E-2</v>
      </c>
      <c r="D17" s="19">
        <v>9.41E-4</v>
      </c>
      <c r="E17" s="20">
        <v>0.161304</v>
      </c>
      <c r="F17" s="6">
        <v>2.8303999999999999E-2</v>
      </c>
      <c r="G17" s="34"/>
      <c r="H17" s="10">
        <v>89.739800000000002</v>
      </c>
      <c r="I17" s="13">
        <v>5</v>
      </c>
      <c r="J17" s="38">
        <v>17.053799999999999</v>
      </c>
      <c r="K17" s="26">
        <v>77.08</v>
      </c>
      <c r="L17" s="47">
        <v>0</v>
      </c>
      <c r="M17" s="47">
        <v>0</v>
      </c>
      <c r="N17" s="85">
        <f>N16+($N$18-$N$13)/5</f>
        <v>0.29258000000000001</v>
      </c>
      <c r="O17" s="13">
        <v>408</v>
      </c>
      <c r="P17" s="231">
        <v>245</v>
      </c>
      <c r="Q17" s="232">
        <v>0.36</v>
      </c>
    </row>
    <row r="18" spans="1:17">
      <c r="A18" s="13">
        <v>410</v>
      </c>
      <c r="B18" s="31"/>
      <c r="C18" s="18">
        <v>4.351E-2</v>
      </c>
      <c r="D18" s="19">
        <v>1.2099999999999999E-3</v>
      </c>
      <c r="E18" s="20">
        <v>0.2074</v>
      </c>
      <c r="F18" s="6">
        <v>3.4840000000000003E-2</v>
      </c>
      <c r="G18" s="34"/>
      <c r="H18" s="10">
        <v>91.486000000000004</v>
      </c>
      <c r="I18" s="13">
        <v>8</v>
      </c>
      <c r="J18" s="38">
        <v>17.6753</v>
      </c>
      <c r="K18" s="26">
        <v>80.599999999999994</v>
      </c>
      <c r="L18" s="47">
        <v>0</v>
      </c>
      <c r="M18" s="47">
        <v>0</v>
      </c>
      <c r="N18" s="85">
        <v>0.30580000000000002</v>
      </c>
      <c r="O18" s="13">
        <v>410</v>
      </c>
      <c r="P18" s="231">
        <v>240</v>
      </c>
      <c r="Q18" s="232">
        <v>0.3</v>
      </c>
    </row>
    <row r="19" spans="1:17">
      <c r="A19" s="13">
        <v>412</v>
      </c>
      <c r="B19" s="31"/>
      <c r="C19" s="18">
        <v>5.5022000000000001E-2</v>
      </c>
      <c r="D19" s="19">
        <v>1.531E-3</v>
      </c>
      <c r="E19" s="20">
        <v>0.26261099999999998</v>
      </c>
      <c r="F19" s="6">
        <v>4.5064E-2</v>
      </c>
      <c r="G19" s="34"/>
      <c r="H19" s="10">
        <v>91.875200000000007</v>
      </c>
      <c r="I19" s="13">
        <v>31</v>
      </c>
      <c r="J19" s="38">
        <v>18.3108</v>
      </c>
      <c r="K19" s="26">
        <v>84.17</v>
      </c>
      <c r="L19" s="47">
        <v>0</v>
      </c>
      <c r="M19" s="47">
        <v>0</v>
      </c>
      <c r="N19" s="85">
        <f>N18+($N$23-$N$18)/5</f>
        <v>0.31806000000000001</v>
      </c>
      <c r="O19" s="13">
        <v>412</v>
      </c>
      <c r="P19" s="231">
        <v>235</v>
      </c>
      <c r="Q19" s="232">
        <v>0.24</v>
      </c>
    </row>
    <row r="20" spans="1:17">
      <c r="A20" s="13">
        <v>414</v>
      </c>
      <c r="B20" s="31"/>
      <c r="C20" s="18">
        <v>6.9211999999999996E-2</v>
      </c>
      <c r="D20" s="19">
        <v>1.9350000000000001E-3</v>
      </c>
      <c r="E20" s="20">
        <v>0.33079900000000001</v>
      </c>
      <c r="F20" s="6">
        <v>5.5287999999999997E-2</v>
      </c>
      <c r="G20" s="34"/>
      <c r="H20" s="10">
        <v>92.264300000000006</v>
      </c>
      <c r="I20" s="13">
        <v>68</v>
      </c>
      <c r="J20" s="38">
        <v>18.9605</v>
      </c>
      <c r="K20" s="26">
        <v>87.74</v>
      </c>
      <c r="L20" s="47">
        <v>0</v>
      </c>
      <c r="M20" s="47">
        <v>0</v>
      </c>
      <c r="N20" s="85">
        <f>N19+($N$23-$N$18)/5</f>
        <v>0.33032</v>
      </c>
      <c r="O20" s="13">
        <v>414</v>
      </c>
      <c r="P20" s="231">
        <v>230</v>
      </c>
      <c r="Q20" s="232">
        <v>0.19</v>
      </c>
    </row>
    <row r="21" spans="1:17">
      <c r="A21" s="13">
        <v>416</v>
      </c>
      <c r="B21" s="31"/>
      <c r="C21" s="18">
        <v>8.6957999999999994E-2</v>
      </c>
      <c r="D21" s="19">
        <v>2.4550000000000002E-3</v>
      </c>
      <c r="E21" s="20">
        <v>0.416209</v>
      </c>
      <c r="F21" s="6">
        <v>6.7640000000000006E-2</v>
      </c>
      <c r="G21" s="34"/>
      <c r="H21" s="10">
        <v>92.653499999999994</v>
      </c>
      <c r="I21" s="13">
        <v>118</v>
      </c>
      <c r="J21" s="38">
        <v>19.624400000000001</v>
      </c>
      <c r="K21" s="26">
        <v>91.24</v>
      </c>
      <c r="L21" s="47">
        <v>0</v>
      </c>
      <c r="M21" s="47">
        <v>0</v>
      </c>
      <c r="N21" s="85">
        <f>N20+($N$23-$N$18)/5</f>
        <v>0.34258</v>
      </c>
      <c r="O21" s="13">
        <v>416</v>
      </c>
      <c r="P21" s="231">
        <v>225</v>
      </c>
      <c r="Q21" s="232">
        <v>0.15</v>
      </c>
    </row>
    <row r="22" spans="1:17">
      <c r="A22" s="13">
        <v>418</v>
      </c>
      <c r="B22" s="31"/>
      <c r="C22" s="18">
        <v>0.108406</v>
      </c>
      <c r="D22" s="19">
        <v>3.1180000000000001E-3</v>
      </c>
      <c r="E22" s="20">
        <v>0.51969500000000002</v>
      </c>
      <c r="F22" s="6">
        <v>8.2119999999999999E-2</v>
      </c>
      <c r="G22" s="34"/>
      <c r="H22" s="10">
        <v>93.042599999999993</v>
      </c>
      <c r="I22" s="13">
        <v>143</v>
      </c>
      <c r="J22" s="38">
        <v>20.302600000000002</v>
      </c>
      <c r="K22" s="26">
        <v>94.67</v>
      </c>
      <c r="L22" s="47">
        <v>0</v>
      </c>
      <c r="M22" s="47">
        <v>0</v>
      </c>
      <c r="N22" s="85">
        <f>N21+($N$23-$N$18)/5</f>
        <v>0.35483999999999999</v>
      </c>
      <c r="O22" s="13">
        <v>418</v>
      </c>
      <c r="P22" s="231">
        <v>220</v>
      </c>
      <c r="Q22" s="232">
        <v>0.12</v>
      </c>
    </row>
    <row r="23" spans="1:17">
      <c r="A23" s="13">
        <v>420</v>
      </c>
      <c r="B23" s="31"/>
      <c r="C23" s="18">
        <v>0.13438</v>
      </c>
      <c r="D23" s="19">
        <v>4.0000000000000001E-3</v>
      </c>
      <c r="E23" s="20">
        <v>0.64559999999999995</v>
      </c>
      <c r="F23" s="6">
        <v>9.6600000000000005E-2</v>
      </c>
      <c r="G23" s="34"/>
      <c r="H23" s="10">
        <v>93.431799999999996</v>
      </c>
      <c r="I23" s="13">
        <v>102</v>
      </c>
      <c r="J23" s="38">
        <v>20.995000000000001</v>
      </c>
      <c r="K23" s="26">
        <v>98.1</v>
      </c>
      <c r="L23" s="47">
        <v>0</v>
      </c>
      <c r="M23" s="47">
        <v>0</v>
      </c>
      <c r="N23" s="85">
        <v>0.36709999999999998</v>
      </c>
      <c r="O23" s="13">
        <v>420</v>
      </c>
      <c r="P23" s="231">
        <v>215</v>
      </c>
      <c r="Q23" s="232">
        <v>9.5000000000000001E-2</v>
      </c>
    </row>
    <row r="24" spans="1:17">
      <c r="A24" s="13">
        <v>422</v>
      </c>
      <c r="B24" s="31"/>
      <c r="C24" s="18">
        <v>0.16539599999999999</v>
      </c>
      <c r="D24" s="19">
        <v>5.1590000000000004E-3</v>
      </c>
      <c r="E24" s="20">
        <v>0.796713</v>
      </c>
      <c r="F24" s="6">
        <v>0.1154</v>
      </c>
      <c r="G24" s="34"/>
      <c r="H24" s="10">
        <v>92.081900000000005</v>
      </c>
      <c r="I24" s="13">
        <v>66</v>
      </c>
      <c r="J24" s="38">
        <v>21.701599999999999</v>
      </c>
      <c r="K24" s="26">
        <v>101.18</v>
      </c>
      <c r="L24" s="47">
        <v>0</v>
      </c>
      <c r="M24" s="47">
        <v>0</v>
      </c>
      <c r="N24" s="85">
        <f>N23+($N$28-$N$23)/5</f>
        <v>0.37941999999999998</v>
      </c>
      <c r="O24" s="13">
        <v>422</v>
      </c>
      <c r="P24" s="231">
        <v>210</v>
      </c>
      <c r="Q24" s="232">
        <v>7.4999999999999997E-2</v>
      </c>
    </row>
    <row r="25" spans="1:17">
      <c r="A25" s="13">
        <v>424</v>
      </c>
      <c r="B25" s="31"/>
      <c r="C25" s="18">
        <v>0.19861100000000001</v>
      </c>
      <c r="D25" s="19">
        <v>6.5459999999999997E-3</v>
      </c>
      <c r="E25" s="20">
        <v>0.95943900000000004</v>
      </c>
      <c r="F25" s="6">
        <v>0.13420000000000001</v>
      </c>
      <c r="G25" s="34"/>
      <c r="H25" s="10">
        <v>90.731999999999999</v>
      </c>
      <c r="I25" s="13">
        <v>29</v>
      </c>
      <c r="J25" s="38">
        <v>22.422499999999999</v>
      </c>
      <c r="K25" s="26">
        <v>104.26</v>
      </c>
      <c r="L25" s="47">
        <v>0</v>
      </c>
      <c r="M25" s="47">
        <v>0</v>
      </c>
      <c r="N25" s="85">
        <f>N24+($N$28-$N$23)/5</f>
        <v>0.39173999999999998</v>
      </c>
      <c r="O25" s="13">
        <v>424</v>
      </c>
      <c r="P25" s="231">
        <v>205</v>
      </c>
      <c r="Q25" s="232">
        <v>5.0999999999999997E-2</v>
      </c>
    </row>
    <row r="26" spans="1:17" ht="13.5" thickBot="1">
      <c r="A26" s="13">
        <v>426</v>
      </c>
      <c r="B26" s="31"/>
      <c r="C26" s="18">
        <v>0.230187</v>
      </c>
      <c r="D26" s="19">
        <v>8.0870000000000004E-3</v>
      </c>
      <c r="E26" s="20">
        <v>1.115367</v>
      </c>
      <c r="F26" s="6">
        <v>0.15484000000000001</v>
      </c>
      <c r="G26" s="34"/>
      <c r="H26" s="10">
        <v>89.382099999999994</v>
      </c>
      <c r="I26" s="13">
        <v>10</v>
      </c>
      <c r="J26" s="38">
        <v>23.157699999999998</v>
      </c>
      <c r="K26" s="26">
        <v>107.12</v>
      </c>
      <c r="L26" s="47">
        <v>0</v>
      </c>
      <c r="M26" s="47">
        <v>0</v>
      </c>
      <c r="N26" s="85">
        <f>N25+($N$28-$N$23)/5</f>
        <v>0.40405999999999997</v>
      </c>
      <c r="O26" s="13">
        <v>426</v>
      </c>
      <c r="P26" s="233">
        <v>200</v>
      </c>
      <c r="Q26" s="234">
        <v>0.03</v>
      </c>
    </row>
    <row r="27" spans="1:17">
      <c r="A27" s="13">
        <v>428</v>
      </c>
      <c r="B27" s="31"/>
      <c r="C27" s="18">
        <v>0.25877699999999998</v>
      </c>
      <c r="D27" s="19">
        <v>9.7680000000000006E-3</v>
      </c>
      <c r="E27" s="20">
        <v>1.2581230000000001</v>
      </c>
      <c r="F27" s="6">
        <v>0.17732000000000001</v>
      </c>
      <c r="G27" s="34"/>
      <c r="H27" s="10">
        <v>88.032200000000003</v>
      </c>
      <c r="I27" s="13">
        <v>9</v>
      </c>
      <c r="J27" s="38">
        <v>23.9072</v>
      </c>
      <c r="K27" s="26">
        <v>109.76</v>
      </c>
      <c r="L27" s="47">
        <v>0</v>
      </c>
      <c r="M27" s="47">
        <v>0</v>
      </c>
      <c r="N27" s="85">
        <f>N26+($N$28-$N$23)/5</f>
        <v>0.41637999999999997</v>
      </c>
      <c r="O27" s="13">
        <v>428</v>
      </c>
    </row>
    <row r="28" spans="1:17">
      <c r="A28" s="13">
        <v>430</v>
      </c>
      <c r="B28" s="31"/>
      <c r="C28" s="18">
        <v>0.28389999999999999</v>
      </c>
      <c r="D28" s="19">
        <v>1.1599999999999999E-2</v>
      </c>
      <c r="E28" s="20">
        <v>1.3855999999999999</v>
      </c>
      <c r="F28" s="6">
        <v>0.19980000000000001</v>
      </c>
      <c r="G28" s="34"/>
      <c r="H28" s="10">
        <v>86.682299999999998</v>
      </c>
      <c r="I28" s="13">
        <v>7</v>
      </c>
      <c r="J28" s="38">
        <v>24.6709</v>
      </c>
      <c r="K28" s="26">
        <v>112.4</v>
      </c>
      <c r="L28" s="47">
        <v>0</v>
      </c>
      <c r="M28" s="47">
        <v>0</v>
      </c>
      <c r="N28" s="85">
        <v>0.42870000000000003</v>
      </c>
      <c r="O28" s="13">
        <v>430</v>
      </c>
    </row>
    <row r="29" spans="1:17">
      <c r="A29" s="13">
        <v>432</v>
      </c>
      <c r="B29" s="31"/>
      <c r="C29" s="18">
        <v>0.30489699999999997</v>
      </c>
      <c r="D29" s="19">
        <v>1.3583E-2</v>
      </c>
      <c r="E29" s="20">
        <v>1.494804</v>
      </c>
      <c r="F29" s="6">
        <v>0.22488</v>
      </c>
      <c r="G29" s="34"/>
      <c r="H29" s="10">
        <v>90.318799999999996</v>
      </c>
      <c r="I29" s="13">
        <v>20</v>
      </c>
      <c r="J29" s="38">
        <v>25.448899999999998</v>
      </c>
      <c r="K29" s="26">
        <v>114.54</v>
      </c>
      <c r="L29" s="47">
        <v>0</v>
      </c>
      <c r="M29" s="47">
        <v>0</v>
      </c>
      <c r="N29" s="85">
        <f>N28+($N$33-$N$28)/5</f>
        <v>0.43930000000000002</v>
      </c>
      <c r="O29" s="13">
        <v>432</v>
      </c>
    </row>
    <row r="30" spans="1:17">
      <c r="A30" s="13">
        <v>434</v>
      </c>
      <c r="B30" s="31"/>
      <c r="C30" s="18">
        <v>0.32164500000000001</v>
      </c>
      <c r="D30" s="19">
        <v>1.5715E-2</v>
      </c>
      <c r="E30" s="20">
        <v>1.584881</v>
      </c>
      <c r="F30" s="6">
        <v>0.24995999999999999</v>
      </c>
      <c r="G30" s="34"/>
      <c r="H30" s="10">
        <v>93.955299999999994</v>
      </c>
      <c r="I30" s="13">
        <v>33</v>
      </c>
      <c r="J30" s="38">
        <v>26.241099999999999</v>
      </c>
      <c r="K30" s="26">
        <v>116.68</v>
      </c>
      <c r="L30" s="47">
        <v>0</v>
      </c>
      <c r="M30" s="47">
        <v>0</v>
      </c>
      <c r="N30" s="85">
        <f>N29+($N$33-$N$28)/5</f>
        <v>0.44990000000000002</v>
      </c>
      <c r="O30" s="13">
        <v>434</v>
      </c>
    </row>
    <row r="31" spans="1:17">
      <c r="A31" s="13">
        <v>436</v>
      </c>
      <c r="B31" s="31"/>
      <c r="C31" s="18">
        <v>0.33435100000000001</v>
      </c>
      <c r="D31" s="19">
        <v>1.8006999999999999E-2</v>
      </c>
      <c r="E31" s="20">
        <v>1.6564049999999999</v>
      </c>
      <c r="F31" s="6">
        <v>0.27561999999999998</v>
      </c>
      <c r="G31" s="34"/>
      <c r="H31" s="10">
        <v>97.591899999999995</v>
      </c>
      <c r="I31" s="13">
        <v>48</v>
      </c>
      <c r="J31" s="38">
        <v>27.047499999999999</v>
      </c>
      <c r="K31" s="26">
        <v>118.5</v>
      </c>
      <c r="L31" s="47">
        <v>0</v>
      </c>
      <c r="M31" s="47">
        <v>0</v>
      </c>
      <c r="N31" s="85">
        <f>N30+($N$33-$N$28)/5</f>
        <v>0.46050000000000002</v>
      </c>
      <c r="O31" s="13">
        <v>436</v>
      </c>
    </row>
    <row r="32" spans="1:17">
      <c r="A32" s="13">
        <v>438</v>
      </c>
      <c r="B32" s="31"/>
      <c r="C32" s="18">
        <v>0.34312100000000001</v>
      </c>
      <c r="D32" s="19">
        <v>2.0454E-2</v>
      </c>
      <c r="E32" s="20">
        <v>1.709875</v>
      </c>
      <c r="F32" s="6">
        <v>0.30186000000000002</v>
      </c>
      <c r="G32" s="34"/>
      <c r="H32" s="10">
        <v>101.22799999999999</v>
      </c>
      <c r="I32" s="13">
        <v>66</v>
      </c>
      <c r="J32" s="38">
        <v>27.868099999999998</v>
      </c>
      <c r="K32" s="26">
        <v>120</v>
      </c>
      <c r="L32" s="47">
        <v>0</v>
      </c>
      <c r="M32" s="47">
        <v>0</v>
      </c>
      <c r="N32" s="85">
        <f>N31+($N$33-$N$28)/5</f>
        <v>0.47110000000000002</v>
      </c>
      <c r="O32" s="13">
        <v>438</v>
      </c>
    </row>
    <row r="33" spans="1:15">
      <c r="A33" s="13">
        <v>440</v>
      </c>
      <c r="B33" s="31"/>
      <c r="C33" s="18">
        <v>0.34827999999999998</v>
      </c>
      <c r="D33" s="19">
        <v>2.3E-2</v>
      </c>
      <c r="E33" s="20">
        <v>1.7470600000000001</v>
      </c>
      <c r="F33" s="6">
        <v>0.3281</v>
      </c>
      <c r="G33" s="34"/>
      <c r="H33" s="10">
        <v>104.86499999999999</v>
      </c>
      <c r="I33" s="13">
        <v>84</v>
      </c>
      <c r="J33" s="38">
        <v>28.7027</v>
      </c>
      <c r="K33" s="26">
        <v>121.5</v>
      </c>
      <c r="L33" s="47">
        <v>0</v>
      </c>
      <c r="M33" s="47">
        <v>0</v>
      </c>
      <c r="N33" s="85">
        <v>0.48170000000000002</v>
      </c>
      <c r="O33" s="13">
        <v>440</v>
      </c>
    </row>
    <row r="34" spans="1:15">
      <c r="A34" s="13">
        <v>442</v>
      </c>
      <c r="B34" s="31"/>
      <c r="C34" s="18">
        <v>0.35014699999999999</v>
      </c>
      <c r="D34" s="19">
        <v>2.5610000000000001E-2</v>
      </c>
      <c r="E34" s="20">
        <v>1.7696229999999999</v>
      </c>
      <c r="F34" s="6">
        <v>0.35410000000000003</v>
      </c>
      <c r="G34" s="34"/>
      <c r="H34" s="10">
        <v>107.29300000000001</v>
      </c>
      <c r="I34" s="13">
        <v>57</v>
      </c>
      <c r="J34" s="38">
        <v>29.551500000000001</v>
      </c>
      <c r="K34" s="26">
        <v>122.28</v>
      </c>
      <c r="L34" s="47">
        <v>0</v>
      </c>
      <c r="M34" s="47">
        <v>0</v>
      </c>
      <c r="N34" s="85">
        <f>N33+($N$38-$N$33)/5</f>
        <v>0.49396000000000001</v>
      </c>
      <c r="O34" s="13">
        <v>442</v>
      </c>
    </row>
    <row r="35" spans="1:15">
      <c r="A35" s="13">
        <v>444</v>
      </c>
      <c r="B35" s="31"/>
      <c r="C35" s="18">
        <v>0.34928700000000001</v>
      </c>
      <c r="D35" s="19">
        <v>2.8351000000000001E-2</v>
      </c>
      <c r="E35" s="20">
        <v>1.7804329999999999</v>
      </c>
      <c r="F35" s="6">
        <v>0.38009999999999999</v>
      </c>
      <c r="G35" s="34"/>
      <c r="H35" s="10">
        <v>109.72199999999999</v>
      </c>
      <c r="I35" s="13">
        <v>30</v>
      </c>
      <c r="J35" s="38">
        <v>30.414200000000001</v>
      </c>
      <c r="K35" s="26">
        <v>123.06</v>
      </c>
      <c r="L35" s="47">
        <v>0</v>
      </c>
      <c r="M35" s="47">
        <v>0</v>
      </c>
      <c r="N35" s="85">
        <f>N34+($N$38-$N$33)/5</f>
        <v>0.50622</v>
      </c>
      <c r="O35" s="13">
        <v>444</v>
      </c>
    </row>
    <row r="36" spans="1:15">
      <c r="A36" s="13">
        <v>446</v>
      </c>
      <c r="B36" s="31"/>
      <c r="C36" s="18">
        <v>0.34637299999999999</v>
      </c>
      <c r="D36" s="19">
        <v>3.1309999999999998E-2</v>
      </c>
      <c r="E36" s="20">
        <v>1.7829680000000001</v>
      </c>
      <c r="F36" s="6">
        <v>0.40548000000000001</v>
      </c>
      <c r="G36" s="34"/>
      <c r="H36" s="10">
        <v>112.151</v>
      </c>
      <c r="I36" s="13">
        <v>14</v>
      </c>
      <c r="J36" s="38">
        <v>31.290900000000001</v>
      </c>
      <c r="K36" s="26">
        <v>123.56</v>
      </c>
      <c r="L36" s="47">
        <v>0</v>
      </c>
      <c r="M36" s="47">
        <v>0</v>
      </c>
      <c r="N36" s="85">
        <f>N35+($N$38-$N$33)/5</f>
        <v>0.51848000000000005</v>
      </c>
      <c r="O36" s="13">
        <v>446</v>
      </c>
    </row>
    <row r="37" spans="1:15">
      <c r="A37" s="13">
        <v>448</v>
      </c>
      <c r="B37" s="31"/>
      <c r="C37" s="18">
        <v>0.34180899999999997</v>
      </c>
      <c r="D37" s="19">
        <v>3.4521000000000003E-2</v>
      </c>
      <c r="E37" s="20">
        <v>1.7791980000000001</v>
      </c>
      <c r="F37" s="6">
        <v>0.43024000000000001</v>
      </c>
      <c r="G37" s="34"/>
      <c r="H37" s="10">
        <v>114.57899999999999</v>
      </c>
      <c r="I37" s="13">
        <v>7</v>
      </c>
      <c r="J37" s="38">
        <v>32.1815</v>
      </c>
      <c r="K37" s="26">
        <v>123.78</v>
      </c>
      <c r="L37" s="47">
        <v>0</v>
      </c>
      <c r="M37" s="47">
        <v>0</v>
      </c>
      <c r="N37" s="85">
        <f>N36+($N$38-$N$33)/5</f>
        <v>0.5307400000000001</v>
      </c>
      <c r="O37" s="13">
        <v>448</v>
      </c>
    </row>
    <row r="38" spans="1:15">
      <c r="A38" s="13">
        <v>450</v>
      </c>
      <c r="B38" s="31"/>
      <c r="C38" s="18">
        <v>0.3362</v>
      </c>
      <c r="D38" s="19">
        <v>3.7999999999999999E-2</v>
      </c>
      <c r="E38" s="20">
        <v>1.7721100000000001</v>
      </c>
      <c r="F38" s="6">
        <v>0.45500000000000002</v>
      </c>
      <c r="G38" s="34"/>
      <c r="H38" s="10">
        <v>117.008</v>
      </c>
      <c r="I38" s="13">
        <v>0</v>
      </c>
      <c r="J38" s="38">
        <v>33.085900000000002</v>
      </c>
      <c r="K38" s="26">
        <v>124</v>
      </c>
      <c r="L38" s="47">
        <v>0</v>
      </c>
      <c r="M38" s="47">
        <v>0</v>
      </c>
      <c r="N38" s="85">
        <v>0.54300000000000004</v>
      </c>
      <c r="O38" s="13">
        <v>450</v>
      </c>
    </row>
    <row r="39" spans="1:15">
      <c r="A39" s="13">
        <v>452</v>
      </c>
      <c r="B39" s="31"/>
      <c r="C39" s="18">
        <v>0.33004099999999997</v>
      </c>
      <c r="D39" s="19">
        <v>4.1768E-2</v>
      </c>
      <c r="E39" s="20">
        <v>1.7640389999999999</v>
      </c>
      <c r="F39" s="6">
        <v>0.47815999999999997</v>
      </c>
      <c r="G39" s="34"/>
      <c r="H39" s="10">
        <v>117.169</v>
      </c>
      <c r="I39" s="13">
        <v>4</v>
      </c>
      <c r="J39" s="38">
        <v>34.003999999999998</v>
      </c>
      <c r="K39" s="26">
        <v>123.84</v>
      </c>
      <c r="L39" s="47">
        <v>0</v>
      </c>
      <c r="M39" s="47">
        <v>0</v>
      </c>
      <c r="N39" s="85">
        <f>N38+($N$43-$N$38)/5</f>
        <v>0.55310000000000004</v>
      </c>
      <c r="O39" s="13">
        <v>452</v>
      </c>
    </row>
    <row r="40" spans="1:15">
      <c r="A40" s="13">
        <v>454</v>
      </c>
      <c r="B40" s="31"/>
      <c r="C40" s="18">
        <v>0.32288699999999998</v>
      </c>
      <c r="D40" s="19">
        <v>4.5843000000000002E-2</v>
      </c>
      <c r="E40" s="20">
        <v>1.7524660000000001</v>
      </c>
      <c r="F40" s="6">
        <v>0.50131999999999999</v>
      </c>
      <c r="G40" s="34"/>
      <c r="H40" s="10">
        <v>117.32899999999999</v>
      </c>
      <c r="I40" s="13">
        <v>7</v>
      </c>
      <c r="J40" s="38">
        <v>34.9358</v>
      </c>
      <c r="K40" s="26">
        <v>123.68</v>
      </c>
      <c r="L40" s="47">
        <v>0</v>
      </c>
      <c r="M40" s="47">
        <v>0</v>
      </c>
      <c r="N40" s="85">
        <f>N39+($N$43-$N$38)/5</f>
        <v>0.56320000000000003</v>
      </c>
      <c r="O40" s="13">
        <v>454</v>
      </c>
    </row>
    <row r="41" spans="1:15">
      <c r="A41" s="13">
        <v>456</v>
      </c>
      <c r="B41" s="31"/>
      <c r="C41" s="18">
        <v>0.314025</v>
      </c>
      <c r="D41" s="19">
        <v>5.0243999999999997E-2</v>
      </c>
      <c r="E41" s="20">
        <v>1.7331000000000001</v>
      </c>
      <c r="F41" s="6">
        <v>0.52376</v>
      </c>
      <c r="G41" s="34"/>
      <c r="H41" s="10">
        <v>117.49</v>
      </c>
      <c r="I41" s="13">
        <v>11</v>
      </c>
      <c r="J41" s="38">
        <v>35.881100000000004</v>
      </c>
      <c r="K41" s="26">
        <v>123.5</v>
      </c>
      <c r="L41" s="47">
        <v>0</v>
      </c>
      <c r="M41" s="47">
        <v>0</v>
      </c>
      <c r="N41" s="85">
        <f>N40+($N$43-$N$38)/5</f>
        <v>0.57330000000000003</v>
      </c>
      <c r="O41" s="13">
        <v>456</v>
      </c>
    </row>
    <row r="42" spans="1:15">
      <c r="A42" s="13">
        <v>458</v>
      </c>
      <c r="B42" s="31"/>
      <c r="C42" s="18">
        <v>0.30329</v>
      </c>
      <c r="D42" s="19">
        <v>5.4981000000000002E-2</v>
      </c>
      <c r="E42" s="20">
        <v>1.705937</v>
      </c>
      <c r="F42" s="6">
        <v>0.54547999999999996</v>
      </c>
      <c r="G42" s="34"/>
      <c r="H42" s="10">
        <v>117.651</v>
      </c>
      <c r="I42" s="13">
        <v>16</v>
      </c>
      <c r="J42" s="38">
        <v>36.8399</v>
      </c>
      <c r="K42" s="26">
        <v>123.3</v>
      </c>
      <c r="L42" s="47">
        <v>0</v>
      </c>
      <c r="M42" s="47">
        <v>0</v>
      </c>
      <c r="N42" s="85">
        <f>N41+($N$43-$N$38)/5</f>
        <v>0.58340000000000003</v>
      </c>
      <c r="O42" s="13">
        <v>458</v>
      </c>
    </row>
    <row r="43" spans="1:15">
      <c r="A43" s="13">
        <v>460</v>
      </c>
      <c r="B43" s="31"/>
      <c r="C43" s="18">
        <v>0.2908</v>
      </c>
      <c r="D43" s="19">
        <v>0.06</v>
      </c>
      <c r="E43" s="20">
        <v>1.6692</v>
      </c>
      <c r="F43" s="6">
        <v>0.56720000000000004</v>
      </c>
      <c r="G43" s="34"/>
      <c r="H43" s="10">
        <v>117.812</v>
      </c>
      <c r="I43" s="13">
        <v>21</v>
      </c>
      <c r="J43" s="38">
        <v>37.812100000000001</v>
      </c>
      <c r="K43" s="26">
        <v>123.1</v>
      </c>
      <c r="L43" s="47">
        <v>0</v>
      </c>
      <c r="M43" s="47">
        <v>0</v>
      </c>
      <c r="N43" s="85">
        <v>0.59350000000000003</v>
      </c>
      <c r="O43" s="13">
        <v>460</v>
      </c>
    </row>
    <row r="44" spans="1:15">
      <c r="A44" s="13">
        <v>462</v>
      </c>
      <c r="B44" s="31"/>
      <c r="C44" s="18">
        <v>0.27672099999999999</v>
      </c>
      <c r="D44" s="19">
        <v>6.5278000000000003E-2</v>
      </c>
      <c r="E44" s="20">
        <v>1.623413</v>
      </c>
      <c r="F44" s="6">
        <v>0.58852000000000004</v>
      </c>
      <c r="G44" s="34"/>
      <c r="H44" s="10">
        <v>117.22199999999999</v>
      </c>
      <c r="I44" s="13">
        <v>13</v>
      </c>
      <c r="J44" s="38">
        <v>38.797499999999999</v>
      </c>
      <c r="K44" s="26">
        <v>123.18</v>
      </c>
      <c r="L44" s="47">
        <v>0</v>
      </c>
      <c r="M44" s="47">
        <v>0</v>
      </c>
      <c r="N44" s="85">
        <f>N43+($N$48-$N$43)/5</f>
        <v>0.60036</v>
      </c>
      <c r="O44" s="13">
        <v>462</v>
      </c>
    </row>
    <row r="45" spans="1:15">
      <c r="A45" s="13">
        <v>464</v>
      </c>
      <c r="B45" s="31"/>
      <c r="C45" s="18">
        <v>0.26042300000000002</v>
      </c>
      <c r="D45" s="19">
        <v>7.0911000000000002E-2</v>
      </c>
      <c r="E45" s="20">
        <v>1.5645279999999999</v>
      </c>
      <c r="F45" s="6">
        <v>0.60984000000000005</v>
      </c>
      <c r="G45" s="34"/>
      <c r="H45" s="10">
        <v>116.63200000000001</v>
      </c>
      <c r="I45" s="13">
        <v>4</v>
      </c>
      <c r="J45" s="38">
        <v>39.795999999999999</v>
      </c>
      <c r="K45" s="26">
        <v>123.26</v>
      </c>
      <c r="L45" s="47">
        <v>0</v>
      </c>
      <c r="M45" s="47">
        <v>0</v>
      </c>
      <c r="N45" s="85">
        <f>N44+($N$48-$N$43)/5</f>
        <v>0.60721999999999998</v>
      </c>
      <c r="O45" s="13">
        <v>464</v>
      </c>
    </row>
    <row r="46" spans="1:15">
      <c r="A46" s="13">
        <v>466</v>
      </c>
      <c r="B46" s="31"/>
      <c r="C46" s="18">
        <v>0.24084800000000001</v>
      </c>
      <c r="D46" s="19">
        <v>7.7016000000000001E-2</v>
      </c>
      <c r="E46" s="20">
        <v>1.486111</v>
      </c>
      <c r="F46" s="6">
        <v>0.63151999999999997</v>
      </c>
      <c r="G46" s="34"/>
      <c r="H46" s="10">
        <v>116.041</v>
      </c>
      <c r="I46" s="13">
        <v>1</v>
      </c>
      <c r="J46" s="38">
        <v>40.807600000000001</v>
      </c>
      <c r="K46" s="26">
        <v>123.4</v>
      </c>
      <c r="L46" s="47">
        <v>0</v>
      </c>
      <c r="M46" s="47">
        <v>0</v>
      </c>
      <c r="N46" s="85">
        <f>N45+($N$48-$N$43)/5</f>
        <v>0.61407999999999996</v>
      </c>
      <c r="O46" s="13">
        <v>466</v>
      </c>
    </row>
    <row r="47" spans="1:15">
      <c r="A47" s="13">
        <v>468</v>
      </c>
      <c r="B47" s="31"/>
      <c r="C47" s="18">
        <v>0.21840699999999999</v>
      </c>
      <c r="D47" s="19">
        <v>8.3266999999999994E-2</v>
      </c>
      <c r="E47" s="20">
        <v>1.38988</v>
      </c>
      <c r="F47" s="6">
        <v>0.65356000000000003</v>
      </c>
      <c r="G47" s="34"/>
      <c r="H47" s="10">
        <v>115.45099999999999</v>
      </c>
      <c r="I47" s="13">
        <v>4</v>
      </c>
      <c r="J47" s="38">
        <v>41.832000000000001</v>
      </c>
      <c r="K47" s="26">
        <v>123.6</v>
      </c>
      <c r="L47" s="47">
        <v>0</v>
      </c>
      <c r="M47" s="47">
        <v>0</v>
      </c>
      <c r="N47" s="85">
        <f>N46+($N$48-$N$43)/5</f>
        <v>0.62093999999999994</v>
      </c>
      <c r="O47" s="13">
        <v>468</v>
      </c>
    </row>
    <row r="48" spans="1:15">
      <c r="A48" s="13">
        <v>470</v>
      </c>
      <c r="B48" s="31"/>
      <c r="C48" s="18">
        <v>0.19536000000000001</v>
      </c>
      <c r="D48" s="19">
        <v>9.0980000000000005E-2</v>
      </c>
      <c r="E48" s="20">
        <v>1.2876399999999999</v>
      </c>
      <c r="F48" s="6">
        <v>0.67559999999999998</v>
      </c>
      <c r="G48" s="34"/>
      <c r="H48" s="10">
        <v>114.861</v>
      </c>
      <c r="I48" s="13">
        <v>6</v>
      </c>
      <c r="J48" s="38">
        <v>42.869300000000003</v>
      </c>
      <c r="K48" s="26">
        <v>123.8</v>
      </c>
      <c r="L48" s="47">
        <v>0</v>
      </c>
      <c r="M48" s="47">
        <v>0</v>
      </c>
      <c r="N48" s="85">
        <v>0.62780000000000002</v>
      </c>
      <c r="O48" s="13">
        <v>470</v>
      </c>
    </row>
    <row r="49" spans="1:16">
      <c r="A49" s="13">
        <v>472</v>
      </c>
      <c r="B49" s="31"/>
      <c r="C49" s="18">
        <v>0.17332700000000001</v>
      </c>
      <c r="D49" s="19">
        <v>9.9045999999999995E-2</v>
      </c>
      <c r="E49" s="20">
        <v>1.187824</v>
      </c>
      <c r="F49" s="6">
        <v>0.69884000000000002</v>
      </c>
      <c r="G49" s="34"/>
      <c r="H49" s="10">
        <v>115.07299999999999</v>
      </c>
      <c r="I49" s="13">
        <v>12</v>
      </c>
      <c r="J49" s="38">
        <v>43.919199999999996</v>
      </c>
      <c r="K49" s="26">
        <v>123.88</v>
      </c>
      <c r="L49" s="47">
        <v>0</v>
      </c>
      <c r="M49" s="47">
        <v>0</v>
      </c>
      <c r="N49" s="85">
        <f>N48+($N$53-$N$48)/5</f>
        <v>0.63041999999999998</v>
      </c>
      <c r="O49" s="13">
        <v>472</v>
      </c>
    </row>
    <row r="50" spans="1:16">
      <c r="A50" s="13">
        <v>474</v>
      </c>
      <c r="B50" s="31"/>
      <c r="C50" s="18">
        <v>0.152283</v>
      </c>
      <c r="D50" s="19">
        <v>0.10788499999999999</v>
      </c>
      <c r="E50" s="20">
        <v>1.0901479999999999</v>
      </c>
      <c r="F50" s="6">
        <v>0.72208000000000006</v>
      </c>
      <c r="G50" s="34"/>
      <c r="H50" s="10">
        <v>115.286</v>
      </c>
      <c r="I50" s="13">
        <v>18</v>
      </c>
      <c r="J50" s="38">
        <v>44.9816</v>
      </c>
      <c r="K50" s="26">
        <v>123.96</v>
      </c>
      <c r="L50" s="47">
        <v>0</v>
      </c>
      <c r="M50" s="47">
        <v>0</v>
      </c>
      <c r="N50" s="85">
        <f>N49+($N$53-$N$48)/5</f>
        <v>0.63303999999999994</v>
      </c>
      <c r="O50" s="13">
        <v>474</v>
      </c>
    </row>
    <row r="51" spans="1:16">
      <c r="A51" s="13">
        <v>476</v>
      </c>
      <c r="B51" s="31"/>
      <c r="C51" s="18">
        <v>0.13217899999999999</v>
      </c>
      <c r="D51" s="19">
        <v>0.117532</v>
      </c>
      <c r="E51" s="20">
        <v>0.99419800000000003</v>
      </c>
      <c r="F51" s="6">
        <v>0.74556</v>
      </c>
      <c r="G51" s="34"/>
      <c r="H51" s="10">
        <v>115.498</v>
      </c>
      <c r="I51" s="13">
        <v>19</v>
      </c>
      <c r="J51" s="38">
        <v>46.0563</v>
      </c>
      <c r="K51" s="26">
        <v>123.98</v>
      </c>
      <c r="L51" s="47">
        <v>0</v>
      </c>
      <c r="M51" s="47">
        <v>0</v>
      </c>
      <c r="N51" s="85">
        <f>N50+($N$53-$N$48)/5</f>
        <v>0.63565999999999989</v>
      </c>
      <c r="O51" s="13">
        <v>476</v>
      </c>
    </row>
    <row r="52" spans="1:16">
      <c r="A52" s="13">
        <v>478</v>
      </c>
      <c r="B52" s="31"/>
      <c r="C52" s="18">
        <v>0.113275</v>
      </c>
      <c r="D52" s="19">
        <v>0.127993</v>
      </c>
      <c r="E52" s="20">
        <v>0.90145299999999995</v>
      </c>
      <c r="F52" s="6">
        <v>0.76927999999999996</v>
      </c>
      <c r="G52" s="34"/>
      <c r="H52" s="10">
        <v>115.71</v>
      </c>
      <c r="I52" s="13">
        <v>16</v>
      </c>
      <c r="J52" s="38">
        <v>47.143300000000004</v>
      </c>
      <c r="K52" s="26">
        <v>123.94</v>
      </c>
      <c r="L52" s="47">
        <v>0</v>
      </c>
      <c r="M52" s="47">
        <v>0</v>
      </c>
      <c r="N52" s="85">
        <f>N51+($N$53-$N$48)/5</f>
        <v>0.63827999999999985</v>
      </c>
      <c r="O52" s="13">
        <v>478</v>
      </c>
    </row>
    <row r="53" spans="1:16">
      <c r="A53" s="13">
        <v>480</v>
      </c>
      <c r="B53" s="31"/>
      <c r="C53" s="18">
        <v>9.5640000000000003E-2</v>
      </c>
      <c r="D53" s="19">
        <v>0.13902</v>
      </c>
      <c r="E53" s="20">
        <v>0.81294999999999995</v>
      </c>
      <c r="F53" s="6">
        <v>0.79300000000000004</v>
      </c>
      <c r="G53" s="34"/>
      <c r="H53" s="10">
        <v>115.923</v>
      </c>
      <c r="I53" s="13">
        <v>12</v>
      </c>
      <c r="J53" s="38">
        <v>48.2423</v>
      </c>
      <c r="K53" s="26">
        <v>123.9</v>
      </c>
      <c r="L53" s="47">
        <v>0</v>
      </c>
      <c r="M53" s="47">
        <v>0</v>
      </c>
      <c r="N53" s="85">
        <v>0.64090000000000003</v>
      </c>
      <c r="O53" s="13">
        <v>480</v>
      </c>
      <c r="P53" s="97" t="s">
        <v>54</v>
      </c>
    </row>
    <row r="54" spans="1:16">
      <c r="A54" s="13">
        <v>482</v>
      </c>
      <c r="B54" s="31"/>
      <c r="C54" s="18">
        <v>7.9308000000000003E-2</v>
      </c>
      <c r="D54" s="19">
        <v>0.15046899999999999</v>
      </c>
      <c r="E54" s="20">
        <v>0.72944500000000001</v>
      </c>
      <c r="F54" s="6">
        <v>0.81616</v>
      </c>
      <c r="G54" s="34"/>
      <c r="H54" s="10">
        <v>114.5</v>
      </c>
      <c r="I54" s="13">
        <v>21</v>
      </c>
      <c r="J54" s="38">
        <v>49.353299999999997</v>
      </c>
      <c r="K54" s="26">
        <v>123.51</v>
      </c>
      <c r="L54" s="47">
        <v>0</v>
      </c>
      <c r="M54" s="47">
        <v>0</v>
      </c>
      <c r="N54" s="85">
        <f>N53-($N$53-$N$58)/5</f>
        <v>0.64028000000000007</v>
      </c>
      <c r="O54" s="13">
        <v>482</v>
      </c>
    </row>
    <row r="55" spans="1:16">
      <c r="A55" s="13">
        <v>484</v>
      </c>
      <c r="B55" s="31"/>
      <c r="C55" s="18">
        <v>6.4581E-2</v>
      </c>
      <c r="D55" s="19">
        <v>0.162718</v>
      </c>
      <c r="E55" s="20">
        <v>0.65210500000000005</v>
      </c>
      <c r="F55" s="6">
        <v>0.83931999999999995</v>
      </c>
      <c r="G55" s="34"/>
      <c r="H55" s="10">
        <v>113.078</v>
      </c>
      <c r="I55" s="13">
        <v>30</v>
      </c>
      <c r="J55" s="38">
        <v>50.475999999999999</v>
      </c>
      <c r="K55" s="26">
        <v>123.12</v>
      </c>
      <c r="L55" s="47">
        <v>0</v>
      </c>
      <c r="M55" s="47">
        <v>0</v>
      </c>
      <c r="N55" s="85">
        <f>N54-($N$53-$N$58)/5</f>
        <v>0.63966000000000012</v>
      </c>
      <c r="O55" s="13">
        <v>484</v>
      </c>
    </row>
    <row r="56" spans="1:16">
      <c r="A56" s="13">
        <v>486</v>
      </c>
      <c r="B56" s="31"/>
      <c r="C56" s="18">
        <v>5.1861999999999998E-2</v>
      </c>
      <c r="D56" s="19">
        <v>0.17624300000000001</v>
      </c>
      <c r="E56" s="20">
        <v>0.58232899999999999</v>
      </c>
      <c r="F56" s="6">
        <v>0.86158000000000001</v>
      </c>
      <c r="G56" s="34"/>
      <c r="H56" s="10">
        <v>111.65600000000001</v>
      </c>
      <c r="I56" s="13">
        <v>59</v>
      </c>
      <c r="J56" s="38">
        <v>51.610399999999998</v>
      </c>
      <c r="K56" s="26">
        <v>122.48</v>
      </c>
      <c r="L56" s="47">
        <v>0</v>
      </c>
      <c r="M56" s="47">
        <v>0</v>
      </c>
      <c r="N56" s="85">
        <f>N55-($N$53-$N$58)/5</f>
        <v>0.63904000000000016</v>
      </c>
      <c r="O56" s="13">
        <v>486</v>
      </c>
    </row>
    <row r="57" spans="1:16">
      <c r="A57" s="13">
        <v>488</v>
      </c>
      <c r="B57" s="31"/>
      <c r="C57" s="18">
        <v>4.1151E-2</v>
      </c>
      <c r="D57" s="19">
        <v>0.191274</v>
      </c>
      <c r="E57" s="20">
        <v>0.52033799999999997</v>
      </c>
      <c r="F57" s="6">
        <v>0.88293999999999995</v>
      </c>
      <c r="G57" s="34"/>
      <c r="H57" s="10">
        <v>110.233</v>
      </c>
      <c r="I57" s="13">
        <v>110</v>
      </c>
      <c r="J57" s="38">
        <v>52.756100000000004</v>
      </c>
      <c r="K57" s="26">
        <v>121.59</v>
      </c>
      <c r="L57" s="47">
        <v>0</v>
      </c>
      <c r="M57" s="47">
        <v>0</v>
      </c>
      <c r="N57" s="85">
        <f>N56-($N$53-$N$58)/5</f>
        <v>0.63842000000000021</v>
      </c>
      <c r="O57" s="13">
        <v>488</v>
      </c>
    </row>
    <row r="58" spans="1:16">
      <c r="A58" s="13">
        <v>490</v>
      </c>
      <c r="B58" s="31"/>
      <c r="C58" s="18">
        <v>3.2009999999999997E-2</v>
      </c>
      <c r="D58" s="19">
        <v>0.20802000000000001</v>
      </c>
      <c r="E58" s="20">
        <v>0.46517999999999998</v>
      </c>
      <c r="F58" s="6">
        <v>0.90429999999999999</v>
      </c>
      <c r="G58" s="34"/>
      <c r="H58" s="10">
        <v>108.81100000000001</v>
      </c>
      <c r="I58" s="13">
        <v>160</v>
      </c>
      <c r="J58" s="38">
        <v>53.913200000000003</v>
      </c>
      <c r="K58" s="26">
        <v>120.7</v>
      </c>
      <c r="L58" s="47">
        <v>0</v>
      </c>
      <c r="M58" s="47">
        <v>0</v>
      </c>
      <c r="N58" s="85">
        <v>0.63780000000000003</v>
      </c>
      <c r="O58" s="13">
        <v>490</v>
      </c>
    </row>
    <row r="59" spans="1:16">
      <c r="A59" s="13">
        <v>492</v>
      </c>
      <c r="B59" s="31"/>
      <c r="C59" s="18">
        <v>2.4143999999999999E-2</v>
      </c>
      <c r="D59" s="19">
        <v>0.22673499999999999</v>
      </c>
      <c r="E59" s="20">
        <v>0.416184</v>
      </c>
      <c r="F59" s="6">
        <v>0.92222000000000004</v>
      </c>
      <c r="G59" s="34"/>
      <c r="H59" s="10">
        <v>108.919</v>
      </c>
      <c r="I59" s="13">
        <v>165</v>
      </c>
      <c r="J59" s="38">
        <v>55.081299999999999</v>
      </c>
      <c r="K59" s="26">
        <v>119.18</v>
      </c>
      <c r="L59" s="47">
        <v>0</v>
      </c>
      <c r="M59" s="47">
        <v>0</v>
      </c>
      <c r="N59" s="85">
        <f>N58-($N$58-$N$63)/5</f>
        <v>0.63422000000000001</v>
      </c>
      <c r="O59" s="13">
        <v>492</v>
      </c>
    </row>
    <row r="60" spans="1:16">
      <c r="A60" s="13">
        <v>494</v>
      </c>
      <c r="B60" s="31"/>
      <c r="C60" s="18">
        <v>1.754E-2</v>
      </c>
      <c r="D60" s="19">
        <v>0.24748100000000001</v>
      </c>
      <c r="E60" s="20">
        <v>0.372946</v>
      </c>
      <c r="F60" s="6">
        <v>0.94013999999999998</v>
      </c>
      <c r="G60" s="34"/>
      <c r="H60" s="10">
        <v>109.02800000000001</v>
      </c>
      <c r="I60" s="13">
        <v>170</v>
      </c>
      <c r="J60" s="38">
        <v>56.260300000000001</v>
      </c>
      <c r="K60" s="26">
        <v>117.66</v>
      </c>
      <c r="L60" s="47">
        <v>0</v>
      </c>
      <c r="M60" s="47">
        <v>0</v>
      </c>
      <c r="N60" s="85">
        <f>N59-($N$58-$N$63)/5</f>
        <v>0.63063999999999998</v>
      </c>
      <c r="O60" s="13">
        <v>494</v>
      </c>
    </row>
    <row r="61" spans="1:16">
      <c r="A61" s="13">
        <v>496</v>
      </c>
      <c r="B61" s="31"/>
      <c r="C61" s="18">
        <v>1.2161999999999999E-2</v>
      </c>
      <c r="D61" s="19">
        <v>0.27018500000000001</v>
      </c>
      <c r="E61" s="20">
        <v>0.33485799999999999</v>
      </c>
      <c r="F61" s="6">
        <v>0.95562000000000002</v>
      </c>
      <c r="G61" s="34"/>
      <c r="H61" s="10">
        <v>109.137</v>
      </c>
      <c r="I61" s="13">
        <v>146</v>
      </c>
      <c r="J61" s="38">
        <v>57.450099999999999</v>
      </c>
      <c r="K61" s="26">
        <v>115.94</v>
      </c>
      <c r="L61" s="47">
        <v>0</v>
      </c>
      <c r="M61" s="47">
        <v>0</v>
      </c>
      <c r="N61" s="85">
        <f>N60-($N$58-$N$63)/5</f>
        <v>0.62705999999999995</v>
      </c>
      <c r="O61" s="13">
        <v>496</v>
      </c>
    </row>
    <row r="62" spans="1:16">
      <c r="A62" s="13">
        <v>498</v>
      </c>
      <c r="B62" s="31"/>
      <c r="C62" s="18">
        <v>7.9670000000000001E-3</v>
      </c>
      <c r="D62" s="19">
        <v>0.29505100000000001</v>
      </c>
      <c r="E62" s="20">
        <v>0.30133799999999999</v>
      </c>
      <c r="F62" s="6">
        <v>0.96865999999999997</v>
      </c>
      <c r="G62" s="34"/>
      <c r="H62" s="10">
        <v>109.246</v>
      </c>
      <c r="I62" s="13">
        <v>91</v>
      </c>
      <c r="J62" s="38">
        <v>58.650399999999998</v>
      </c>
      <c r="K62" s="26">
        <v>114.02</v>
      </c>
      <c r="L62" s="47">
        <v>0</v>
      </c>
      <c r="M62" s="47">
        <v>0</v>
      </c>
      <c r="N62" s="85">
        <f>N61-($N$58-$N$63)/5</f>
        <v>0.62347999999999992</v>
      </c>
      <c r="O62" s="13">
        <v>498</v>
      </c>
    </row>
    <row r="63" spans="1:16">
      <c r="A63" s="13">
        <v>500</v>
      </c>
      <c r="B63" s="31"/>
      <c r="C63" s="18">
        <v>4.8999999999999998E-3</v>
      </c>
      <c r="D63" s="19">
        <v>0.32300000000000001</v>
      </c>
      <c r="E63" s="20">
        <v>0.27200000000000002</v>
      </c>
      <c r="F63" s="6">
        <v>0.98170000000000002</v>
      </c>
      <c r="G63" s="34"/>
      <c r="H63" s="10">
        <v>109.354</v>
      </c>
      <c r="I63" s="13">
        <v>36</v>
      </c>
      <c r="J63" s="38">
        <v>59.8611</v>
      </c>
      <c r="K63" s="26">
        <v>112.1</v>
      </c>
      <c r="L63" s="47">
        <v>0</v>
      </c>
      <c r="M63" s="47">
        <v>0</v>
      </c>
      <c r="N63" s="85">
        <v>0.61990000000000001</v>
      </c>
      <c r="O63" s="13">
        <v>500</v>
      </c>
    </row>
    <row r="64" spans="1:16">
      <c r="A64" s="13">
        <v>502</v>
      </c>
      <c r="B64" s="31"/>
      <c r="C64" s="18">
        <v>2.9450000000000001E-3</v>
      </c>
      <c r="D64" s="19">
        <v>0.34688600000000003</v>
      </c>
      <c r="E64" s="20">
        <v>0.24648400000000001</v>
      </c>
      <c r="F64" s="6">
        <v>0.98838000000000004</v>
      </c>
      <c r="G64" s="34"/>
      <c r="H64" s="10">
        <v>109.044</v>
      </c>
      <c r="I64" s="13">
        <v>26</v>
      </c>
      <c r="J64" s="38">
        <v>61.082000000000001</v>
      </c>
      <c r="K64" s="26">
        <v>110.05</v>
      </c>
      <c r="L64" s="47">
        <v>0</v>
      </c>
      <c r="M64" s="47">
        <f>M63+($M$68-$M$63)/5</f>
        <v>2.0000000000000002E-5</v>
      </c>
      <c r="N64" s="85">
        <f>N63-($N$63-$N$68)/5</f>
        <v>0.61285999999999996</v>
      </c>
      <c r="O64" s="13">
        <v>502</v>
      </c>
    </row>
    <row r="65" spans="1:15">
      <c r="A65" s="13">
        <v>504</v>
      </c>
      <c r="B65" s="31"/>
      <c r="C65" s="18">
        <v>2.2360000000000001E-3</v>
      </c>
      <c r="D65" s="19">
        <v>0.38928800000000002</v>
      </c>
      <c r="E65" s="20">
        <v>0.22345300000000001</v>
      </c>
      <c r="F65" s="6">
        <v>0.99505999999999994</v>
      </c>
      <c r="G65" s="34"/>
      <c r="H65" s="10">
        <v>108.733</v>
      </c>
      <c r="I65" s="13">
        <v>15</v>
      </c>
      <c r="J65" s="38">
        <v>62.312800000000003</v>
      </c>
      <c r="K65" s="26">
        <v>108</v>
      </c>
      <c r="L65" s="47">
        <v>0</v>
      </c>
      <c r="M65" s="47">
        <f>M64+($M$68-$M$63)/5</f>
        <v>4.0000000000000003E-5</v>
      </c>
      <c r="N65" s="85">
        <f>N64-($N$63-$N$68)/5</f>
        <v>0.60581999999999991</v>
      </c>
      <c r="O65" s="13">
        <v>504</v>
      </c>
    </row>
    <row r="66" spans="1:15">
      <c r="A66" s="13">
        <v>506</v>
      </c>
      <c r="B66" s="31"/>
      <c r="C66" s="18">
        <v>2.9250000000000001E-3</v>
      </c>
      <c r="D66" s="19">
        <v>0.42563000000000001</v>
      </c>
      <c r="E66" s="20">
        <v>0.20116899999999999</v>
      </c>
      <c r="F66" s="6">
        <v>0.99804000000000004</v>
      </c>
      <c r="G66" s="34"/>
      <c r="H66" s="10">
        <v>108.423</v>
      </c>
      <c r="I66" s="13">
        <v>8</v>
      </c>
      <c r="J66" s="38">
        <v>63.5535</v>
      </c>
      <c r="K66" s="26">
        <v>106.04</v>
      </c>
      <c r="L66" s="47">
        <v>0</v>
      </c>
      <c r="M66" s="47">
        <f>M65+($M$68-$M$63)/5</f>
        <v>6.0000000000000008E-5</v>
      </c>
      <c r="N66" s="85">
        <f>N65-($N$63-$N$68)/5</f>
        <v>0.59877999999999987</v>
      </c>
      <c r="O66" s="13">
        <v>506</v>
      </c>
    </row>
    <row r="67" spans="1:15">
      <c r="A67" s="13">
        <v>508</v>
      </c>
      <c r="B67" s="31"/>
      <c r="C67" s="18">
        <v>5.1749999999999999E-3</v>
      </c>
      <c r="D67" s="19">
        <v>0.46339399999999997</v>
      </c>
      <c r="E67" s="20">
        <v>0.179225</v>
      </c>
      <c r="F67" s="6">
        <v>0.99731999999999998</v>
      </c>
      <c r="G67" s="34"/>
      <c r="H67" s="10">
        <v>108.11199999999999</v>
      </c>
      <c r="I67" s="13">
        <v>4</v>
      </c>
      <c r="J67" s="38">
        <v>64.803799999999995</v>
      </c>
      <c r="K67" s="26">
        <v>104.17</v>
      </c>
      <c r="L67" s="47">
        <v>0</v>
      </c>
      <c r="M67" s="47">
        <f>M66+($M$68-$M$63)/5</f>
        <v>8.0000000000000007E-5</v>
      </c>
      <c r="N67" s="85">
        <f>N66-($N$63-$N$68)/5</f>
        <v>0.59173999999999982</v>
      </c>
      <c r="O67" s="13">
        <v>508</v>
      </c>
    </row>
    <row r="68" spans="1:15">
      <c r="A68" s="13">
        <v>510</v>
      </c>
      <c r="B68" s="31"/>
      <c r="C68" s="18">
        <v>9.2999999999999992E-3</v>
      </c>
      <c r="D68" s="19">
        <v>0.503</v>
      </c>
      <c r="E68" s="20">
        <v>0.15820000000000001</v>
      </c>
      <c r="F68" s="6">
        <v>0.99660000000000004</v>
      </c>
      <c r="G68" s="34"/>
      <c r="H68" s="10">
        <v>107.80200000000001</v>
      </c>
      <c r="I68" s="13">
        <v>0</v>
      </c>
      <c r="J68" s="38">
        <v>66.063500000000005</v>
      </c>
      <c r="K68" s="26">
        <v>102.3</v>
      </c>
      <c r="L68" s="47">
        <v>0</v>
      </c>
      <c r="M68" s="47">
        <v>1E-4</v>
      </c>
      <c r="N68" s="85">
        <v>0.5847</v>
      </c>
      <c r="O68" s="13">
        <v>510</v>
      </c>
    </row>
    <row r="69" spans="1:15">
      <c r="A69" s="13">
        <v>512</v>
      </c>
      <c r="B69" s="31"/>
      <c r="C69" s="18">
        <v>1.5535999999999999E-2</v>
      </c>
      <c r="D69" s="19">
        <v>0.544512</v>
      </c>
      <c r="E69" s="20">
        <v>0.138376</v>
      </c>
      <c r="F69" s="6">
        <v>0.98795999999999995</v>
      </c>
      <c r="G69" s="34"/>
      <c r="H69" s="10">
        <v>107.199</v>
      </c>
      <c r="I69" s="13">
        <v>0</v>
      </c>
      <c r="J69" s="38">
        <v>67.332400000000007</v>
      </c>
      <c r="K69" s="26">
        <v>100.9</v>
      </c>
      <c r="L69" s="47">
        <v>0</v>
      </c>
      <c r="M69" s="47">
        <f>M68+($M$73-$M$68)/5</f>
        <v>1.3999999999999999E-4</v>
      </c>
      <c r="N69" s="85">
        <f>N68-($N$68-$N$73)/5</f>
        <v>0.57284000000000002</v>
      </c>
      <c r="O69" s="13">
        <v>512</v>
      </c>
    </row>
    <row r="70" spans="1:15">
      <c r="A70" s="13">
        <v>514</v>
      </c>
      <c r="B70" s="31"/>
      <c r="C70" s="18">
        <v>2.3993E-2</v>
      </c>
      <c r="D70" s="19">
        <v>0.58696499999999996</v>
      </c>
      <c r="E70" s="20">
        <v>0.120075</v>
      </c>
      <c r="F70" s="6">
        <v>0.97931999999999997</v>
      </c>
      <c r="G70" s="34"/>
      <c r="H70" s="10">
        <v>106.59699999999999</v>
      </c>
      <c r="I70" s="13">
        <v>0</v>
      </c>
      <c r="J70" s="38">
        <v>68.610200000000006</v>
      </c>
      <c r="K70" s="26">
        <v>99.51</v>
      </c>
      <c r="L70" s="47">
        <v>0</v>
      </c>
      <c r="M70" s="47">
        <f>M69+($M$73-$M$68)/5</f>
        <v>1.7999999999999998E-4</v>
      </c>
      <c r="N70" s="85">
        <f>N69-($N$68-$N$73)/5</f>
        <v>0.56098000000000003</v>
      </c>
      <c r="O70" s="13">
        <v>514</v>
      </c>
    </row>
    <row r="71" spans="1:15">
      <c r="A71" s="13">
        <v>516</v>
      </c>
      <c r="B71" s="31"/>
      <c r="C71" s="18">
        <v>3.4814999999999999E-2</v>
      </c>
      <c r="D71" s="19">
        <v>0.62934599999999996</v>
      </c>
      <c r="E71" s="20">
        <v>0.103905</v>
      </c>
      <c r="F71" s="6">
        <v>0.96704000000000001</v>
      </c>
      <c r="G71" s="34"/>
      <c r="H71" s="10">
        <v>105.995</v>
      </c>
      <c r="I71" s="13">
        <v>0</v>
      </c>
      <c r="J71" s="38">
        <v>69.896900000000002</v>
      </c>
      <c r="K71" s="26">
        <v>98.43</v>
      </c>
      <c r="L71" s="47">
        <v>0</v>
      </c>
      <c r="M71" s="47">
        <f>M70+($M$73-$M$68)/5</f>
        <v>2.1999999999999998E-4</v>
      </c>
      <c r="N71" s="85">
        <f>N70-($N$68-$N$73)/5</f>
        <v>0.54912000000000005</v>
      </c>
      <c r="O71" s="13">
        <v>516</v>
      </c>
    </row>
    <row r="72" spans="1:15">
      <c r="A72" s="13">
        <v>518</v>
      </c>
      <c r="B72" s="31"/>
      <c r="C72" s="18">
        <v>4.7985E-2</v>
      </c>
      <c r="D72" s="19">
        <v>0.670875</v>
      </c>
      <c r="E72" s="20">
        <v>8.9982999999999994E-2</v>
      </c>
      <c r="F72" s="6">
        <v>0.95111999999999997</v>
      </c>
      <c r="G72" s="34"/>
      <c r="H72" s="10">
        <v>105.392</v>
      </c>
      <c r="I72" s="13">
        <v>0</v>
      </c>
      <c r="J72" s="38">
        <v>71.1922</v>
      </c>
      <c r="K72" s="26">
        <v>97.66</v>
      </c>
      <c r="L72" s="47">
        <v>0</v>
      </c>
      <c r="M72" s="47">
        <f>M71+($M$73-$M$68)/5</f>
        <v>2.5999999999999998E-4</v>
      </c>
      <c r="N72" s="85">
        <f>N71-($N$68-$N$73)/5</f>
        <v>0.53726000000000007</v>
      </c>
      <c r="O72" s="13">
        <v>518</v>
      </c>
    </row>
    <row r="73" spans="1:15">
      <c r="A73" s="13">
        <v>520</v>
      </c>
      <c r="B73" s="31"/>
      <c r="C73" s="18">
        <v>6.3270000000000007E-2</v>
      </c>
      <c r="D73" s="19">
        <v>0.71</v>
      </c>
      <c r="E73" s="20">
        <v>7.825E-2</v>
      </c>
      <c r="F73" s="6">
        <v>0.93520000000000003</v>
      </c>
      <c r="G73" s="34"/>
      <c r="H73" s="10">
        <v>104.79</v>
      </c>
      <c r="I73" s="13">
        <v>0</v>
      </c>
      <c r="J73" s="38">
        <v>72.495900000000006</v>
      </c>
      <c r="K73" s="26">
        <v>96.9</v>
      </c>
      <c r="L73" s="47">
        <v>0</v>
      </c>
      <c r="M73" s="47">
        <v>2.9999999999999997E-4</v>
      </c>
      <c r="N73" s="85">
        <v>0.52539999999999998</v>
      </c>
      <c r="O73" s="13">
        <v>520</v>
      </c>
    </row>
    <row r="74" spans="1:15">
      <c r="A74" s="13">
        <v>522</v>
      </c>
      <c r="B74" s="31"/>
      <c r="C74" s="18">
        <v>8.0462000000000006E-2</v>
      </c>
      <c r="D74" s="19">
        <v>0.74546400000000002</v>
      </c>
      <c r="E74" s="20">
        <v>6.8678000000000003E-2</v>
      </c>
      <c r="F74" s="6">
        <v>0.91295999999999999</v>
      </c>
      <c r="G74" s="34"/>
      <c r="H74" s="10">
        <v>105.37</v>
      </c>
      <c r="I74" s="13">
        <v>0</v>
      </c>
      <c r="J74" s="38">
        <v>73.807699999999997</v>
      </c>
      <c r="K74" s="26">
        <v>96.85</v>
      </c>
      <c r="L74" s="47">
        <v>0</v>
      </c>
      <c r="M74" s="47">
        <f>M73+($M$78-$M$73)/5</f>
        <v>2.7599999999999999E-3</v>
      </c>
      <c r="N74" s="85">
        <f>N73-($N$73-$N$78)/5</f>
        <v>0.50995999999999997</v>
      </c>
      <c r="O74" s="13">
        <v>522</v>
      </c>
    </row>
    <row r="75" spans="1:15">
      <c r="A75" s="13">
        <v>524</v>
      </c>
      <c r="B75" s="31"/>
      <c r="C75" s="18">
        <v>9.9456000000000003E-2</v>
      </c>
      <c r="D75" s="19">
        <v>0.777837</v>
      </c>
      <c r="E75" s="20">
        <v>6.0788000000000002E-2</v>
      </c>
      <c r="F75" s="6">
        <v>0.89071999999999996</v>
      </c>
      <c r="G75" s="34"/>
      <c r="H75" s="10">
        <v>105.95</v>
      </c>
      <c r="I75" s="13">
        <v>0</v>
      </c>
      <c r="J75" s="38">
        <v>75.127499999999998</v>
      </c>
      <c r="K75" s="26">
        <v>96.8</v>
      </c>
      <c r="L75" s="47">
        <v>0</v>
      </c>
      <c r="M75" s="47">
        <f>M74+($M$78-$M$73)/5</f>
        <v>5.2199999999999998E-3</v>
      </c>
      <c r="N75" s="85">
        <f>N74-($N$73-$N$78)/5</f>
        <v>0.49451999999999996</v>
      </c>
      <c r="O75" s="13">
        <v>524</v>
      </c>
    </row>
    <row r="76" spans="1:15">
      <c r="A76" s="13">
        <v>526</v>
      </c>
      <c r="B76" s="31"/>
      <c r="C76" s="18">
        <v>0.120167</v>
      </c>
      <c r="D76" s="19">
        <v>0.80810999999999999</v>
      </c>
      <c r="E76" s="20">
        <v>5.3904000000000001E-2</v>
      </c>
      <c r="F76" s="6">
        <v>0.86587999999999998</v>
      </c>
      <c r="G76" s="34"/>
      <c r="H76" s="10">
        <v>106.53</v>
      </c>
      <c r="I76" s="13">
        <v>0</v>
      </c>
      <c r="J76" s="38">
        <v>76.455100000000002</v>
      </c>
      <c r="K76" s="26">
        <v>97.02</v>
      </c>
      <c r="L76" s="47">
        <v>0</v>
      </c>
      <c r="M76" s="47">
        <f>M75+($M$78-$M$73)/5</f>
        <v>7.6799999999999993E-3</v>
      </c>
      <c r="N76" s="85">
        <f>N75-($N$73-$N$78)/5</f>
        <v>0.47907999999999995</v>
      </c>
      <c r="O76" s="13">
        <v>526</v>
      </c>
    </row>
    <row r="77" spans="1:15">
      <c r="A77" s="13">
        <v>528</v>
      </c>
      <c r="B77" s="31"/>
      <c r="C77" s="18">
        <v>0.14236799999999999</v>
      </c>
      <c r="D77" s="19">
        <v>0.83630700000000002</v>
      </c>
      <c r="E77" s="20">
        <v>4.7752999999999997E-2</v>
      </c>
      <c r="F77" s="6">
        <v>0.83843999999999996</v>
      </c>
      <c r="G77" s="34"/>
      <c r="H77" s="10">
        <v>107.11</v>
      </c>
      <c r="I77" s="13">
        <v>0</v>
      </c>
      <c r="J77" s="38">
        <v>77.790199999999999</v>
      </c>
      <c r="K77" s="26">
        <v>97.51</v>
      </c>
      <c r="L77" s="47">
        <v>0</v>
      </c>
      <c r="M77" s="47">
        <f>M76+($M$78-$M$73)/5</f>
        <v>1.014E-2</v>
      </c>
      <c r="N77" s="85">
        <f>N76-($N$73-$N$78)/5</f>
        <v>0.46363999999999994</v>
      </c>
      <c r="O77" s="13">
        <v>528</v>
      </c>
    </row>
    <row r="78" spans="1:15">
      <c r="A78" s="13">
        <v>530</v>
      </c>
      <c r="B78" s="31"/>
      <c r="C78" s="18">
        <v>0.16550000000000001</v>
      </c>
      <c r="D78" s="19">
        <v>0.86199999999999999</v>
      </c>
      <c r="E78" s="20">
        <v>4.2160000000000003E-2</v>
      </c>
      <c r="F78" s="6">
        <v>0.81100000000000005</v>
      </c>
      <c r="G78" s="34"/>
      <c r="H78" s="10">
        <v>107.68899999999999</v>
      </c>
      <c r="I78" s="13">
        <v>0</v>
      </c>
      <c r="J78" s="38">
        <v>79.132599999999996</v>
      </c>
      <c r="K78" s="26">
        <v>98</v>
      </c>
      <c r="L78" s="47">
        <v>0</v>
      </c>
      <c r="M78" s="47">
        <v>1.26E-2</v>
      </c>
      <c r="N78" s="85">
        <v>0.44819999999999999</v>
      </c>
      <c r="O78" s="13">
        <v>530</v>
      </c>
    </row>
    <row r="79" spans="1:15">
      <c r="A79" s="13">
        <v>532</v>
      </c>
      <c r="B79" s="31"/>
      <c r="C79" s="18">
        <v>0.18914</v>
      </c>
      <c r="D79" s="19">
        <v>0.88496200000000003</v>
      </c>
      <c r="E79" s="20">
        <v>3.6935999999999997E-2</v>
      </c>
      <c r="F79" s="6">
        <v>0.77988000000000002</v>
      </c>
      <c r="G79" s="34"/>
      <c r="H79" s="10">
        <v>107.033</v>
      </c>
      <c r="I79" s="13">
        <v>0</v>
      </c>
      <c r="J79" s="38">
        <v>80.482100000000003</v>
      </c>
      <c r="K79" s="26">
        <v>98.78</v>
      </c>
      <c r="L79" s="47">
        <v>0</v>
      </c>
      <c r="M79" s="47">
        <f>M78+($M$83-$M$78)/5</f>
        <v>6.7879999999999996E-2</v>
      </c>
      <c r="N79" s="85">
        <f>N78-($N$78-$N$83)/5</f>
        <v>0.43128</v>
      </c>
      <c r="O79" s="13">
        <v>532</v>
      </c>
    </row>
    <row r="80" spans="1:15">
      <c r="A80" s="13">
        <v>534</v>
      </c>
      <c r="B80" s="31"/>
      <c r="C80" s="18">
        <v>0.213366</v>
      </c>
      <c r="D80" s="19">
        <v>0.905443</v>
      </c>
      <c r="E80" s="20">
        <v>3.2088999999999999E-2</v>
      </c>
      <c r="F80" s="6">
        <v>0.74875999999999998</v>
      </c>
      <c r="G80" s="34"/>
      <c r="H80" s="10">
        <v>106.376</v>
      </c>
      <c r="I80" s="13">
        <v>0</v>
      </c>
      <c r="J80" s="38">
        <v>81.8386</v>
      </c>
      <c r="K80" s="26">
        <v>99.55</v>
      </c>
      <c r="L80" s="47">
        <v>0</v>
      </c>
      <c r="M80" s="47">
        <f>M79+($M$83-$M$78)/5</f>
        <v>0.12315999999999999</v>
      </c>
      <c r="N80" s="85">
        <f>N79-($N$78-$N$83)/5</f>
        <v>0.41436000000000001</v>
      </c>
      <c r="O80" s="13">
        <v>534</v>
      </c>
    </row>
    <row r="81" spans="1:15">
      <c r="A81" s="13">
        <v>536</v>
      </c>
      <c r="B81" s="31"/>
      <c r="C81" s="18">
        <v>0.23832100000000001</v>
      </c>
      <c r="D81" s="19">
        <v>0.92373499999999997</v>
      </c>
      <c r="E81" s="20">
        <v>2.7712000000000001E-2</v>
      </c>
      <c r="F81" s="6">
        <v>0.71650000000000003</v>
      </c>
      <c r="G81" s="34"/>
      <c r="H81" s="10">
        <v>105.71899999999999</v>
      </c>
      <c r="I81" s="13">
        <v>16</v>
      </c>
      <c r="J81" s="38">
        <v>83.201700000000002</v>
      </c>
      <c r="K81" s="26">
        <v>100.37</v>
      </c>
      <c r="L81" s="47">
        <v>0</v>
      </c>
      <c r="M81" s="47">
        <f>M80+($M$83-$M$78)/5</f>
        <v>0.17843999999999999</v>
      </c>
      <c r="N81" s="85">
        <f>N80-($N$78-$N$83)/5</f>
        <v>0.39744000000000002</v>
      </c>
      <c r="O81" s="13">
        <v>536</v>
      </c>
    </row>
    <row r="82" spans="1:15">
      <c r="A82" s="13">
        <v>538</v>
      </c>
      <c r="B82" s="31"/>
      <c r="C82" s="18">
        <v>0.263992</v>
      </c>
      <c r="D82" s="19">
        <v>0.93992299999999995</v>
      </c>
      <c r="E82" s="20">
        <v>2.3786999999999999E-2</v>
      </c>
      <c r="F82" s="6">
        <v>0.68310000000000004</v>
      </c>
      <c r="G82" s="34"/>
      <c r="H82" s="10">
        <v>105.062</v>
      </c>
      <c r="I82" s="13">
        <v>48</v>
      </c>
      <c r="J82" s="38">
        <v>84.571200000000005</v>
      </c>
      <c r="K82" s="26">
        <v>101.24</v>
      </c>
      <c r="L82" s="47">
        <v>0</v>
      </c>
      <c r="M82" s="47">
        <f>M81+($M$83-$M$78)/5</f>
        <v>0.23371999999999998</v>
      </c>
      <c r="N82" s="85">
        <f>N81-($N$78-$N$83)/5</f>
        <v>0.38052000000000002</v>
      </c>
      <c r="O82" s="13">
        <v>538</v>
      </c>
    </row>
    <row r="83" spans="1:15">
      <c r="A83" s="13">
        <v>540</v>
      </c>
      <c r="B83" s="31"/>
      <c r="C83" s="18">
        <v>0.29039999999999999</v>
      </c>
      <c r="D83" s="19">
        <v>0.95399999999999996</v>
      </c>
      <c r="E83" s="20">
        <v>2.0299999999999999E-2</v>
      </c>
      <c r="F83" s="6">
        <v>0.64970000000000006</v>
      </c>
      <c r="G83" s="34"/>
      <c r="H83" s="10">
        <v>104.405</v>
      </c>
      <c r="I83" s="13">
        <v>50</v>
      </c>
      <c r="J83" s="38">
        <v>85.947000000000003</v>
      </c>
      <c r="K83" s="26">
        <v>102.1</v>
      </c>
      <c r="L83" s="47">
        <v>0</v>
      </c>
      <c r="M83" s="47">
        <v>0.28899999999999998</v>
      </c>
      <c r="N83" s="85">
        <v>0.36359999999999998</v>
      </c>
      <c r="O83" s="13">
        <v>540</v>
      </c>
    </row>
    <row r="84" spans="1:15">
      <c r="A84" s="13">
        <v>542</v>
      </c>
      <c r="B84" s="31"/>
      <c r="C84" s="18">
        <v>0.31757299999999999</v>
      </c>
      <c r="D84" s="19">
        <v>0.96600699999999995</v>
      </c>
      <c r="E84" s="20">
        <v>1.7239999999999998E-2</v>
      </c>
      <c r="F84" s="6">
        <v>0.61558000000000002</v>
      </c>
      <c r="G84" s="34"/>
      <c r="H84" s="10">
        <v>104.334</v>
      </c>
      <c r="I84" s="13">
        <v>198</v>
      </c>
      <c r="J84" s="38">
        <v>87.328800000000001</v>
      </c>
      <c r="K84" s="26">
        <v>102.84</v>
      </c>
      <c r="L84" s="47">
        <v>0</v>
      </c>
      <c r="M84" s="47">
        <f>M83+($M$88-$M$83)/5</f>
        <v>0.36199999999999999</v>
      </c>
      <c r="N84" s="85">
        <f>N83-($N$83-$N$88)/5</f>
        <v>0.34681999999999996</v>
      </c>
      <c r="O84" s="13">
        <v>542</v>
      </c>
    </row>
    <row r="85" spans="1:15">
      <c r="A85" s="13">
        <v>544</v>
      </c>
      <c r="B85" s="31"/>
      <c r="C85" s="18">
        <v>0.34548299999999998</v>
      </c>
      <c r="D85" s="19">
        <v>0.97602299999999997</v>
      </c>
      <c r="E85" s="20">
        <v>1.4585000000000001E-2</v>
      </c>
      <c r="F85" s="6">
        <v>0.58145999999999998</v>
      </c>
      <c r="G85" s="34"/>
      <c r="H85" s="10">
        <v>104.262</v>
      </c>
      <c r="I85" s="13">
        <v>434</v>
      </c>
      <c r="J85" s="38">
        <v>88.716499999999996</v>
      </c>
      <c r="K85" s="26">
        <v>103.58</v>
      </c>
      <c r="L85" s="47">
        <v>0</v>
      </c>
      <c r="M85" s="47">
        <f>M84+($M$88-$M$83)/5</f>
        <v>0.435</v>
      </c>
      <c r="N85" s="85">
        <f>N84-($N$83-$N$88)/5</f>
        <v>0.33003999999999994</v>
      </c>
      <c r="O85" s="13">
        <v>544</v>
      </c>
    </row>
    <row r="86" spans="1:15">
      <c r="A86" s="13">
        <v>546</v>
      </c>
      <c r="B86" s="31"/>
      <c r="C86" s="18">
        <v>0.37408400000000003</v>
      </c>
      <c r="D86" s="19">
        <v>0.98409199999999997</v>
      </c>
      <c r="E86" s="20">
        <v>1.2307E-2</v>
      </c>
      <c r="F86" s="6">
        <v>0.54767999999999994</v>
      </c>
      <c r="G86" s="34"/>
      <c r="H86" s="10">
        <v>104.19</v>
      </c>
      <c r="I86" s="13">
        <v>669</v>
      </c>
      <c r="J86" s="38">
        <v>90.109700000000004</v>
      </c>
      <c r="K86" s="26">
        <v>104.2</v>
      </c>
      <c r="L86" s="47">
        <v>0</v>
      </c>
      <c r="M86" s="47">
        <f>M85+($M$88-$M$83)/5</f>
        <v>0.50800000000000001</v>
      </c>
      <c r="N86" s="85">
        <f>N85-($N$83-$N$88)/5</f>
        <v>0.31325999999999993</v>
      </c>
      <c r="O86" s="13">
        <v>546</v>
      </c>
    </row>
    <row r="87" spans="1:15">
      <c r="A87" s="13">
        <v>548</v>
      </c>
      <c r="B87" s="31"/>
      <c r="C87" s="18">
        <v>0.40337800000000001</v>
      </c>
      <c r="D87" s="19">
        <v>0.990313</v>
      </c>
      <c r="E87" s="20">
        <v>1.0378E-2</v>
      </c>
      <c r="F87" s="6">
        <v>0.51424000000000003</v>
      </c>
      <c r="G87" s="34"/>
      <c r="H87" s="10">
        <v>104.11799999999999</v>
      </c>
      <c r="I87" s="13">
        <v>974</v>
      </c>
      <c r="J87" s="38">
        <v>91.508200000000002</v>
      </c>
      <c r="K87" s="26">
        <v>104.7</v>
      </c>
      <c r="L87" s="47">
        <v>0</v>
      </c>
      <c r="M87" s="47">
        <f>M86+($M$88-$M$83)/5</f>
        <v>0.58099999999999996</v>
      </c>
      <c r="N87" s="85">
        <f>N86-($N$83-$N$88)/5</f>
        <v>0.29647999999999991</v>
      </c>
      <c r="O87" s="13">
        <v>548</v>
      </c>
    </row>
    <row r="88" spans="1:15">
      <c r="A88" s="13">
        <v>550</v>
      </c>
      <c r="B88" s="31"/>
      <c r="C88" s="18">
        <v>0.43345</v>
      </c>
      <c r="D88" s="19">
        <v>0.99495</v>
      </c>
      <c r="E88" s="20">
        <v>8.7500000000000008E-3</v>
      </c>
      <c r="F88" s="6">
        <v>0.48080000000000001</v>
      </c>
      <c r="G88" s="34"/>
      <c r="H88" s="10">
        <v>104.04600000000001</v>
      </c>
      <c r="I88" s="13">
        <v>593</v>
      </c>
      <c r="J88" s="38">
        <v>92.912000000000006</v>
      </c>
      <c r="K88" s="26">
        <v>105.2</v>
      </c>
      <c r="L88" s="47">
        <v>0</v>
      </c>
      <c r="M88" s="47">
        <v>0.65400000000000003</v>
      </c>
      <c r="N88" s="85">
        <v>0.2797</v>
      </c>
      <c r="O88" s="13">
        <v>550</v>
      </c>
    </row>
    <row r="89" spans="1:15">
      <c r="A89" s="13">
        <v>552</v>
      </c>
      <c r="B89" s="31"/>
      <c r="C89" s="18">
        <v>0.46433600000000003</v>
      </c>
      <c r="D89" s="19">
        <v>0.99809800000000004</v>
      </c>
      <c r="E89" s="20">
        <v>7.3819999999999997E-3</v>
      </c>
      <c r="F89" s="6">
        <v>0.44907999999999998</v>
      </c>
      <c r="G89" s="34"/>
      <c r="H89" s="10">
        <v>103.23699999999999</v>
      </c>
      <c r="I89" s="13">
        <v>463</v>
      </c>
      <c r="J89" s="38">
        <v>94.320599999999999</v>
      </c>
      <c r="K89" s="26">
        <v>105.39</v>
      </c>
      <c r="L89" s="47">
        <v>0</v>
      </c>
      <c r="M89" s="47">
        <f>M88+($M$93-$M$88)/5</f>
        <v>0.68</v>
      </c>
      <c r="N89" s="85">
        <f>N88-($N$88-$N$93)/5</f>
        <v>0.26447999999999999</v>
      </c>
      <c r="O89" s="13">
        <v>552</v>
      </c>
    </row>
    <row r="90" spans="1:15">
      <c r="A90" s="13">
        <v>554</v>
      </c>
      <c r="B90" s="31"/>
      <c r="C90" s="18">
        <v>0.495971</v>
      </c>
      <c r="D90" s="19">
        <v>0.99974799999999997</v>
      </c>
      <c r="E90" s="20">
        <v>6.2430000000000003E-3</v>
      </c>
      <c r="F90" s="6">
        <v>0.41736000000000001</v>
      </c>
      <c r="G90" s="34"/>
      <c r="H90" s="10">
        <v>102.428</v>
      </c>
      <c r="I90" s="13">
        <v>238</v>
      </c>
      <c r="J90" s="38">
        <v>95.733900000000006</v>
      </c>
      <c r="K90" s="26">
        <v>105.58</v>
      </c>
      <c r="L90" s="47">
        <v>0</v>
      </c>
      <c r="M90" s="47">
        <f>M89+($M$93-$M$88)/5</f>
        <v>0.70600000000000007</v>
      </c>
      <c r="N90" s="85">
        <f>N89-($N$88-$N$93)/5</f>
        <v>0.24925999999999998</v>
      </c>
      <c r="O90" s="13">
        <v>554</v>
      </c>
    </row>
    <row r="91" spans="1:15">
      <c r="A91" s="13">
        <v>556</v>
      </c>
      <c r="B91" s="31"/>
      <c r="C91" s="18">
        <v>0.52829599999999999</v>
      </c>
      <c r="D91" s="19">
        <v>0.999857</v>
      </c>
      <c r="E91" s="20">
        <v>5.3039999999999997E-3</v>
      </c>
      <c r="F91" s="6">
        <v>0.38696000000000003</v>
      </c>
      <c r="G91" s="34"/>
      <c r="H91" s="10">
        <v>101.61799999999999</v>
      </c>
      <c r="I91" s="13">
        <v>137</v>
      </c>
      <c r="J91" s="38">
        <v>97.151799999999994</v>
      </c>
      <c r="K91" s="26">
        <v>105.6</v>
      </c>
      <c r="L91" s="47">
        <v>0</v>
      </c>
      <c r="M91" s="47">
        <f>M90+($M$93-$M$88)/5</f>
        <v>0.7320000000000001</v>
      </c>
      <c r="N91" s="85">
        <f>N90-($N$88-$N$93)/5</f>
        <v>0.23403999999999997</v>
      </c>
      <c r="O91" s="13">
        <v>556</v>
      </c>
    </row>
    <row r="92" spans="1:15">
      <c r="A92" s="13">
        <v>558</v>
      </c>
      <c r="B92" s="31"/>
      <c r="C92" s="18">
        <v>0.56120899999999996</v>
      </c>
      <c r="D92" s="19">
        <v>0.99832600000000005</v>
      </c>
      <c r="E92" s="20">
        <v>4.5339999999999998E-3</v>
      </c>
      <c r="F92" s="6">
        <v>0.35787999999999998</v>
      </c>
      <c r="G92" s="34"/>
      <c r="H92" s="10">
        <v>100.809</v>
      </c>
      <c r="I92" s="13">
        <v>36</v>
      </c>
      <c r="J92" s="38">
        <v>98.573899999999995</v>
      </c>
      <c r="K92" s="26">
        <v>105.45</v>
      </c>
      <c r="L92" s="47">
        <v>0</v>
      </c>
      <c r="M92" s="47">
        <f>M91+($M$93-$M$88)/5</f>
        <v>0.75800000000000012</v>
      </c>
      <c r="N92" s="85">
        <f>N91-($N$88-$N$93)/5</f>
        <v>0.21881999999999996</v>
      </c>
      <c r="O92" s="13">
        <v>558</v>
      </c>
    </row>
    <row r="93" spans="1:15">
      <c r="A93" s="13">
        <v>560</v>
      </c>
      <c r="B93" s="31"/>
      <c r="C93" s="18">
        <v>0.59450000000000003</v>
      </c>
      <c r="D93" s="19">
        <v>0.995</v>
      </c>
      <c r="E93" s="20">
        <v>3.8999999999999998E-3</v>
      </c>
      <c r="F93" s="6">
        <v>0.32879999999999998</v>
      </c>
      <c r="G93" s="34"/>
      <c r="H93" s="10">
        <v>100</v>
      </c>
      <c r="I93" s="13">
        <v>23</v>
      </c>
      <c r="J93" s="38">
        <v>100</v>
      </c>
      <c r="K93" s="26">
        <v>105.3</v>
      </c>
      <c r="L93" s="47">
        <v>0</v>
      </c>
      <c r="M93" s="47">
        <v>0.78400000000000003</v>
      </c>
      <c r="N93" s="85">
        <v>0.2036</v>
      </c>
      <c r="O93" s="13">
        <v>560</v>
      </c>
    </row>
    <row r="94" spans="1:15">
      <c r="A94" s="13">
        <v>562</v>
      </c>
      <c r="B94" s="31"/>
      <c r="C94" s="18">
        <v>0.62797599999999998</v>
      </c>
      <c r="D94" s="19">
        <v>0.98974300000000004</v>
      </c>
      <c r="E94" s="20">
        <v>3.3700000000000002E-3</v>
      </c>
      <c r="F94" s="6">
        <v>0.30284</v>
      </c>
      <c r="G94" s="34"/>
      <c r="H94" s="10">
        <v>99.266800000000003</v>
      </c>
      <c r="I94" s="13">
        <v>17</v>
      </c>
      <c r="J94" s="38">
        <v>101.43</v>
      </c>
      <c r="K94" s="26">
        <v>104.82</v>
      </c>
      <c r="L94" s="47">
        <v>0</v>
      </c>
      <c r="M94" s="47">
        <f>M93+($M$98-$M$93)/5</f>
        <v>0.79239999999999999</v>
      </c>
      <c r="N94" s="85">
        <f>N93-($N$93-$N$98)/5</f>
        <v>0.19109999999999999</v>
      </c>
      <c r="O94" s="13">
        <v>562</v>
      </c>
    </row>
    <row r="95" spans="1:15">
      <c r="A95" s="13">
        <v>564</v>
      </c>
      <c r="B95" s="31"/>
      <c r="C95" s="18">
        <v>0.66156999999999999</v>
      </c>
      <c r="D95" s="19">
        <v>0.98272400000000004</v>
      </c>
      <c r="E95" s="20">
        <v>2.9350000000000001E-3</v>
      </c>
      <c r="F95" s="6">
        <v>0.27688000000000001</v>
      </c>
      <c r="G95" s="34"/>
      <c r="H95" s="10">
        <v>98.533699999999996</v>
      </c>
      <c r="I95" s="13">
        <v>12</v>
      </c>
      <c r="J95" s="38">
        <v>102.864</v>
      </c>
      <c r="K95" s="26">
        <v>104.35</v>
      </c>
      <c r="L95" s="47">
        <v>0</v>
      </c>
      <c r="M95" s="47">
        <f>M94+($M$98-$M$93)/5</f>
        <v>0.80079999999999996</v>
      </c>
      <c r="N95" s="85">
        <f>N94-($N$93-$N$98)/5</f>
        <v>0.17859999999999998</v>
      </c>
      <c r="O95" s="13">
        <v>564</v>
      </c>
    </row>
    <row r="96" spans="1:15">
      <c r="A96" s="13">
        <v>566</v>
      </c>
      <c r="B96" s="31"/>
      <c r="C96" s="18">
        <v>0.69523900000000005</v>
      </c>
      <c r="D96" s="19">
        <v>0.97860000000000003</v>
      </c>
      <c r="E96" s="20">
        <v>2.5850000000000001E-3</v>
      </c>
      <c r="F96" s="6">
        <v>0.25263999999999998</v>
      </c>
      <c r="G96" s="34"/>
      <c r="H96" s="10">
        <v>97.8005</v>
      </c>
      <c r="I96" s="13">
        <v>7</v>
      </c>
      <c r="J96" s="38">
        <v>104.301</v>
      </c>
      <c r="K96" s="26">
        <v>103.75</v>
      </c>
      <c r="L96" s="47">
        <v>0</v>
      </c>
      <c r="M96" s="47">
        <f>M95+($M$98-$M$93)/5</f>
        <v>0.80919999999999992</v>
      </c>
      <c r="N96" s="85">
        <f>N95-($N$93-$N$98)/5</f>
        <v>0.16609999999999997</v>
      </c>
      <c r="O96" s="13">
        <v>566</v>
      </c>
    </row>
    <row r="97" spans="1:15">
      <c r="A97" s="13">
        <v>568</v>
      </c>
      <c r="B97" s="31"/>
      <c r="C97" s="18">
        <v>0.72882800000000003</v>
      </c>
      <c r="D97" s="19">
        <v>0.969171</v>
      </c>
      <c r="E97" s="21">
        <v>2.3089999999999999E-3</v>
      </c>
      <c r="F97" s="7">
        <v>0.23011999999999999</v>
      </c>
      <c r="G97" s="35"/>
      <c r="H97" s="10">
        <v>97.067400000000006</v>
      </c>
      <c r="I97" s="13">
        <v>4</v>
      </c>
      <c r="J97" s="38">
        <v>105.741</v>
      </c>
      <c r="K97" s="26">
        <v>103.02</v>
      </c>
      <c r="L97" s="47">
        <v>0</v>
      </c>
      <c r="M97" s="47">
        <f>M96+($M$98-$M$93)/5</f>
        <v>0.81759999999999988</v>
      </c>
      <c r="N97" s="85">
        <f>N96-($N$93-$N$98)/5</f>
        <v>0.15359999999999996</v>
      </c>
      <c r="O97" s="13">
        <v>568</v>
      </c>
    </row>
    <row r="98" spans="1:15">
      <c r="A98" s="13">
        <v>570</v>
      </c>
      <c r="B98" s="31"/>
      <c r="C98" s="18">
        <v>0.7621</v>
      </c>
      <c r="D98" s="19">
        <v>0.95199999999999996</v>
      </c>
      <c r="E98" s="21">
        <v>2.0999999999999999E-3</v>
      </c>
      <c r="F98" s="7">
        <v>0.20760000000000001</v>
      </c>
      <c r="G98" s="35"/>
      <c r="H98" s="10">
        <v>96.334199999999996</v>
      </c>
      <c r="I98" s="13">
        <v>0</v>
      </c>
      <c r="J98" s="38">
        <v>107.184</v>
      </c>
      <c r="K98" s="27">
        <v>102.3</v>
      </c>
      <c r="L98" s="47">
        <v>0</v>
      </c>
      <c r="M98" s="47">
        <v>0.82599999999999996</v>
      </c>
      <c r="N98" s="85">
        <v>0.1411</v>
      </c>
      <c r="O98" s="13">
        <v>570</v>
      </c>
    </row>
    <row r="99" spans="1:15">
      <c r="A99" s="13">
        <v>572</v>
      </c>
      <c r="B99" s="31"/>
      <c r="C99" s="18">
        <v>0.79482600000000003</v>
      </c>
      <c r="D99" s="19">
        <v>0.93849899999999997</v>
      </c>
      <c r="E99" s="20">
        <v>1.9480000000000001E-3</v>
      </c>
      <c r="F99" s="6">
        <v>0.18864</v>
      </c>
      <c r="G99" s="34"/>
      <c r="H99" s="10">
        <v>96.224999999999994</v>
      </c>
      <c r="I99" s="13">
        <v>0</v>
      </c>
      <c r="J99" s="38">
        <v>108.63</v>
      </c>
      <c r="K99" s="27">
        <v>101.4</v>
      </c>
      <c r="L99" s="47">
        <v>0</v>
      </c>
      <c r="M99" s="47">
        <f>M98+($M$103-$M$98)/5</f>
        <v>0.8296</v>
      </c>
      <c r="N99" s="85">
        <f>N98-($N$98-$N$103)/5</f>
        <v>0.13166</v>
      </c>
      <c r="O99" s="13">
        <v>572</v>
      </c>
    </row>
    <row r="100" spans="1:15">
      <c r="A100" s="13">
        <v>574</v>
      </c>
      <c r="B100" s="31"/>
      <c r="C100" s="18">
        <v>0.82684999999999997</v>
      </c>
      <c r="D100" s="19">
        <v>0.923458</v>
      </c>
      <c r="E100" s="20">
        <v>1.841E-3</v>
      </c>
      <c r="F100" s="6">
        <v>0.16968</v>
      </c>
      <c r="G100" s="34"/>
      <c r="H100" s="10">
        <v>96.115700000000004</v>
      </c>
      <c r="I100" s="13">
        <v>0</v>
      </c>
      <c r="J100" s="38">
        <v>110.078</v>
      </c>
      <c r="K100" s="27">
        <v>100.5</v>
      </c>
      <c r="L100" s="47">
        <v>0</v>
      </c>
      <c r="M100" s="47">
        <f>M99+($M$103-$M$98)/5</f>
        <v>0.83320000000000005</v>
      </c>
      <c r="N100" s="85">
        <f>N99-($N$98-$N$103)/5</f>
        <v>0.12222</v>
      </c>
      <c r="O100" s="13">
        <v>574</v>
      </c>
    </row>
    <row r="101" spans="1:15">
      <c r="A101" s="13">
        <v>576</v>
      </c>
      <c r="B101" s="31"/>
      <c r="C101" s="18">
        <v>0.85793299999999995</v>
      </c>
      <c r="D101" s="19">
        <v>0.90700599999999998</v>
      </c>
      <c r="E101" s="20">
        <v>1.766E-3</v>
      </c>
      <c r="F101" s="6">
        <v>0.15240000000000001</v>
      </c>
      <c r="G101" s="34"/>
      <c r="H101" s="10">
        <v>96.006500000000003</v>
      </c>
      <c r="I101" s="13">
        <v>2</v>
      </c>
      <c r="J101" s="38">
        <v>111.529</v>
      </c>
      <c r="K101" s="27">
        <v>99.6</v>
      </c>
      <c r="L101" s="47">
        <v>0</v>
      </c>
      <c r="M101" s="47">
        <f>M100+($M$103-$M$98)/5</f>
        <v>0.8368000000000001</v>
      </c>
      <c r="N101" s="85">
        <f>N100-($N$98-$N$103)/5</f>
        <v>0.11277999999999999</v>
      </c>
      <c r="O101" s="13">
        <v>576</v>
      </c>
    </row>
    <row r="102" spans="1:15">
      <c r="A102" s="13">
        <v>578</v>
      </c>
      <c r="B102" s="31"/>
      <c r="C102" s="18">
        <v>0.88789399999999996</v>
      </c>
      <c r="D102" s="19">
        <v>0.88920500000000002</v>
      </c>
      <c r="E102" s="20">
        <v>1.7110000000000001E-3</v>
      </c>
      <c r="F102" s="6">
        <v>0.1368</v>
      </c>
      <c r="G102" s="34"/>
      <c r="H102" s="10">
        <v>95.897199999999998</v>
      </c>
      <c r="I102" s="13">
        <v>7</v>
      </c>
      <c r="J102" s="38">
        <v>112.982</v>
      </c>
      <c r="K102" s="27">
        <v>98.7</v>
      </c>
      <c r="L102" s="47">
        <v>0</v>
      </c>
      <c r="M102" s="47">
        <f>M101+($M$103-$M$98)/5</f>
        <v>0.84040000000000015</v>
      </c>
      <c r="N102" s="85">
        <f>N101-($N$98-$N$103)/5</f>
        <v>0.10333999999999999</v>
      </c>
      <c r="O102" s="13">
        <v>578</v>
      </c>
    </row>
    <row r="103" spans="1:15">
      <c r="A103" s="13">
        <v>580</v>
      </c>
      <c r="B103" s="31"/>
      <c r="C103" s="18">
        <v>0.9163</v>
      </c>
      <c r="D103" s="19">
        <v>0.87</v>
      </c>
      <c r="E103" s="20">
        <v>1.65E-3</v>
      </c>
      <c r="F103" s="6">
        <v>0.1212</v>
      </c>
      <c r="G103" s="34"/>
      <c r="H103" s="10">
        <v>95.787999999999997</v>
      </c>
      <c r="I103" s="13">
        <v>12</v>
      </c>
      <c r="J103" s="38">
        <v>114.43600000000001</v>
      </c>
      <c r="K103" s="27">
        <v>97.8</v>
      </c>
      <c r="L103" s="47">
        <v>0</v>
      </c>
      <c r="M103" s="47">
        <v>0.84399999999999997</v>
      </c>
      <c r="N103" s="85">
        <v>9.3899999999999997E-2</v>
      </c>
      <c r="O103" s="13">
        <v>580</v>
      </c>
    </row>
    <row r="104" spans="1:15">
      <c r="A104" s="13">
        <v>582</v>
      </c>
      <c r="B104" s="31"/>
      <c r="C104" s="18">
        <v>0.94279800000000002</v>
      </c>
      <c r="D104" s="19">
        <v>0.84939200000000004</v>
      </c>
      <c r="E104" s="20">
        <v>1.5640000000000001E-3</v>
      </c>
      <c r="F104" s="6">
        <v>0.10868</v>
      </c>
      <c r="G104" s="34"/>
      <c r="H104" s="10">
        <v>94.367500000000007</v>
      </c>
      <c r="I104" s="13">
        <v>28</v>
      </c>
      <c r="J104" s="38">
        <v>115.893</v>
      </c>
      <c r="K104" s="27">
        <v>96.85</v>
      </c>
      <c r="L104" s="47">
        <v>0</v>
      </c>
      <c r="M104" s="47">
        <f>M103+($M$108-$M$103)/5</f>
        <v>0.84660000000000002</v>
      </c>
      <c r="N104" s="85">
        <f>N103-($N$103-$N$108)/5</f>
        <v>8.7120000000000003E-2</v>
      </c>
      <c r="O104" s="13">
        <v>582</v>
      </c>
    </row>
    <row r="105" spans="1:15">
      <c r="A105" s="13">
        <v>584</v>
      </c>
      <c r="B105" s="31"/>
      <c r="C105" s="18">
        <v>0.96721800000000002</v>
      </c>
      <c r="D105" s="19">
        <v>0.82758100000000001</v>
      </c>
      <c r="E105" s="20">
        <v>1.459E-3</v>
      </c>
      <c r="F105" s="6">
        <v>9.6159999999999995E-2</v>
      </c>
      <c r="G105" s="34"/>
      <c r="H105" s="10">
        <v>92.947000000000003</v>
      </c>
      <c r="I105" s="13">
        <v>61</v>
      </c>
      <c r="J105" s="38">
        <v>117.351</v>
      </c>
      <c r="K105" s="27">
        <v>95.9</v>
      </c>
      <c r="L105" s="47">
        <v>0</v>
      </c>
      <c r="M105" s="47">
        <f>M104+($M$108-$M$103)/5</f>
        <v>0.84920000000000007</v>
      </c>
      <c r="N105" s="85">
        <f>N104-($N$103-$N$108)/5</f>
        <v>8.0340000000000009E-2</v>
      </c>
      <c r="O105" s="13">
        <v>584</v>
      </c>
    </row>
    <row r="106" spans="1:15">
      <c r="A106" s="13">
        <v>586</v>
      </c>
      <c r="B106" s="31"/>
      <c r="C106" s="18">
        <v>0.98938599999999999</v>
      </c>
      <c r="D106" s="19">
        <v>0.80479500000000004</v>
      </c>
      <c r="E106" s="20">
        <v>1.3370000000000001E-3</v>
      </c>
      <c r="F106" s="6">
        <v>8.5019999999999998E-2</v>
      </c>
      <c r="G106" s="34"/>
      <c r="H106" s="10">
        <v>91.526600000000002</v>
      </c>
      <c r="I106" s="13">
        <v>104</v>
      </c>
      <c r="J106" s="38">
        <v>118.81</v>
      </c>
      <c r="K106" s="27">
        <v>94.98</v>
      </c>
      <c r="L106" s="47">
        <v>0</v>
      </c>
      <c r="M106" s="47">
        <f>M105+($M$108-$M$103)/5</f>
        <v>0.85180000000000011</v>
      </c>
      <c r="N106" s="85">
        <f>N105-($N$103-$N$108)/5</f>
        <v>7.3560000000000014E-2</v>
      </c>
      <c r="O106" s="13">
        <v>586</v>
      </c>
    </row>
    <row r="107" spans="1:15">
      <c r="A107" s="13">
        <v>588</v>
      </c>
      <c r="B107" s="31"/>
      <c r="C107" s="18">
        <v>1.0090889999999999</v>
      </c>
      <c r="D107" s="19">
        <v>0.781192</v>
      </c>
      <c r="E107" s="20">
        <v>1.2049999999999999E-3</v>
      </c>
      <c r="F107" s="6">
        <v>7.5259999999999994E-2</v>
      </c>
      <c r="G107" s="34"/>
      <c r="H107" s="10">
        <v>90.016099999999994</v>
      </c>
      <c r="I107" s="13">
        <v>160</v>
      </c>
      <c r="J107" s="38">
        <v>120.27</v>
      </c>
      <c r="K107" s="27">
        <v>94.09</v>
      </c>
      <c r="L107" s="47">
        <v>0</v>
      </c>
      <c r="M107" s="47">
        <f>M106+($M$108-$M$103)/5</f>
        <v>0.85440000000000016</v>
      </c>
      <c r="N107" s="85">
        <f>N106-($N$103-$N$108)/5</f>
        <v>6.678000000000002E-2</v>
      </c>
      <c r="O107" s="13">
        <v>588</v>
      </c>
    </row>
    <row r="108" spans="1:15">
      <c r="A108" s="13">
        <v>590</v>
      </c>
      <c r="B108" s="31"/>
      <c r="C108" s="18">
        <v>1.0263</v>
      </c>
      <c r="D108" s="19">
        <v>0.75700000000000001</v>
      </c>
      <c r="E108" s="20">
        <v>1.1000000000000001E-3</v>
      </c>
      <c r="F108" s="6">
        <v>6.5500000000000003E-2</v>
      </c>
      <c r="G108" s="34"/>
      <c r="H108" s="10">
        <v>88.685599999999994</v>
      </c>
      <c r="I108" s="13">
        <v>199</v>
      </c>
      <c r="J108" s="38">
        <v>121.73099999999999</v>
      </c>
      <c r="K108" s="27">
        <v>93.2</v>
      </c>
      <c r="L108" s="47">
        <v>0</v>
      </c>
      <c r="M108" s="47">
        <v>0.85699999999999998</v>
      </c>
      <c r="N108" s="85">
        <v>0.06</v>
      </c>
      <c r="O108" s="13">
        <v>590</v>
      </c>
    </row>
    <row r="109" spans="1:15">
      <c r="A109" s="13">
        <v>592</v>
      </c>
      <c r="B109" s="31"/>
      <c r="C109" s="18">
        <v>1.040986</v>
      </c>
      <c r="D109" s="19">
        <v>0.73242200000000002</v>
      </c>
      <c r="E109" s="20">
        <v>1.049E-3</v>
      </c>
      <c r="F109" s="6">
        <v>5.806E-2</v>
      </c>
      <c r="G109" s="34"/>
      <c r="H109" s="10">
        <v>88.949700000000007</v>
      </c>
      <c r="I109" s="13">
        <v>153</v>
      </c>
      <c r="J109" s="38">
        <v>123.193</v>
      </c>
      <c r="K109" s="27">
        <v>92.41</v>
      </c>
      <c r="L109" s="47">
        <f>L108+(L113-L108)/5</f>
        <v>5.9999999999999995E-5</v>
      </c>
      <c r="M109" s="47">
        <f>M108+($M$113-$M$108)/5</f>
        <v>0.85839999999999994</v>
      </c>
      <c r="N109" s="85">
        <f>N108-($N$108-$N$113)/5</f>
        <v>5.5500000000000001E-2</v>
      </c>
      <c r="O109" s="13">
        <v>592</v>
      </c>
    </row>
    <row r="110" spans="1:15">
      <c r="A110" s="13">
        <v>594</v>
      </c>
      <c r="B110" s="31"/>
      <c r="C110" s="18">
        <v>1.052467</v>
      </c>
      <c r="D110" s="19">
        <v>0.70749700000000004</v>
      </c>
      <c r="E110" s="20">
        <v>1.021E-3</v>
      </c>
      <c r="F110" s="6">
        <v>5.0619999999999998E-2</v>
      </c>
      <c r="G110" s="34"/>
      <c r="H110" s="10">
        <v>89.213800000000006</v>
      </c>
      <c r="I110" s="13">
        <v>107</v>
      </c>
      <c r="J110" s="38">
        <v>124.655</v>
      </c>
      <c r="K110" s="27">
        <v>91.62</v>
      </c>
      <c r="L110" s="47">
        <f>L109+(L113-L108)/5</f>
        <v>1.1999999999999999E-4</v>
      </c>
      <c r="M110" s="47">
        <f>M109+($M$113-$M$108)/5</f>
        <v>0.8597999999999999</v>
      </c>
      <c r="N110" s="85">
        <f>N109-($N$108-$N$113)/5</f>
        <v>5.1000000000000004E-2</v>
      </c>
      <c r="O110" s="13">
        <v>594</v>
      </c>
    </row>
    <row r="111" spans="1:15">
      <c r="A111" s="13">
        <v>596</v>
      </c>
      <c r="B111" s="31"/>
      <c r="C111" s="18">
        <v>1.0597939999999999</v>
      </c>
      <c r="D111" s="19">
        <v>0.68221900000000002</v>
      </c>
      <c r="E111" s="20">
        <v>9.6900000000000003E-4</v>
      </c>
      <c r="F111" s="6">
        <v>4.4170000000000001E-2</v>
      </c>
      <c r="G111" s="34"/>
      <c r="H111" s="10">
        <v>89.477999999999994</v>
      </c>
      <c r="I111" s="13">
        <v>69</v>
      </c>
      <c r="J111" s="38">
        <v>126.11799999999999</v>
      </c>
      <c r="K111" s="27">
        <v>90.92</v>
      </c>
      <c r="L111" s="47">
        <f>L110+(L113-L108)/5</f>
        <v>1.7999999999999998E-4</v>
      </c>
      <c r="M111" s="47">
        <f>M110+($M$113-$M$108)/5</f>
        <v>0.86119999999999985</v>
      </c>
      <c r="N111" s="85">
        <f>N110-($N$108-$N$113)/5</f>
        <v>4.6500000000000007E-2</v>
      </c>
      <c r="O111" s="13">
        <v>596</v>
      </c>
    </row>
    <row r="112" spans="1:15">
      <c r="A112" s="13">
        <v>598</v>
      </c>
      <c r="B112" s="31"/>
      <c r="C112" s="18">
        <v>1.0628070000000001</v>
      </c>
      <c r="D112" s="19">
        <v>0.65667399999999998</v>
      </c>
      <c r="E112" s="20">
        <v>8.8699999999999998E-4</v>
      </c>
      <c r="F112" s="6">
        <v>3.8710000000000001E-2</v>
      </c>
      <c r="G112" s="34"/>
      <c r="H112" s="10">
        <v>89.742099999999994</v>
      </c>
      <c r="I112" s="13">
        <v>39</v>
      </c>
      <c r="J112" s="38">
        <v>127.58</v>
      </c>
      <c r="K112" s="27">
        <v>90.31</v>
      </c>
      <c r="L112" s="47">
        <f>L111+(L113-L108)/5</f>
        <v>2.3999999999999998E-4</v>
      </c>
      <c r="M112" s="47">
        <f>M111+($M$113-$M$108)/5</f>
        <v>0.86259999999999981</v>
      </c>
      <c r="N112" s="85">
        <f>N111-($N$108-$N$113)/5</f>
        <v>4.200000000000001E-2</v>
      </c>
      <c r="O112" s="13">
        <v>598</v>
      </c>
    </row>
    <row r="113" spans="1:15">
      <c r="A113" s="13">
        <v>600</v>
      </c>
      <c r="B113" s="31"/>
      <c r="C113" s="18">
        <v>1.0622</v>
      </c>
      <c r="D113" s="19">
        <v>0.63100000000000001</v>
      </c>
      <c r="E113" s="20">
        <v>8.0000000000000004E-4</v>
      </c>
      <c r="F113" s="6">
        <v>3.3250000000000002E-2</v>
      </c>
      <c r="G113" s="34"/>
      <c r="H113" s="10">
        <v>90.006200000000007</v>
      </c>
      <c r="I113" s="13">
        <v>9</v>
      </c>
      <c r="J113" s="38">
        <v>129.04300000000001</v>
      </c>
      <c r="K113" s="27">
        <v>89.7</v>
      </c>
      <c r="L113" s="47">
        <v>2.9999999999999997E-4</v>
      </c>
      <c r="M113" s="47">
        <v>0.86399999999999999</v>
      </c>
      <c r="N113" s="85">
        <v>3.7499999999999999E-2</v>
      </c>
      <c r="O113" s="13">
        <v>600</v>
      </c>
    </row>
    <row r="114" spans="1:15">
      <c r="A114" s="13">
        <v>602</v>
      </c>
      <c r="B114" s="31"/>
      <c r="C114" s="18">
        <v>1.0584439999999999</v>
      </c>
      <c r="D114" s="19">
        <v>0.60531400000000002</v>
      </c>
      <c r="E114" s="20">
        <v>7.2400000000000003E-4</v>
      </c>
      <c r="F114" s="6">
        <v>2.9198000000000002E-2</v>
      </c>
      <c r="G114" s="34"/>
      <c r="H114" s="10">
        <v>89.924800000000005</v>
      </c>
      <c r="I114" s="13">
        <v>5</v>
      </c>
      <c r="J114" s="38">
        <v>130.505</v>
      </c>
      <c r="K114" s="27">
        <v>89.35</v>
      </c>
      <c r="L114" s="47">
        <f>L113+(L118-L113)/5</f>
        <v>7.6399999999999992E-3</v>
      </c>
      <c r="M114" s="47">
        <f>M113+($M$118-$M$113)/5</f>
        <v>0.86499999999999999</v>
      </c>
      <c r="N114" s="85">
        <f>N113-($N$113-$N$118)/5</f>
        <v>3.4599999999999999E-2</v>
      </c>
      <c r="O114" s="13">
        <v>602</v>
      </c>
    </row>
    <row r="115" spans="1:15">
      <c r="A115" s="13">
        <v>604</v>
      </c>
      <c r="B115" s="31"/>
      <c r="C115" s="18">
        <v>1.0509770000000001</v>
      </c>
      <c r="D115" s="19">
        <v>0.57963799999999999</v>
      </c>
      <c r="E115" s="20">
        <v>6.4499999999999996E-4</v>
      </c>
      <c r="F115" s="6">
        <v>2.5146000000000002E-2</v>
      </c>
      <c r="G115" s="34"/>
      <c r="H115" s="10">
        <v>89.843400000000003</v>
      </c>
      <c r="I115" s="13">
        <v>2</v>
      </c>
      <c r="J115" s="38">
        <v>131.96600000000001</v>
      </c>
      <c r="K115" s="27">
        <v>89</v>
      </c>
      <c r="L115" s="47">
        <f>L114+(L118-L113)/5</f>
        <v>1.4979999999999999E-2</v>
      </c>
      <c r="M115" s="47">
        <f>M114+($M$118-$M$113)/5</f>
        <v>0.86599999999999999</v>
      </c>
      <c r="N115" s="85">
        <f>N114-($N$113-$N$118)/5</f>
        <v>3.1699999999999999E-2</v>
      </c>
      <c r="O115" s="13">
        <v>604</v>
      </c>
    </row>
    <row r="116" spans="1:15">
      <c r="A116" s="13">
        <v>606</v>
      </c>
      <c r="B116" s="31"/>
      <c r="C116" s="18">
        <v>1.039037</v>
      </c>
      <c r="D116" s="19">
        <v>0.55396100000000004</v>
      </c>
      <c r="E116" s="20">
        <v>5.4799999999999998E-4</v>
      </c>
      <c r="F116" s="6">
        <v>2.1682E-2</v>
      </c>
      <c r="G116" s="34"/>
      <c r="H116" s="10">
        <v>89.761899999999997</v>
      </c>
      <c r="I116" s="13">
        <v>0</v>
      </c>
      <c r="J116" s="38">
        <v>133.42699999999999</v>
      </c>
      <c r="K116" s="27">
        <v>88.74</v>
      </c>
      <c r="L116" s="47">
        <f>L115+(L118-L113)/5</f>
        <v>2.232E-2</v>
      </c>
      <c r="M116" s="47">
        <f>M115+($M$118-$M$113)/5</f>
        <v>0.86699999999999999</v>
      </c>
      <c r="N116" s="85">
        <f>N115-($N$113-$N$118)/5</f>
        <v>2.8799999999999999E-2</v>
      </c>
      <c r="O116" s="13">
        <v>606</v>
      </c>
    </row>
    <row r="117" spans="1:15">
      <c r="A117" s="13">
        <v>608</v>
      </c>
      <c r="B117" s="31"/>
      <c r="C117" s="18">
        <v>1.0226660000000001</v>
      </c>
      <c r="D117" s="19">
        <v>0.52835299999999996</v>
      </c>
      <c r="E117" s="20">
        <v>4.35E-4</v>
      </c>
      <c r="F117" s="6">
        <v>1.8806E-2</v>
      </c>
      <c r="G117" s="34"/>
      <c r="H117" s="10">
        <v>89.680499999999995</v>
      </c>
      <c r="I117" s="13">
        <v>0</v>
      </c>
      <c r="J117" s="38">
        <v>134.887</v>
      </c>
      <c r="K117" s="27">
        <v>88.57</v>
      </c>
      <c r="L117" s="47">
        <f>L116+(L118-L113)/5</f>
        <v>2.9659999999999999E-2</v>
      </c>
      <c r="M117" s="47">
        <f>M116+($M$118-$M$113)/5</f>
        <v>0.86799999999999999</v>
      </c>
      <c r="N117" s="85">
        <f>N116-($N$113-$N$118)/5</f>
        <v>2.5899999999999999E-2</v>
      </c>
      <c r="O117" s="13">
        <v>608</v>
      </c>
    </row>
    <row r="118" spans="1:15">
      <c r="A118" s="13">
        <v>610</v>
      </c>
      <c r="B118" s="31"/>
      <c r="C118" s="18">
        <v>1.0025999999999999</v>
      </c>
      <c r="D118" s="19">
        <v>0.503</v>
      </c>
      <c r="E118" s="20">
        <v>3.4000000000000002E-4</v>
      </c>
      <c r="F118" s="6">
        <v>1.593E-2</v>
      </c>
      <c r="G118" s="34"/>
      <c r="H118" s="10">
        <v>89.599100000000007</v>
      </c>
      <c r="I118" s="13">
        <v>0</v>
      </c>
      <c r="J118" s="38">
        <v>136.346</v>
      </c>
      <c r="K118" s="27">
        <v>88.4</v>
      </c>
      <c r="L118" s="47">
        <v>3.6999999999999998E-2</v>
      </c>
      <c r="M118" s="47">
        <v>0.86899999999999999</v>
      </c>
      <c r="N118" s="85">
        <v>2.3E-2</v>
      </c>
      <c r="O118" s="13">
        <v>610</v>
      </c>
    </row>
    <row r="119" spans="1:15">
      <c r="A119" s="13">
        <v>612</v>
      </c>
      <c r="B119" s="31"/>
      <c r="C119" s="18">
        <v>0.97933099999999995</v>
      </c>
      <c r="D119" s="19">
        <v>0.47803000000000001</v>
      </c>
      <c r="E119" s="20">
        <v>2.8299999999999999E-4</v>
      </c>
      <c r="F119" s="6">
        <v>1.391E-2</v>
      </c>
      <c r="G119" s="34"/>
      <c r="H119" s="10">
        <v>89.218999999999994</v>
      </c>
      <c r="I119" s="13">
        <v>3</v>
      </c>
      <c r="J119" s="38">
        <v>137.804</v>
      </c>
      <c r="K119" s="27">
        <v>88.32</v>
      </c>
      <c r="L119" s="47">
        <f>L118+(L123-L118)/5</f>
        <v>0.1116</v>
      </c>
      <c r="M119" s="47">
        <f>M118+($M$123-$M$118)/5</f>
        <v>0.87</v>
      </c>
      <c r="N119" s="85">
        <f>N118-($N$118-$N$123)/5</f>
        <v>2.104E-2</v>
      </c>
      <c r="O119" s="13">
        <v>612</v>
      </c>
    </row>
    <row r="120" spans="1:15">
      <c r="A120" s="13">
        <v>614</v>
      </c>
      <c r="B120" s="31"/>
      <c r="C120" s="18">
        <v>0.95284800000000003</v>
      </c>
      <c r="D120" s="19">
        <v>0.453403</v>
      </c>
      <c r="E120" s="20">
        <v>2.52E-4</v>
      </c>
      <c r="F120" s="6">
        <v>1.189E-2</v>
      </c>
      <c r="G120" s="34"/>
      <c r="H120" s="10">
        <v>88.838899999999995</v>
      </c>
      <c r="I120" s="13">
        <v>7</v>
      </c>
      <c r="J120" s="38">
        <v>139.26</v>
      </c>
      <c r="K120" s="27">
        <v>88.23</v>
      </c>
      <c r="L120" s="47">
        <f>L119+(L123-L118)/5</f>
        <v>0.1862</v>
      </c>
      <c r="M120" s="47">
        <f>M119+($M$123-$M$118)/5</f>
        <v>0.871</v>
      </c>
      <c r="N120" s="85">
        <f>N119-($N$118-$N$123)/5</f>
        <v>1.908E-2</v>
      </c>
      <c r="O120" s="13">
        <v>614</v>
      </c>
    </row>
    <row r="121" spans="1:15">
      <c r="A121" s="13">
        <v>616</v>
      </c>
      <c r="B121" s="31"/>
      <c r="C121" s="18">
        <v>0.92319399999999996</v>
      </c>
      <c r="D121" s="19">
        <v>0.42908000000000002</v>
      </c>
      <c r="E121" s="20">
        <v>2.3000000000000001E-4</v>
      </c>
      <c r="F121" s="6">
        <v>1.0178E-2</v>
      </c>
      <c r="G121" s="34"/>
      <c r="H121" s="10">
        <v>88.4589</v>
      </c>
      <c r="I121" s="13">
        <v>10</v>
      </c>
      <c r="J121" s="38">
        <v>140.715</v>
      </c>
      <c r="K121" s="27">
        <v>88.17</v>
      </c>
      <c r="L121" s="47">
        <f>L120+(L123-L118)/5</f>
        <v>0.26080000000000003</v>
      </c>
      <c r="M121" s="47">
        <f>M120+($M$123-$M$118)/5</f>
        <v>0.872</v>
      </c>
      <c r="N121" s="85">
        <f>N120-($N$118-$N$123)/5</f>
        <v>1.712E-2</v>
      </c>
      <c r="O121" s="13">
        <v>616</v>
      </c>
    </row>
    <row r="122" spans="1:15">
      <c r="A122" s="13">
        <v>618</v>
      </c>
      <c r="B122" s="31"/>
      <c r="C122" s="18">
        <v>0.89050200000000002</v>
      </c>
      <c r="D122" s="19">
        <v>0.405032</v>
      </c>
      <c r="E122" s="20">
        <v>2.12E-4</v>
      </c>
      <c r="F122" s="6">
        <v>8.7740000000000005E-3</v>
      </c>
      <c r="G122" s="34"/>
      <c r="H122" s="10">
        <v>88.078800000000001</v>
      </c>
      <c r="I122" s="13">
        <v>25</v>
      </c>
      <c r="J122" s="38">
        <v>142.167</v>
      </c>
      <c r="K122" s="27">
        <v>88.14</v>
      </c>
      <c r="L122" s="47">
        <f>L121+(L123-L118)/5</f>
        <v>0.33540000000000003</v>
      </c>
      <c r="M122" s="47">
        <f>M121+($M$123-$M$118)/5</f>
        <v>0.873</v>
      </c>
      <c r="N122" s="85">
        <f>N121-($N$118-$N$123)/5</f>
        <v>1.516E-2</v>
      </c>
      <c r="O122" s="13">
        <v>618</v>
      </c>
    </row>
    <row r="123" spans="1:15">
      <c r="A123" s="13">
        <v>620</v>
      </c>
      <c r="B123" s="31"/>
      <c r="C123" s="18">
        <v>0.85445000000000004</v>
      </c>
      <c r="D123" s="19">
        <v>0.38100000000000001</v>
      </c>
      <c r="E123" s="20">
        <v>1.9000000000000001E-4</v>
      </c>
      <c r="F123" s="6">
        <v>7.3699999999999998E-3</v>
      </c>
      <c r="G123" s="34"/>
      <c r="H123" s="10">
        <v>87.698700000000002</v>
      </c>
      <c r="I123" s="13">
        <v>59</v>
      </c>
      <c r="J123" s="38">
        <v>143.61799999999999</v>
      </c>
      <c r="K123" s="27">
        <v>88.1</v>
      </c>
      <c r="L123" s="47">
        <v>0.41</v>
      </c>
      <c r="M123" s="47">
        <v>0.874</v>
      </c>
      <c r="N123" s="85">
        <v>1.32E-2</v>
      </c>
      <c r="O123" s="13">
        <v>620</v>
      </c>
    </row>
    <row r="124" spans="1:15">
      <c r="A124" s="13">
        <v>622</v>
      </c>
      <c r="B124" s="31"/>
      <c r="C124" s="18">
        <v>0.81494599999999995</v>
      </c>
      <c r="D124" s="19">
        <v>0.35682700000000001</v>
      </c>
      <c r="E124" s="20">
        <v>1.56E-4</v>
      </c>
      <c r="F124" s="6">
        <v>6.4099999999999999E-3</v>
      </c>
      <c r="G124" s="34"/>
      <c r="H124" s="10">
        <v>86.816699999999997</v>
      </c>
      <c r="I124" s="13">
        <v>115</v>
      </c>
      <c r="J124" s="38">
        <v>145.06700000000001</v>
      </c>
      <c r="K124" s="27">
        <v>88.08</v>
      </c>
      <c r="L124" s="47">
        <f>L123+($L$128-$L$123)/5</f>
        <v>0.47</v>
      </c>
      <c r="M124" s="47">
        <f>M123+($M$128-$M$123)/5</f>
        <v>0.875</v>
      </c>
      <c r="N124" s="85">
        <f>N123-($N$123-$N$128)/5</f>
        <v>1.2120000000000001E-2</v>
      </c>
      <c r="O124" s="13">
        <v>622</v>
      </c>
    </row>
    <row r="125" spans="1:15">
      <c r="A125" s="13">
        <v>624</v>
      </c>
      <c r="B125" s="31"/>
      <c r="C125" s="18">
        <v>0.77295400000000003</v>
      </c>
      <c r="D125" s="19">
        <v>0.332818</v>
      </c>
      <c r="E125" s="20">
        <v>1.17E-4</v>
      </c>
      <c r="F125" s="6">
        <v>5.45E-3</v>
      </c>
      <c r="G125" s="34"/>
      <c r="H125" s="10">
        <v>85.934700000000007</v>
      </c>
      <c r="I125" s="13">
        <v>136</v>
      </c>
      <c r="J125" s="38">
        <v>146.51300000000001</v>
      </c>
      <c r="K125" s="27">
        <v>88.07</v>
      </c>
      <c r="L125" s="47">
        <f>L124+($L$128-$L$123)/5</f>
        <v>0.53</v>
      </c>
      <c r="M125" s="47">
        <f>M124+($M$128-$M$123)/5</f>
        <v>0.876</v>
      </c>
      <c r="N125" s="85">
        <f>N124-($N$123-$N$128)/5</f>
        <v>1.1040000000000001E-2</v>
      </c>
      <c r="O125" s="13">
        <v>624</v>
      </c>
    </row>
    <row r="126" spans="1:15">
      <c r="A126" s="13">
        <v>626</v>
      </c>
      <c r="B126" s="31"/>
      <c r="C126" s="18">
        <v>0.72958400000000001</v>
      </c>
      <c r="D126" s="19">
        <v>0.309338</v>
      </c>
      <c r="E126" s="20">
        <v>8.6000000000000003E-5</v>
      </c>
      <c r="F126" s="6">
        <v>4.6430000000000004E-3</v>
      </c>
      <c r="G126" s="34"/>
      <c r="H126" s="10">
        <v>85.052599999999998</v>
      </c>
      <c r="I126" s="13">
        <v>94</v>
      </c>
      <c r="J126" s="38">
        <v>147.95699999999999</v>
      </c>
      <c r="K126" s="27">
        <v>88.05</v>
      </c>
      <c r="L126" s="47">
        <f>L125+($L$128-$L$123)/5</f>
        <v>0.59000000000000008</v>
      </c>
      <c r="M126" s="47">
        <f>M125+($M$128-$M$123)/5</f>
        <v>0.877</v>
      </c>
      <c r="N126" s="85">
        <f>N125-($N$123-$N$128)/5</f>
        <v>9.9600000000000018E-3</v>
      </c>
      <c r="O126" s="13">
        <v>626</v>
      </c>
    </row>
    <row r="127" spans="1:15">
      <c r="A127" s="13">
        <v>628</v>
      </c>
      <c r="B127" s="31"/>
      <c r="C127" s="18">
        <v>0.68560200000000004</v>
      </c>
      <c r="D127" s="19">
        <v>0.28659400000000002</v>
      </c>
      <c r="E127" s="20">
        <v>6.4999999999999994E-5</v>
      </c>
      <c r="F127" s="6">
        <v>3.9890000000000004E-3</v>
      </c>
      <c r="G127" s="34"/>
      <c r="H127" s="10">
        <v>84.170599999999993</v>
      </c>
      <c r="I127" s="13">
        <v>39</v>
      </c>
      <c r="J127" s="38">
        <v>149.398</v>
      </c>
      <c r="K127" s="27">
        <v>88.02</v>
      </c>
      <c r="L127" s="47">
        <f>L126+($L$128-$L$123)/5</f>
        <v>0.65000000000000013</v>
      </c>
      <c r="M127" s="47">
        <f>M126+($M$128-$M$123)/5</f>
        <v>0.878</v>
      </c>
      <c r="N127" s="85">
        <f>N126-($N$123-$N$128)/5</f>
        <v>8.8800000000000025E-3</v>
      </c>
      <c r="O127" s="13">
        <v>628</v>
      </c>
    </row>
    <row r="128" spans="1:15">
      <c r="A128" s="13">
        <v>630</v>
      </c>
      <c r="B128" s="31"/>
      <c r="C128" s="18">
        <v>0.64239999999999997</v>
      </c>
      <c r="D128" s="19">
        <v>0.26500000000000001</v>
      </c>
      <c r="E128" s="20">
        <v>5.0000000000000002E-5</v>
      </c>
      <c r="F128" s="6">
        <v>3.3149999999999998E-3</v>
      </c>
      <c r="G128" s="34"/>
      <c r="H128" s="10">
        <v>83.288600000000002</v>
      </c>
      <c r="I128" s="13">
        <v>17</v>
      </c>
      <c r="J128" s="38">
        <v>150.83600000000001</v>
      </c>
      <c r="K128" s="27">
        <v>88</v>
      </c>
      <c r="L128" s="47">
        <v>0.71</v>
      </c>
      <c r="M128" s="47">
        <v>0.879</v>
      </c>
      <c r="N128" s="85">
        <v>7.7999999999999996E-3</v>
      </c>
      <c r="O128" s="13">
        <v>630</v>
      </c>
    </row>
    <row r="129" spans="1:15">
      <c r="A129" s="13">
        <v>632</v>
      </c>
      <c r="B129" s="31"/>
      <c r="C129" s="18">
        <v>0.60111400000000004</v>
      </c>
      <c r="D129" s="19">
        <v>0.24489</v>
      </c>
      <c r="E129" s="20">
        <v>3.8999999999999999E-5</v>
      </c>
      <c r="F129" s="6">
        <v>2.895E-3</v>
      </c>
      <c r="G129" s="34"/>
      <c r="H129" s="10">
        <v>83.370699999999999</v>
      </c>
      <c r="I129" s="13">
        <v>10</v>
      </c>
      <c r="J129" s="38">
        <v>152.27099999999999</v>
      </c>
      <c r="K129" s="27">
        <v>87.94</v>
      </c>
      <c r="L129" s="47">
        <f>L128+($L$133-$L$128)/5</f>
        <v>0.72719999999999996</v>
      </c>
      <c r="M129" s="47">
        <f>M128+($M$133-$M$128)/5</f>
        <v>0.87980000000000003</v>
      </c>
      <c r="N129" s="85">
        <f>N128-($N$128-$N$133)/5</f>
        <v>7.1599999999999997E-3</v>
      </c>
      <c r="O129" s="13">
        <v>632</v>
      </c>
    </row>
    <row r="130" spans="1:15">
      <c r="A130" s="13">
        <v>634</v>
      </c>
      <c r="B130" s="31"/>
      <c r="C130" s="18">
        <v>0.56139799999999995</v>
      </c>
      <c r="D130" s="19">
        <v>0.226053</v>
      </c>
      <c r="E130" s="20">
        <v>3.3000000000000003E-5</v>
      </c>
      <c r="F130" s="6">
        <v>2.4550000000000002E-3</v>
      </c>
      <c r="G130" s="34"/>
      <c r="H130" s="10">
        <v>83.452799999999996</v>
      </c>
      <c r="I130" s="13">
        <v>3</v>
      </c>
      <c r="J130" s="38">
        <v>153.70400000000001</v>
      </c>
      <c r="K130" s="27">
        <v>87.89</v>
      </c>
      <c r="L130" s="47">
        <f>L129+($L$133-$L$128)/5</f>
        <v>0.74439999999999995</v>
      </c>
      <c r="M130" s="47">
        <f>M129+($M$133-$M$128)/5</f>
        <v>0.88060000000000005</v>
      </c>
      <c r="N130" s="85">
        <f>N129-($N$128-$N$133)/5</f>
        <v>6.5199999999999998E-3</v>
      </c>
      <c r="O130" s="13">
        <v>634</v>
      </c>
    </row>
    <row r="131" spans="1:15">
      <c r="A131" s="13">
        <v>636</v>
      </c>
      <c r="B131" s="31"/>
      <c r="C131" s="18">
        <v>0.52259999999999995</v>
      </c>
      <c r="D131" s="19">
        <v>0.20816200000000001</v>
      </c>
      <c r="E131" s="20">
        <v>2.8E-5</v>
      </c>
      <c r="F131" s="6">
        <v>2.0869999999999999E-3</v>
      </c>
      <c r="G131" s="34"/>
      <c r="H131" s="10">
        <v>83.534999999999997</v>
      </c>
      <c r="I131" s="13">
        <v>1</v>
      </c>
      <c r="J131" s="38">
        <v>155.13200000000001</v>
      </c>
      <c r="K131" s="27">
        <v>87.85</v>
      </c>
      <c r="L131" s="47">
        <f>L130+($L$133-$L$128)/5</f>
        <v>0.76159999999999994</v>
      </c>
      <c r="M131" s="47">
        <f>M130+($M$133-$M$128)/5</f>
        <v>0.88140000000000007</v>
      </c>
      <c r="N131" s="85">
        <f>N130-($N$128-$N$133)/5</f>
        <v>5.8799999999999998E-3</v>
      </c>
      <c r="O131" s="13">
        <v>636</v>
      </c>
    </row>
    <row r="132" spans="1:15">
      <c r="A132" s="13">
        <v>638</v>
      </c>
      <c r="B132" s="31"/>
      <c r="C132" s="18">
        <v>0.48474400000000001</v>
      </c>
      <c r="D132" s="19">
        <v>0.19115499999999999</v>
      </c>
      <c r="E132" s="20">
        <v>2.4000000000000001E-5</v>
      </c>
      <c r="F132" s="6">
        <v>1.792E-3</v>
      </c>
      <c r="G132" s="34"/>
      <c r="H132" s="10">
        <v>83.617099999999994</v>
      </c>
      <c r="I132" s="13">
        <v>4</v>
      </c>
      <c r="J132" s="38">
        <v>156.55799999999999</v>
      </c>
      <c r="K132" s="27">
        <v>87.82</v>
      </c>
      <c r="L132" s="47">
        <f>L131+($L$133-$L$128)/5</f>
        <v>0.77879999999999994</v>
      </c>
      <c r="M132" s="47">
        <f>M131+($M$133-$M$128)/5</f>
        <v>0.8822000000000001</v>
      </c>
      <c r="N132" s="85">
        <f>N131-($N$128-$N$133)/5</f>
        <v>5.2399999999999999E-3</v>
      </c>
      <c r="O132" s="13">
        <v>638</v>
      </c>
    </row>
    <row r="133" spans="1:15">
      <c r="A133" s="13">
        <v>640</v>
      </c>
      <c r="B133" s="31"/>
      <c r="C133" s="18">
        <v>0.44790000000000002</v>
      </c>
      <c r="D133" s="19">
        <v>0.17499999999999999</v>
      </c>
      <c r="E133" s="20">
        <v>2.0000000000000002E-5</v>
      </c>
      <c r="F133" s="6">
        <v>1.4970000000000001E-3</v>
      </c>
      <c r="G133" s="34"/>
      <c r="H133" s="10">
        <v>83.699200000000005</v>
      </c>
      <c r="I133" s="13">
        <v>6</v>
      </c>
      <c r="J133" s="38">
        <v>157.97900000000001</v>
      </c>
      <c r="K133" s="27">
        <v>87.8</v>
      </c>
      <c r="L133" s="47">
        <v>0.79600000000000004</v>
      </c>
      <c r="M133" s="47">
        <v>0.88300000000000001</v>
      </c>
      <c r="N133" s="85">
        <v>4.5999999999999999E-3</v>
      </c>
      <c r="O133" s="13">
        <v>640</v>
      </c>
    </row>
    <row r="134" spans="1:15">
      <c r="A134" s="13">
        <v>642</v>
      </c>
      <c r="B134" s="31"/>
      <c r="C134" s="18">
        <v>0.41209800000000002</v>
      </c>
      <c r="D134" s="19">
        <v>0.15964600000000001</v>
      </c>
      <c r="E134" s="20">
        <v>1.5999999999999999E-5</v>
      </c>
      <c r="F134" s="6">
        <v>1.2999999999999999E-3</v>
      </c>
      <c r="G134" s="34"/>
      <c r="H134" s="10">
        <v>82.964699999999993</v>
      </c>
      <c r="I134" s="13">
        <v>8</v>
      </c>
      <c r="J134" s="38">
        <v>159.39699999999999</v>
      </c>
      <c r="K134" s="27">
        <v>87.88</v>
      </c>
      <c r="L134" s="47">
        <f>L133+($L$138-$L$133)/5</f>
        <v>0.80080000000000007</v>
      </c>
      <c r="M134" s="47">
        <f>M133+($M$138-$M$133)/5</f>
        <v>0.88380000000000003</v>
      </c>
      <c r="N134" s="85">
        <f>N133-($N$133-$N$138)/5</f>
        <v>4.2399999999999998E-3</v>
      </c>
      <c r="O134" s="13">
        <v>642</v>
      </c>
    </row>
    <row r="135" spans="1:15">
      <c r="A135" s="13">
        <v>644</v>
      </c>
      <c r="B135" s="31"/>
      <c r="C135" s="18">
        <v>0.37753300000000001</v>
      </c>
      <c r="D135" s="19">
        <v>0.145126</v>
      </c>
      <c r="E135" s="20">
        <v>1.2E-5</v>
      </c>
      <c r="F135" s="6">
        <v>1.1000000000000001E-3</v>
      </c>
      <c r="G135" s="34"/>
      <c r="H135" s="10">
        <v>82.230199999999996</v>
      </c>
      <c r="I135" s="13">
        <v>9</v>
      </c>
      <c r="J135" s="38">
        <v>160.81100000000001</v>
      </c>
      <c r="K135" s="27">
        <v>87.95</v>
      </c>
      <c r="L135" s="47">
        <f>L134+($L$138-$L$133)/5</f>
        <v>0.80560000000000009</v>
      </c>
      <c r="M135" s="47">
        <f>M134+($M$138-$M$133)/5</f>
        <v>0.88460000000000005</v>
      </c>
      <c r="N135" s="85">
        <f>N134-($N$133-$N$138)/5</f>
        <v>3.8799999999999998E-3</v>
      </c>
      <c r="O135" s="13">
        <v>644</v>
      </c>
    </row>
    <row r="136" spans="1:15">
      <c r="A136" s="13">
        <v>646</v>
      </c>
      <c r="B136" s="31"/>
      <c r="C136" s="18">
        <v>0.34445599999999998</v>
      </c>
      <c r="D136" s="19">
        <v>0.13150000000000001</v>
      </c>
      <c r="E136" s="20">
        <v>1.0000000000000001E-5</v>
      </c>
      <c r="F136" s="6">
        <v>9.3899999999999995E-4</v>
      </c>
      <c r="G136" s="34"/>
      <c r="H136" s="10">
        <v>81.495800000000003</v>
      </c>
      <c r="I136" s="13">
        <v>9</v>
      </c>
      <c r="J136" s="38">
        <v>162.221</v>
      </c>
      <c r="K136" s="27">
        <v>88.03</v>
      </c>
      <c r="L136" s="47">
        <f>L135+($L$138-$L$133)/5</f>
        <v>0.81040000000000012</v>
      </c>
      <c r="M136" s="47">
        <f>M135+($M$138-$M$133)/5</f>
        <v>0.88540000000000008</v>
      </c>
      <c r="N136" s="85">
        <f>N135-($N$133-$N$138)/5</f>
        <v>3.5199999999999997E-3</v>
      </c>
      <c r="O136" s="13">
        <v>646</v>
      </c>
    </row>
    <row r="137" spans="1:15">
      <c r="A137" s="13">
        <v>648</v>
      </c>
      <c r="B137" s="31"/>
      <c r="C137" s="18">
        <v>0.31301899999999999</v>
      </c>
      <c r="D137" s="19">
        <v>0.118779</v>
      </c>
      <c r="E137" s="20">
        <v>5.0000000000000004E-6</v>
      </c>
      <c r="F137" s="6">
        <v>8.0800000000000002E-4</v>
      </c>
      <c r="G137" s="34"/>
      <c r="H137" s="10">
        <v>80.761300000000006</v>
      </c>
      <c r="I137" s="13">
        <v>7</v>
      </c>
      <c r="J137" s="38">
        <v>163.626</v>
      </c>
      <c r="K137" s="27">
        <v>88.12</v>
      </c>
      <c r="L137" s="47">
        <f>L136+($L$138-$L$133)/5</f>
        <v>0.81520000000000015</v>
      </c>
      <c r="M137" s="47">
        <f>M136+($M$138-$M$133)/5</f>
        <v>0.8862000000000001</v>
      </c>
      <c r="N137" s="85">
        <f>N136-($N$133-$N$138)/5</f>
        <v>3.1599999999999996E-3</v>
      </c>
      <c r="O137" s="13">
        <v>648</v>
      </c>
    </row>
    <row r="138" spans="1:15">
      <c r="A138" s="13">
        <v>650</v>
      </c>
      <c r="B138" s="31"/>
      <c r="C138" s="18">
        <v>0.28349999999999997</v>
      </c>
      <c r="D138" s="19">
        <v>0.107</v>
      </c>
      <c r="E138" s="20">
        <v>0</v>
      </c>
      <c r="F138" s="6">
        <v>6.7699999999999998E-4</v>
      </c>
      <c r="G138" s="34"/>
      <c r="H138" s="10">
        <v>80.026799999999994</v>
      </c>
      <c r="I138" s="13">
        <v>5</v>
      </c>
      <c r="J138" s="38">
        <v>165.02799999999999</v>
      </c>
      <c r="K138" s="27">
        <v>88.2</v>
      </c>
      <c r="L138" s="47">
        <v>0.82</v>
      </c>
      <c r="M138" s="47">
        <v>0.88700000000000001</v>
      </c>
      <c r="N138" s="85">
        <v>2.8E-3</v>
      </c>
      <c r="O138" s="13">
        <v>650</v>
      </c>
    </row>
    <row r="139" spans="1:15">
      <c r="A139" s="13">
        <v>652</v>
      </c>
      <c r="B139" s="31"/>
      <c r="C139" s="18">
        <v>0.25611800000000001</v>
      </c>
      <c r="D139" s="19">
        <v>9.6188999999999997E-2</v>
      </c>
      <c r="E139" s="20">
        <v>0</v>
      </c>
      <c r="F139" s="6">
        <v>5.9000000000000003E-4</v>
      </c>
      <c r="G139" s="34"/>
      <c r="H139" s="10">
        <v>80.064400000000006</v>
      </c>
      <c r="I139" s="13">
        <v>7</v>
      </c>
      <c r="J139" s="38">
        <v>166.42400000000001</v>
      </c>
      <c r="K139" s="27">
        <v>88.2</v>
      </c>
      <c r="L139" s="47">
        <f>L138+($L$143-$L$138)/5</f>
        <v>0.8226</v>
      </c>
      <c r="M139" s="47">
        <f>M138+($M$143-$M$138)/5</f>
        <v>0.88739999999999997</v>
      </c>
      <c r="N139" s="85">
        <f>N138-($N$138-$N$143)/5</f>
        <v>2.5799999999999998E-3</v>
      </c>
      <c r="O139" s="13">
        <v>652</v>
      </c>
    </row>
    <row r="140" spans="1:15">
      <c r="A140" s="13">
        <v>654</v>
      </c>
      <c r="B140" s="31"/>
      <c r="C140" s="18">
        <v>0.23072699999999999</v>
      </c>
      <c r="D140" s="19">
        <v>8.6264999999999994E-2</v>
      </c>
      <c r="E140" s="20">
        <v>0</v>
      </c>
      <c r="F140" s="6">
        <v>5.0299999999999997E-4</v>
      </c>
      <c r="G140" s="34"/>
      <c r="H140" s="10">
        <v>80.101900000000001</v>
      </c>
      <c r="I140" s="13">
        <v>10</v>
      </c>
      <c r="J140" s="38">
        <v>167.816</v>
      </c>
      <c r="K140" s="27">
        <v>88.2</v>
      </c>
      <c r="L140" s="47">
        <f>L139+($L$143-$L$138)/5</f>
        <v>0.82520000000000004</v>
      </c>
      <c r="M140" s="47">
        <f>M139+($M$143-$M$138)/5</f>
        <v>0.88779999999999992</v>
      </c>
      <c r="N140" s="85">
        <f>N139-($N$138-$N$143)/5</f>
        <v>2.3599999999999997E-3</v>
      </c>
      <c r="O140" s="13">
        <v>654</v>
      </c>
    </row>
    <row r="141" spans="1:15">
      <c r="A141" s="13">
        <v>656</v>
      </c>
      <c r="B141" s="31"/>
      <c r="C141" s="18">
        <v>0.207097</v>
      </c>
      <c r="D141" s="19">
        <v>7.7120999999999995E-2</v>
      </c>
      <c r="E141" s="20">
        <v>0</v>
      </c>
      <c r="F141" s="6">
        <v>4.2999999999999999E-4</v>
      </c>
      <c r="G141" s="34"/>
      <c r="H141" s="10">
        <v>80.139499999999998</v>
      </c>
      <c r="I141" s="13">
        <v>10</v>
      </c>
      <c r="J141" s="38">
        <v>169.203</v>
      </c>
      <c r="K141" s="27">
        <v>88.14</v>
      </c>
      <c r="L141" s="47">
        <f>L140+($L$143-$L$138)/5</f>
        <v>0.82780000000000009</v>
      </c>
      <c r="M141" s="47">
        <f>M140+($M$143-$M$138)/5</f>
        <v>0.88819999999999988</v>
      </c>
      <c r="N141" s="85">
        <f>N140-($N$138-$N$143)/5</f>
        <v>2.1399999999999995E-3</v>
      </c>
      <c r="O141" s="13">
        <v>656</v>
      </c>
    </row>
    <row r="142" spans="1:15">
      <c r="A142" s="13">
        <v>658</v>
      </c>
      <c r="B142" s="31"/>
      <c r="C142" s="18">
        <v>0.185171</v>
      </c>
      <c r="D142" s="19">
        <v>6.8709999999999993E-2</v>
      </c>
      <c r="E142" s="20">
        <v>0</v>
      </c>
      <c r="F142" s="6">
        <v>3.7100000000000002E-4</v>
      </c>
      <c r="G142" s="34"/>
      <c r="H142" s="10">
        <v>80.177000000000007</v>
      </c>
      <c r="I142" s="13">
        <v>7</v>
      </c>
      <c r="J142" s="38">
        <v>170.58600000000001</v>
      </c>
      <c r="K142" s="27">
        <v>88.02</v>
      </c>
      <c r="L142" s="47">
        <f>L141+($L$143-$L$138)/5</f>
        <v>0.83040000000000014</v>
      </c>
      <c r="M142" s="47">
        <f>M141+($M$143-$M$138)/5</f>
        <v>0.88859999999999983</v>
      </c>
      <c r="N142" s="85">
        <f>N141-($N$138-$N$143)/5</f>
        <v>1.9199999999999996E-3</v>
      </c>
      <c r="O142" s="13">
        <v>658</v>
      </c>
    </row>
    <row r="143" spans="1:15">
      <c r="A143" s="13">
        <v>660</v>
      </c>
      <c r="B143" s="31"/>
      <c r="C143" s="18">
        <v>0.16489999999999999</v>
      </c>
      <c r="D143" s="19">
        <v>6.0999999999999999E-2</v>
      </c>
      <c r="E143" s="20">
        <v>0</v>
      </c>
      <c r="F143" s="6">
        <v>3.1300000000000002E-4</v>
      </c>
      <c r="G143" s="34"/>
      <c r="H143" s="10">
        <v>80.214600000000004</v>
      </c>
      <c r="I143" s="13">
        <v>5</v>
      </c>
      <c r="J143" s="38">
        <v>171.96299999999999</v>
      </c>
      <c r="K143" s="27">
        <v>87.9</v>
      </c>
      <c r="L143" s="47">
        <v>0.83299999999999996</v>
      </c>
      <c r="M143" s="47">
        <v>0.88900000000000001</v>
      </c>
      <c r="N143" s="85">
        <v>1.6999999999999999E-3</v>
      </c>
      <c r="O143" s="13">
        <v>660</v>
      </c>
    </row>
    <row r="144" spans="1:15">
      <c r="A144" s="13">
        <v>662</v>
      </c>
      <c r="B144" s="31"/>
      <c r="C144" s="18">
        <v>0.14623</v>
      </c>
      <c r="D144" s="19">
        <v>5.3955000000000003E-2</v>
      </c>
      <c r="E144" s="20">
        <v>0</v>
      </c>
      <c r="F144" s="6">
        <v>2.7399999999999999E-4</v>
      </c>
      <c r="G144" s="34"/>
      <c r="H144" s="10">
        <v>80.627200000000002</v>
      </c>
      <c r="I144" s="13">
        <v>7</v>
      </c>
      <c r="J144" s="38">
        <v>173.33500000000001</v>
      </c>
      <c r="K144" s="27">
        <v>87.63</v>
      </c>
      <c r="L144" s="47">
        <f>L143+($L$148-$L$143)/5</f>
        <v>0.83479999999999999</v>
      </c>
      <c r="M144" s="47">
        <f>M143+($M$148-$M$143)/5</f>
        <v>0.88919999999999999</v>
      </c>
      <c r="N144" s="85">
        <f>N143-($N$143-$N$148)/5</f>
        <v>1.56E-3</v>
      </c>
      <c r="O144" s="13">
        <v>662</v>
      </c>
    </row>
    <row r="145" spans="1:15">
      <c r="A145" s="13">
        <v>664</v>
      </c>
      <c r="B145" s="31"/>
      <c r="C145" s="18">
        <v>0.12914700000000001</v>
      </c>
      <c r="D145" s="19">
        <v>4.7550000000000002E-2</v>
      </c>
      <c r="E145" s="20">
        <v>0</v>
      </c>
      <c r="F145" s="6">
        <v>2.34E-4</v>
      </c>
      <c r="G145" s="34"/>
      <c r="H145" s="10">
        <v>81.039900000000003</v>
      </c>
      <c r="I145" s="13">
        <v>10</v>
      </c>
      <c r="J145" s="38">
        <v>174.702</v>
      </c>
      <c r="K145" s="27">
        <v>87.36</v>
      </c>
      <c r="L145" s="47">
        <f>L144+($L$148-$L$143)/5</f>
        <v>0.83660000000000001</v>
      </c>
      <c r="M145" s="47">
        <f>M144+($M$148-$M$143)/5</f>
        <v>0.88939999999999997</v>
      </c>
      <c r="N145" s="85">
        <f>N144-($N$143-$N$148)/5</f>
        <v>1.42E-3</v>
      </c>
      <c r="O145" s="13">
        <v>664</v>
      </c>
    </row>
    <row r="146" spans="1:15">
      <c r="A146" s="13">
        <v>666</v>
      </c>
      <c r="B146" s="31"/>
      <c r="C146" s="18">
        <v>0.11364</v>
      </c>
      <c r="D146" s="19">
        <v>4.1758999999999998E-2</v>
      </c>
      <c r="E146" s="20">
        <v>0</v>
      </c>
      <c r="F146" s="6">
        <v>2.0100000000000001E-4</v>
      </c>
      <c r="G146" s="34"/>
      <c r="H146" s="10">
        <v>81.452500000000001</v>
      </c>
      <c r="I146" s="13">
        <v>13</v>
      </c>
      <c r="J146" s="38">
        <v>176.06299999999999</v>
      </c>
      <c r="K146" s="27">
        <v>87.04</v>
      </c>
      <c r="L146" s="47">
        <f>L145+($L$148-$L$143)/5</f>
        <v>0.83840000000000003</v>
      </c>
      <c r="M146" s="47">
        <f>M145+($M$148-$M$143)/5</f>
        <v>0.88959999999999995</v>
      </c>
      <c r="N146" s="85">
        <f>N145-($N$143-$N$148)/5</f>
        <v>1.2800000000000001E-3</v>
      </c>
      <c r="O146" s="13">
        <v>666</v>
      </c>
    </row>
    <row r="147" spans="1:15">
      <c r="A147" s="13">
        <v>668</v>
      </c>
      <c r="B147" s="31"/>
      <c r="C147" s="18">
        <v>9.9690000000000001E-2</v>
      </c>
      <c r="D147" s="19">
        <v>3.6563999999999999E-2</v>
      </c>
      <c r="E147" s="20">
        <v>0</v>
      </c>
      <c r="F147" s="6">
        <v>1.75E-4</v>
      </c>
      <c r="G147" s="34"/>
      <c r="H147" s="10">
        <v>81.865200000000002</v>
      </c>
      <c r="I147" s="13">
        <v>18</v>
      </c>
      <c r="J147" s="38">
        <v>177.41900000000001</v>
      </c>
      <c r="K147" s="27">
        <v>86.67</v>
      </c>
      <c r="L147" s="47">
        <f>L146+($L$148-$L$143)/5</f>
        <v>0.84020000000000006</v>
      </c>
      <c r="M147" s="47">
        <f>M146+($M$148-$M$143)/5</f>
        <v>0.88979999999999992</v>
      </c>
      <c r="N147" s="85">
        <f>N146-($N$143-$N$148)/5</f>
        <v>1.1400000000000002E-3</v>
      </c>
      <c r="O147" s="13">
        <v>668</v>
      </c>
    </row>
    <row r="148" spans="1:15">
      <c r="A148" s="13">
        <v>670</v>
      </c>
      <c r="B148" s="31"/>
      <c r="C148" s="18">
        <v>8.7400000000000005E-2</v>
      </c>
      <c r="D148" s="19">
        <v>3.2000000000000001E-2</v>
      </c>
      <c r="E148" s="20">
        <v>0</v>
      </c>
      <c r="F148" s="6">
        <v>1.4799999999999999E-4</v>
      </c>
      <c r="G148" s="34"/>
      <c r="H148" s="10">
        <v>82.277799999999999</v>
      </c>
      <c r="I148" s="13">
        <v>23</v>
      </c>
      <c r="J148" s="38">
        <v>178.76900000000001</v>
      </c>
      <c r="K148" s="27">
        <v>86.3</v>
      </c>
      <c r="L148" s="47">
        <v>0.84199999999999997</v>
      </c>
      <c r="M148" s="47">
        <v>0.89</v>
      </c>
      <c r="N148" s="85">
        <v>1E-3</v>
      </c>
      <c r="O148" s="13">
        <v>670</v>
      </c>
    </row>
    <row r="149" spans="1:15">
      <c r="A149" s="13">
        <v>672</v>
      </c>
      <c r="B149" s="31"/>
      <c r="C149" s="18">
        <v>7.6803999999999997E-2</v>
      </c>
      <c r="D149" s="19">
        <v>2.8077000000000001E-2</v>
      </c>
      <c r="E149" s="20">
        <v>0</v>
      </c>
      <c r="F149" s="6">
        <v>1.2999999999999999E-4</v>
      </c>
      <c r="G149" s="34"/>
      <c r="H149" s="10">
        <v>81.479100000000003</v>
      </c>
      <c r="I149" s="13">
        <v>21</v>
      </c>
      <c r="J149" s="38">
        <v>180.113</v>
      </c>
      <c r="K149" s="27">
        <v>85.9</v>
      </c>
      <c r="L149" s="47">
        <f>L148+($L$153-$L$148)/5</f>
        <v>0.84319999999999995</v>
      </c>
      <c r="M149" s="47">
        <f>M148+($M$153-$M$148)/5</f>
        <v>0.89019999999999999</v>
      </c>
      <c r="N149" s="85">
        <f>N148-($N$148-$N$153)/5</f>
        <v>9.3999999999999997E-4</v>
      </c>
      <c r="O149" s="13">
        <v>672</v>
      </c>
    </row>
    <row r="150" spans="1:15">
      <c r="A150" s="13">
        <v>674</v>
      </c>
      <c r="B150" s="31"/>
      <c r="C150" s="18">
        <v>6.7686999999999997E-2</v>
      </c>
      <c r="D150" s="19">
        <v>2.4708000000000001E-2</v>
      </c>
      <c r="E150" s="20">
        <v>0</v>
      </c>
      <c r="F150" s="6">
        <v>1.12E-4</v>
      </c>
      <c r="G150" s="34"/>
      <c r="H150" s="10">
        <v>80.680400000000006</v>
      </c>
      <c r="I150" s="13">
        <v>20</v>
      </c>
      <c r="J150" s="38">
        <v>181.45099999999999</v>
      </c>
      <c r="K150" s="27">
        <v>85.5</v>
      </c>
      <c r="L150" s="47">
        <f>L149+($L$153-$L$148)/5</f>
        <v>0.84439999999999993</v>
      </c>
      <c r="M150" s="47">
        <f>M149+($M$153-$M$148)/5</f>
        <v>0.89039999999999997</v>
      </c>
      <c r="N150" s="85">
        <f>N149-($N$148-$N$153)/5</f>
        <v>8.7999999999999992E-4</v>
      </c>
      <c r="O150" s="13">
        <v>674</v>
      </c>
    </row>
    <row r="151" spans="1:15">
      <c r="A151" s="13">
        <v>676</v>
      </c>
      <c r="B151" s="31"/>
      <c r="C151" s="18">
        <v>5.9806999999999999E-2</v>
      </c>
      <c r="D151" s="19">
        <v>2.1801000000000001E-2</v>
      </c>
      <c r="E151" s="20">
        <v>0</v>
      </c>
      <c r="F151" s="6">
        <v>9.6000000000000002E-5</v>
      </c>
      <c r="G151" s="34"/>
      <c r="H151" s="10">
        <v>79.881600000000006</v>
      </c>
      <c r="I151" s="13">
        <v>18</v>
      </c>
      <c r="J151" s="38">
        <v>182.78299999999999</v>
      </c>
      <c r="K151" s="27">
        <v>85.04</v>
      </c>
      <c r="L151" s="47">
        <f>L150+($L$153-$L$148)/5</f>
        <v>0.84559999999999991</v>
      </c>
      <c r="M151" s="47">
        <f>M150+($M$153-$M$148)/5</f>
        <v>0.89059999999999995</v>
      </c>
      <c r="N151" s="85">
        <f>N150-($N$148-$N$153)/5</f>
        <v>8.1999999999999987E-4</v>
      </c>
      <c r="O151" s="13">
        <v>676</v>
      </c>
    </row>
    <row r="152" spans="1:15">
      <c r="A152" s="13">
        <v>678</v>
      </c>
      <c r="B152" s="31"/>
      <c r="C152" s="18">
        <v>5.2970999999999997E-2</v>
      </c>
      <c r="D152" s="19">
        <v>1.9281E-2</v>
      </c>
      <c r="E152" s="20">
        <v>0</v>
      </c>
      <c r="F152" s="6">
        <v>8.3999999999999995E-5</v>
      </c>
      <c r="G152" s="34"/>
      <c r="H152" s="10">
        <v>79.082899999999995</v>
      </c>
      <c r="I152" s="13">
        <v>17</v>
      </c>
      <c r="J152" s="38">
        <v>184.10900000000001</v>
      </c>
      <c r="K152" s="27">
        <v>84.52</v>
      </c>
      <c r="L152" s="47">
        <f>L151+($L$153-$L$148)/5</f>
        <v>0.84679999999999989</v>
      </c>
      <c r="M152" s="47">
        <f>M151+($M$153-$M$148)/5</f>
        <v>0.89079999999999993</v>
      </c>
      <c r="N152" s="85">
        <f>N151-($N$148-$N$153)/5</f>
        <v>7.5999999999999983E-4</v>
      </c>
      <c r="O152" s="13">
        <v>678</v>
      </c>
    </row>
    <row r="153" spans="1:15">
      <c r="A153" s="13">
        <v>680</v>
      </c>
      <c r="B153" s="31"/>
      <c r="C153" s="18">
        <v>4.6769999999999999E-2</v>
      </c>
      <c r="D153" s="19">
        <v>1.7000000000000001E-2</v>
      </c>
      <c r="E153" s="20">
        <v>0</v>
      </c>
      <c r="F153" s="6">
        <v>7.2000000000000002E-5</v>
      </c>
      <c r="G153" s="34"/>
      <c r="H153" s="10">
        <v>78.284199999999998</v>
      </c>
      <c r="I153" s="13">
        <v>16</v>
      </c>
      <c r="J153" s="38">
        <v>185.429</v>
      </c>
      <c r="K153" s="27">
        <v>84</v>
      </c>
      <c r="L153" s="47">
        <v>0.84799999999999998</v>
      </c>
      <c r="M153" s="47">
        <v>0.89100000000000001</v>
      </c>
      <c r="N153" s="85">
        <v>6.9999999999999999E-4</v>
      </c>
      <c r="O153" s="13">
        <v>680</v>
      </c>
    </row>
    <row r="154" spans="1:15">
      <c r="A154" s="13">
        <v>682</v>
      </c>
      <c r="B154" s="31"/>
      <c r="C154" s="18">
        <v>4.0875000000000002E-2</v>
      </c>
      <c r="D154" s="19">
        <v>1.4836999999999999E-2</v>
      </c>
      <c r="E154" s="20">
        <v>0</v>
      </c>
      <c r="F154" s="6">
        <v>6.3E-5</v>
      </c>
      <c r="G154" s="34"/>
      <c r="H154" s="10">
        <v>76.571600000000004</v>
      </c>
      <c r="I154" s="13">
        <v>21</v>
      </c>
      <c r="J154" s="38">
        <v>186.74299999999999</v>
      </c>
      <c r="K154" s="27">
        <v>83.28</v>
      </c>
      <c r="L154" s="47">
        <f>L153+($L$158-$L$153)/5</f>
        <v>0.84860000000000002</v>
      </c>
      <c r="M154" s="47">
        <v>0.89100000000000001</v>
      </c>
      <c r="N154" s="85">
        <f>N153-($N$153-$N$158)/5</f>
        <v>6.3999999999999994E-4</v>
      </c>
      <c r="O154" s="13">
        <v>682</v>
      </c>
    </row>
    <row r="155" spans="1:15">
      <c r="A155" s="13">
        <v>684</v>
      </c>
      <c r="B155" s="31"/>
      <c r="C155" s="18">
        <v>3.5404999999999999E-2</v>
      </c>
      <c r="D155" s="19">
        <v>1.2834999999999999E-2</v>
      </c>
      <c r="E155" s="20">
        <v>0</v>
      </c>
      <c r="F155" s="6">
        <v>5.3999999999999998E-5</v>
      </c>
      <c r="G155" s="34"/>
      <c r="H155" s="10">
        <v>74.858999999999995</v>
      </c>
      <c r="I155" s="13">
        <v>1</v>
      </c>
      <c r="J155" s="38">
        <v>188.05</v>
      </c>
      <c r="K155" s="27">
        <v>82.57</v>
      </c>
      <c r="L155" s="47">
        <f>L154+($L$158-$L$153)/5</f>
        <v>0.84920000000000007</v>
      </c>
      <c r="M155" s="47">
        <v>0.89100000000000001</v>
      </c>
      <c r="N155" s="85">
        <f>N154-($N$153-$N$158)/5</f>
        <v>5.8E-4</v>
      </c>
      <c r="O155" s="13">
        <v>684</v>
      </c>
    </row>
    <row r="156" spans="1:15">
      <c r="A156" s="13">
        <v>686</v>
      </c>
      <c r="B156" s="31"/>
      <c r="C156" s="18">
        <v>3.0564000000000001E-2</v>
      </c>
      <c r="D156" s="19">
        <v>1.1068E-2</v>
      </c>
      <c r="E156" s="20">
        <v>0</v>
      </c>
      <c r="F156" s="6">
        <v>4.6999999999999997E-5</v>
      </c>
      <c r="G156" s="34"/>
      <c r="H156" s="10">
        <v>73.146500000000003</v>
      </c>
      <c r="I156" s="13">
        <v>11</v>
      </c>
      <c r="J156" s="38">
        <v>189.35</v>
      </c>
      <c r="K156" s="27">
        <v>81.81</v>
      </c>
      <c r="L156" s="47">
        <f>L155+($L$158-$L$153)/5</f>
        <v>0.84980000000000011</v>
      </c>
      <c r="M156" s="47">
        <v>0.89100000000000001</v>
      </c>
      <c r="N156" s="85">
        <f>N155-($N$153-$N$158)/5</f>
        <v>5.2000000000000006E-4</v>
      </c>
      <c r="O156" s="13">
        <v>686</v>
      </c>
    </row>
    <row r="157" spans="1:15">
      <c r="A157" s="13">
        <v>688</v>
      </c>
      <c r="B157" s="31"/>
      <c r="C157" s="18">
        <v>2.6345E-2</v>
      </c>
      <c r="D157" s="19">
        <v>9.5329999999999998E-3</v>
      </c>
      <c r="E157" s="20">
        <v>0</v>
      </c>
      <c r="F157" s="6">
        <v>4.1E-5</v>
      </c>
      <c r="G157" s="34"/>
      <c r="H157" s="10">
        <v>71.433899999999994</v>
      </c>
      <c r="I157" s="13">
        <v>6</v>
      </c>
      <c r="J157" s="38">
        <v>190.64400000000001</v>
      </c>
      <c r="K157" s="27">
        <v>81</v>
      </c>
      <c r="L157" s="47">
        <f>L156+($L$158-$L$153)/5</f>
        <v>0.85040000000000016</v>
      </c>
      <c r="M157" s="47">
        <v>0.89100000000000001</v>
      </c>
      <c r="N157" s="85">
        <f>N156-($N$153-$N$158)/5</f>
        <v>4.6000000000000007E-4</v>
      </c>
      <c r="O157" s="13">
        <v>688</v>
      </c>
    </row>
    <row r="158" spans="1:15">
      <c r="A158" s="13">
        <v>690</v>
      </c>
      <c r="B158" s="31"/>
      <c r="C158" s="18">
        <v>2.2700000000000001E-2</v>
      </c>
      <c r="D158" s="19">
        <v>8.2100000000000003E-3</v>
      </c>
      <c r="E158" s="20">
        <v>0</v>
      </c>
      <c r="F158" s="6">
        <v>3.4999999999999997E-5</v>
      </c>
      <c r="G158" s="34"/>
      <c r="H158" s="10">
        <v>69.721299999999999</v>
      </c>
      <c r="I158" s="13">
        <v>0</v>
      </c>
      <c r="J158" s="38">
        <v>191.93100000000001</v>
      </c>
      <c r="K158" s="27">
        <v>80.2</v>
      </c>
      <c r="L158" s="47">
        <v>0.85099999999999998</v>
      </c>
      <c r="M158" s="47">
        <v>0.89100000000000001</v>
      </c>
      <c r="N158" s="85">
        <v>4.0000000000000002E-4</v>
      </c>
      <c r="O158" s="13">
        <v>690</v>
      </c>
    </row>
    <row r="159" spans="1:15">
      <c r="A159" s="13">
        <v>692</v>
      </c>
      <c r="B159" s="31"/>
      <c r="C159" s="18">
        <v>1.9599999999999999E-2</v>
      </c>
      <c r="D159" s="19">
        <v>7.0850000000000002E-3</v>
      </c>
      <c r="E159" s="20">
        <v>0</v>
      </c>
      <c r="F159" s="6">
        <v>3.1000000000000001E-5</v>
      </c>
      <c r="G159" s="34"/>
      <c r="H159" s="10">
        <v>70.0989</v>
      </c>
      <c r="I159" s="13">
        <v>0</v>
      </c>
      <c r="J159" s="38">
        <v>193.21100000000001</v>
      </c>
      <c r="K159" s="27">
        <v>79.42</v>
      </c>
      <c r="L159" s="47">
        <f>L158+($L$163-$L$158)/5</f>
        <v>0.85139999999999993</v>
      </c>
      <c r="M159" s="47">
        <v>0.89100000000000001</v>
      </c>
      <c r="N159" s="85">
        <f>N158-($N$158-$N$163)/5</f>
        <v>3.8000000000000002E-4</v>
      </c>
      <c r="O159" s="13">
        <v>692</v>
      </c>
    </row>
    <row r="160" spans="1:15">
      <c r="A160" s="13">
        <v>694</v>
      </c>
      <c r="B160" s="31"/>
      <c r="C160" s="18">
        <v>1.6986999999999999E-2</v>
      </c>
      <c r="D160" s="19">
        <v>6.1380000000000002E-3</v>
      </c>
      <c r="E160" s="20">
        <v>0</v>
      </c>
      <c r="F160" s="6">
        <v>2.6999999999999999E-5</v>
      </c>
      <c r="G160" s="34"/>
      <c r="H160" s="10">
        <v>70.476399999999998</v>
      </c>
      <c r="I160" s="13">
        <v>0</v>
      </c>
      <c r="J160" s="38">
        <v>194.48400000000001</v>
      </c>
      <c r="K160" s="27">
        <v>78.63</v>
      </c>
      <c r="L160" s="47">
        <f>L159+($L$163-$L$158)/5</f>
        <v>0.85179999999999989</v>
      </c>
      <c r="M160" s="47">
        <v>0.89100000000000001</v>
      </c>
      <c r="N160" s="85">
        <f>N159-($N$158-$N$163)/5</f>
        <v>3.6000000000000002E-4</v>
      </c>
      <c r="O160" s="13">
        <v>694</v>
      </c>
    </row>
    <row r="161" spans="1:16">
      <c r="A161" s="13">
        <v>696</v>
      </c>
      <c r="B161" s="31"/>
      <c r="C161" s="18">
        <v>1.4791E-2</v>
      </c>
      <c r="D161" s="19">
        <v>5.3429999999999997E-3</v>
      </c>
      <c r="E161" s="20">
        <v>0</v>
      </c>
      <c r="F161" s="6">
        <v>2.4000000000000001E-5</v>
      </c>
      <c r="G161" s="34"/>
      <c r="H161" s="10">
        <v>70.853999999999999</v>
      </c>
      <c r="I161" s="13">
        <v>0</v>
      </c>
      <c r="J161" s="38">
        <v>195.75</v>
      </c>
      <c r="K161" s="27">
        <v>77.849999999999994</v>
      </c>
      <c r="L161" s="47">
        <f>L160+($L$163-$L$158)/5</f>
        <v>0.85219999999999985</v>
      </c>
      <c r="M161" s="47">
        <v>0.89100000000000001</v>
      </c>
      <c r="N161" s="85">
        <f>N160-($N$158-$N$163)/5</f>
        <v>3.4000000000000002E-4</v>
      </c>
      <c r="O161" s="13">
        <v>696</v>
      </c>
    </row>
    <row r="162" spans="1:16">
      <c r="A162" s="13">
        <v>698</v>
      </c>
      <c r="B162" s="31"/>
      <c r="C162" s="18">
        <v>1.2949E-2</v>
      </c>
      <c r="D162" s="19">
        <v>4.6759999999999996E-3</v>
      </c>
      <c r="E162" s="20">
        <v>0</v>
      </c>
      <c r="F162" s="6">
        <v>2.0999999999999999E-5</v>
      </c>
      <c r="G162" s="34"/>
      <c r="H162" s="10">
        <v>71.231499999999997</v>
      </c>
      <c r="I162" s="13">
        <v>0</v>
      </c>
      <c r="J162" s="38">
        <v>197.00899999999999</v>
      </c>
      <c r="K162" s="27">
        <v>77.08</v>
      </c>
      <c r="L162" s="47">
        <f>L161+($L$163-$L$158)/5</f>
        <v>0.8525999999999998</v>
      </c>
      <c r="M162" s="47">
        <v>0.89100000000000001</v>
      </c>
      <c r="N162" s="85">
        <f>N161-($N$158-$N$163)/5</f>
        <v>3.2000000000000003E-4</v>
      </c>
      <c r="O162" s="13">
        <v>698</v>
      </c>
    </row>
    <row r="163" spans="1:16">
      <c r="A163" s="13">
        <v>700</v>
      </c>
      <c r="B163" s="31"/>
      <c r="C163" s="18">
        <v>1.1358999999999999E-2</v>
      </c>
      <c r="D163" s="19">
        <v>4.1019999999999997E-3</v>
      </c>
      <c r="E163" s="20">
        <v>0</v>
      </c>
      <c r="F163" s="6">
        <v>1.8E-5</v>
      </c>
      <c r="G163" s="34"/>
      <c r="H163" s="10">
        <v>71.609099999999998</v>
      </c>
      <c r="I163" s="13">
        <v>0</v>
      </c>
      <c r="J163" s="38">
        <v>198.261</v>
      </c>
      <c r="K163" s="27">
        <v>76.3</v>
      </c>
      <c r="L163" s="47">
        <v>0.85299999999999998</v>
      </c>
      <c r="M163" s="47">
        <v>0.89100000000000001</v>
      </c>
      <c r="N163" s="85">
        <v>2.9999999999999997E-4</v>
      </c>
      <c r="O163" s="13">
        <v>700</v>
      </c>
      <c r="P163" s="97"/>
    </row>
    <row r="164" spans="1:16">
      <c r="A164" s="13">
        <v>702</v>
      </c>
      <c r="B164" s="31"/>
      <c r="C164" s="18">
        <v>9.9389999999999999E-3</v>
      </c>
      <c r="D164" s="19">
        <v>3.3540000000000002E-3</v>
      </c>
      <c r="E164" s="20">
        <v>0</v>
      </c>
      <c r="F164" s="6">
        <v>1.5999999999999999E-5</v>
      </c>
      <c r="G164" s="34"/>
      <c r="H164" s="10">
        <v>72.1571</v>
      </c>
      <c r="I164" s="13">
        <v>0</v>
      </c>
      <c r="J164" s="38">
        <v>199.506</v>
      </c>
      <c r="K164" s="27">
        <v>75.52</v>
      </c>
      <c r="L164" s="47">
        <f>L163-($L$163-$L$168)/5</f>
        <v>0.8528</v>
      </c>
      <c r="M164" s="47">
        <v>0.89100000000000001</v>
      </c>
      <c r="N164" s="85">
        <f>N163-($N$163-$N$168)/5</f>
        <v>2.7999999999999998E-4</v>
      </c>
      <c r="O164" s="13">
        <v>702</v>
      </c>
    </row>
    <row r="165" spans="1:16">
      <c r="A165" s="13">
        <v>704</v>
      </c>
      <c r="B165" s="31"/>
      <c r="C165" s="18">
        <v>8.6789999999999992E-3</v>
      </c>
      <c r="D165" s="19">
        <v>2.9290000000000002E-3</v>
      </c>
      <c r="E165" s="20">
        <v>0</v>
      </c>
      <c r="F165" s="6">
        <v>1.4E-5</v>
      </c>
      <c r="G165" s="34"/>
      <c r="H165" s="10">
        <v>72.705100000000002</v>
      </c>
      <c r="I165" s="13">
        <v>0</v>
      </c>
      <c r="J165" s="38">
        <v>200.74299999999999</v>
      </c>
      <c r="K165" s="27">
        <v>74.75</v>
      </c>
      <c r="L165" s="47">
        <f>L164-($L$163-$L$168)/5</f>
        <v>0.85260000000000002</v>
      </c>
      <c r="M165" s="47">
        <v>0.89100000000000001</v>
      </c>
      <c r="N165" s="85">
        <f>N164-($N$163-$N$168)/5</f>
        <v>2.5999999999999998E-4</v>
      </c>
      <c r="O165" s="13">
        <v>704</v>
      </c>
    </row>
    <row r="166" spans="1:16">
      <c r="A166" s="13">
        <v>706</v>
      </c>
      <c r="B166" s="31"/>
      <c r="C166" s="18">
        <v>7.5820000000000002E-3</v>
      </c>
      <c r="D166" s="19">
        <v>2.738E-3</v>
      </c>
      <c r="E166" s="20">
        <v>0</v>
      </c>
      <c r="F166" s="6">
        <v>1.2E-5</v>
      </c>
      <c r="G166" s="34"/>
      <c r="H166" s="10">
        <v>73.253</v>
      </c>
      <c r="I166" s="13">
        <v>0</v>
      </c>
      <c r="J166" s="38">
        <v>201.97200000000001</v>
      </c>
      <c r="K166" s="27">
        <v>73.97</v>
      </c>
      <c r="L166" s="47">
        <f>L165-($L$163-$L$168)/5</f>
        <v>0.85240000000000005</v>
      </c>
      <c r="M166" s="47">
        <v>0.89100000000000001</v>
      </c>
      <c r="N166" s="85">
        <f>N165-($N$163-$N$168)/5</f>
        <v>2.3999999999999998E-4</v>
      </c>
      <c r="O166" s="13">
        <v>706</v>
      </c>
    </row>
    <row r="167" spans="1:16">
      <c r="A167" s="13">
        <v>708</v>
      </c>
      <c r="B167" s="31"/>
      <c r="C167" s="18">
        <v>6.6270000000000001E-3</v>
      </c>
      <c r="D167" s="19">
        <v>2.3930000000000002E-3</v>
      </c>
      <c r="E167" s="20">
        <v>0</v>
      </c>
      <c r="F167" s="6">
        <v>1.1E-5</v>
      </c>
      <c r="G167" s="34"/>
      <c r="H167" s="10">
        <v>73.801000000000002</v>
      </c>
      <c r="I167" s="13">
        <v>0</v>
      </c>
      <c r="J167" s="38">
        <v>203.19499999999999</v>
      </c>
      <c r="K167" s="27">
        <v>73.180000000000007</v>
      </c>
      <c r="L167" s="47">
        <f>L166-($L$163-$L$168)/5</f>
        <v>0.85220000000000007</v>
      </c>
      <c r="M167" s="47">
        <v>0.89100000000000001</v>
      </c>
      <c r="N167" s="85">
        <f>N166-($N$163-$N$168)/5</f>
        <v>2.1999999999999998E-4</v>
      </c>
      <c r="O167" s="13">
        <v>708</v>
      </c>
    </row>
    <row r="168" spans="1:16">
      <c r="A168" s="13">
        <v>710</v>
      </c>
      <c r="B168" s="31"/>
      <c r="C168" s="18">
        <v>5.7910000000000001E-3</v>
      </c>
      <c r="D168" s="19">
        <v>2.091E-3</v>
      </c>
      <c r="E168" s="20">
        <v>0</v>
      </c>
      <c r="F168" s="6">
        <v>9.0000000000000002E-6</v>
      </c>
      <c r="G168" s="34"/>
      <c r="H168" s="10">
        <v>74.349000000000004</v>
      </c>
      <c r="I168" s="13">
        <v>0</v>
      </c>
      <c r="J168" s="38">
        <v>204.40899999999999</v>
      </c>
      <c r="K168" s="27">
        <v>72.400000000000006</v>
      </c>
      <c r="L168" s="47">
        <v>0.85199999999999998</v>
      </c>
      <c r="M168" s="47">
        <v>0.89100000000000001</v>
      </c>
      <c r="N168" s="85">
        <v>2.0000000000000001E-4</v>
      </c>
      <c r="O168" s="13">
        <v>710</v>
      </c>
      <c r="P168" s="97"/>
    </row>
    <row r="169" spans="1:16">
      <c r="A169" s="13">
        <v>712</v>
      </c>
      <c r="B169" s="31"/>
      <c r="C169" s="18">
        <v>5.0530000000000002E-3</v>
      </c>
      <c r="D169" s="19">
        <v>1.825E-3</v>
      </c>
      <c r="E169" s="20">
        <v>0</v>
      </c>
      <c r="F169" s="6">
        <v>7.9999999999999996E-6</v>
      </c>
      <c r="G169" s="34"/>
      <c r="H169" s="10">
        <v>71.8</v>
      </c>
      <c r="I169" s="13">
        <v>0</v>
      </c>
      <c r="J169" s="38">
        <v>205.61600000000001</v>
      </c>
      <c r="K169" s="27">
        <v>71.599999999999994</v>
      </c>
      <c r="L169" s="47">
        <f>L168-($L$168-$L$173)/5</f>
        <v>0.85160000000000002</v>
      </c>
      <c r="M169" s="47">
        <f>M168-($M$168-$M$173)/5</f>
        <v>0.89080000000000004</v>
      </c>
      <c r="N169" s="85">
        <f>N168-($N$168-$N$173)/5</f>
        <v>1.8000000000000001E-4</v>
      </c>
      <c r="O169" s="13">
        <v>712</v>
      </c>
    </row>
    <row r="170" spans="1:16">
      <c r="A170" s="13">
        <v>714</v>
      </c>
      <c r="B170" s="31"/>
      <c r="C170" s="18">
        <v>4.4039999999999999E-3</v>
      </c>
      <c r="D170" s="19">
        <v>1.5900000000000001E-3</v>
      </c>
      <c r="E170" s="20">
        <v>0</v>
      </c>
      <c r="F170" s="6">
        <v>6.9999999999999999E-6</v>
      </c>
      <c r="G170" s="34"/>
      <c r="H170" s="10">
        <v>69.251000000000005</v>
      </c>
      <c r="I170" s="13">
        <v>0</v>
      </c>
      <c r="J170" s="38">
        <v>206.815</v>
      </c>
      <c r="K170" s="27">
        <v>70.8</v>
      </c>
      <c r="L170" s="47">
        <f>L169-($L$168-$L$173)/5</f>
        <v>0.85120000000000007</v>
      </c>
      <c r="M170" s="47">
        <f>M169-($M$168-$M$173)/5</f>
        <v>0.89060000000000006</v>
      </c>
      <c r="N170" s="85">
        <f>N169-($N$168-$N$173)/5</f>
        <v>1.6000000000000001E-4</v>
      </c>
      <c r="O170" s="13">
        <v>714</v>
      </c>
    </row>
    <row r="171" spans="1:16">
      <c r="A171" s="13">
        <v>716</v>
      </c>
      <c r="B171" s="31"/>
      <c r="C171" s="18">
        <v>3.8340000000000002E-3</v>
      </c>
      <c r="D171" s="19">
        <v>1.384E-3</v>
      </c>
      <c r="E171" s="20">
        <v>0</v>
      </c>
      <c r="F171" s="6">
        <v>6.0000000000000002E-6</v>
      </c>
      <c r="G171" s="34"/>
      <c r="H171" s="10">
        <v>66.701999999999998</v>
      </c>
      <c r="I171" s="13">
        <v>0</v>
      </c>
      <c r="J171" s="38">
        <v>208.006</v>
      </c>
      <c r="K171" s="27">
        <v>69.98</v>
      </c>
      <c r="L171" s="47">
        <f>L170-($L$168-$L$173)/5</f>
        <v>0.85080000000000011</v>
      </c>
      <c r="M171" s="47">
        <f>M170-($M$168-$M$173)/5</f>
        <v>0.89040000000000008</v>
      </c>
      <c r="N171" s="85">
        <f>N170-($N$168-$N$173)/5</f>
        <v>1.4000000000000001E-4</v>
      </c>
      <c r="O171" s="13">
        <v>716</v>
      </c>
    </row>
    <row r="172" spans="1:16">
      <c r="A172" s="13">
        <v>718</v>
      </c>
      <c r="B172" s="31"/>
      <c r="C172" s="18">
        <v>3.3340000000000002E-3</v>
      </c>
      <c r="D172" s="19">
        <v>1.204E-3</v>
      </c>
      <c r="E172" s="20">
        <v>0</v>
      </c>
      <c r="F172" s="6">
        <v>6.0000000000000002E-6</v>
      </c>
      <c r="G172" s="34"/>
      <c r="H172" s="10">
        <v>64.153000000000006</v>
      </c>
      <c r="I172" s="13">
        <v>0</v>
      </c>
      <c r="J172" s="38">
        <v>209.18899999999999</v>
      </c>
      <c r="K172" s="27">
        <v>68.14</v>
      </c>
      <c r="L172" s="47">
        <f>L171-($L$168-$L$173)/5</f>
        <v>0.85040000000000016</v>
      </c>
      <c r="M172" s="47">
        <f>M171-($M$168-$M$173)/5</f>
        <v>0.8902000000000001</v>
      </c>
      <c r="N172" s="85">
        <f>N171-($N$168-$N$173)/5</f>
        <v>1.2000000000000002E-4</v>
      </c>
      <c r="O172" s="13">
        <v>718</v>
      </c>
    </row>
    <row r="173" spans="1:16">
      <c r="A173" s="13">
        <v>720</v>
      </c>
      <c r="B173" s="31"/>
      <c r="C173" s="18">
        <v>2.8990000000000001E-3</v>
      </c>
      <c r="D173" s="19">
        <v>1.047E-3</v>
      </c>
      <c r="E173" s="20">
        <v>0</v>
      </c>
      <c r="F173" s="6">
        <v>5.0000000000000004E-6</v>
      </c>
      <c r="G173" s="34"/>
      <c r="H173" s="10">
        <v>61.603999999999999</v>
      </c>
      <c r="I173" s="13">
        <v>0</v>
      </c>
      <c r="J173" s="38">
        <v>210.36500000000001</v>
      </c>
      <c r="K173" s="27">
        <v>68.3</v>
      </c>
      <c r="L173" s="47">
        <v>0.85</v>
      </c>
      <c r="M173" s="47">
        <v>0.89</v>
      </c>
      <c r="N173" s="85">
        <v>1E-4</v>
      </c>
      <c r="O173" s="13">
        <v>720</v>
      </c>
    </row>
    <row r="174" spans="1:16">
      <c r="A174" s="13">
        <v>722</v>
      </c>
      <c r="B174" s="31"/>
      <c r="C174" s="18">
        <v>2.5230000000000001E-3</v>
      </c>
      <c r="D174" s="19">
        <v>9.1100000000000003E-4</v>
      </c>
      <c r="E174" s="20">
        <v>0</v>
      </c>
      <c r="F174" s="6">
        <v>3.9999999999999998E-6</v>
      </c>
      <c r="G174" s="34"/>
      <c r="H174" s="10">
        <v>63.260300000000001</v>
      </c>
      <c r="I174" s="13">
        <v>0</v>
      </c>
      <c r="J174" s="38">
        <v>211.53200000000001</v>
      </c>
      <c r="K174" s="27">
        <v>67.5</v>
      </c>
      <c r="L174" s="47">
        <f>L173-($L$173-$L$178)/5</f>
        <v>0.84960000000000002</v>
      </c>
      <c r="M174" s="47">
        <f>M173-($M$173-$M$178)/5</f>
        <v>0.88980000000000004</v>
      </c>
      <c r="N174" s="85">
        <v>1E-4</v>
      </c>
      <c r="O174" s="13">
        <v>722</v>
      </c>
    </row>
    <row r="175" spans="1:16">
      <c r="A175" s="13">
        <v>724</v>
      </c>
      <c r="B175" s="31"/>
      <c r="C175" s="18">
        <v>2.1970000000000002E-3</v>
      </c>
      <c r="D175" s="19">
        <v>7.9299999999999998E-4</v>
      </c>
      <c r="E175" s="20">
        <v>0</v>
      </c>
      <c r="F175" s="6">
        <v>3.9999999999999998E-6</v>
      </c>
      <c r="G175" s="34"/>
      <c r="H175" s="10">
        <v>64.916600000000003</v>
      </c>
      <c r="I175" s="13">
        <v>0</v>
      </c>
      <c r="J175" s="38">
        <v>212.691</v>
      </c>
      <c r="K175" s="27">
        <v>66.7</v>
      </c>
      <c r="L175" s="47">
        <f>L174-($L$173-$L$178)/5</f>
        <v>0.84920000000000007</v>
      </c>
      <c r="M175" s="47">
        <f>M174-($M$173-$M$178)/5</f>
        <v>0.88960000000000006</v>
      </c>
      <c r="N175" s="85">
        <v>1E-4</v>
      </c>
      <c r="O175" s="13">
        <v>724</v>
      </c>
    </row>
    <row r="176" spans="1:16">
      <c r="A176" s="13">
        <v>726</v>
      </c>
      <c r="B176" s="31"/>
      <c r="C176" s="18">
        <v>1.9109999999999999E-3</v>
      </c>
      <c r="D176" s="19">
        <v>6.8999999999999997E-4</v>
      </c>
      <c r="E176" s="20">
        <v>0</v>
      </c>
      <c r="F176" s="6">
        <v>3.0000000000000001E-6</v>
      </c>
      <c r="G176" s="34"/>
      <c r="H176" s="10">
        <v>66.572999999999993</v>
      </c>
      <c r="I176" s="13">
        <v>0</v>
      </c>
      <c r="J176" s="38">
        <v>213.84200000000001</v>
      </c>
      <c r="K176" s="27">
        <v>65.92</v>
      </c>
      <c r="L176" s="47">
        <f>L175-($L$173-$L$178)/5</f>
        <v>0.84880000000000011</v>
      </c>
      <c r="M176" s="47">
        <f>M175-($M$173-$M$178)/5</f>
        <v>0.88940000000000008</v>
      </c>
      <c r="N176" s="85">
        <v>1E-4</v>
      </c>
      <c r="O176" s="13">
        <v>726</v>
      </c>
    </row>
    <row r="177" spans="1:15">
      <c r="A177" s="13">
        <v>728</v>
      </c>
      <c r="B177" s="31"/>
      <c r="C177" s="18">
        <v>1.66E-3</v>
      </c>
      <c r="D177" s="19">
        <v>5.9900000000000003E-4</v>
      </c>
      <c r="E177" s="20">
        <v>0</v>
      </c>
      <c r="F177" s="6">
        <v>3.0000000000000001E-6</v>
      </c>
      <c r="G177" s="34"/>
      <c r="H177" s="10">
        <v>68.229299999999995</v>
      </c>
      <c r="I177" s="13">
        <v>0</v>
      </c>
      <c r="J177" s="38">
        <v>214.98500000000001</v>
      </c>
      <c r="K177" s="27">
        <v>65.16</v>
      </c>
      <c r="L177" s="47">
        <f>L176-($L$173-$L$178)/5</f>
        <v>0.84840000000000015</v>
      </c>
      <c r="M177" s="47">
        <f>M176-($M$173-$M$178)/5</f>
        <v>0.8892000000000001</v>
      </c>
      <c r="N177" s="85">
        <v>1E-4</v>
      </c>
      <c r="O177" s="13">
        <v>728</v>
      </c>
    </row>
    <row r="178" spans="1:15">
      <c r="A178" s="13">
        <v>730</v>
      </c>
      <c r="B178" s="31"/>
      <c r="C178" s="18">
        <v>1.4400000000000001E-3</v>
      </c>
      <c r="D178" s="19">
        <v>5.1999999999999995E-4</v>
      </c>
      <c r="E178" s="20">
        <v>0</v>
      </c>
      <c r="F178" s="6">
        <v>3.0000000000000001E-6</v>
      </c>
      <c r="G178" s="34"/>
      <c r="H178" s="10">
        <v>69.885599999999997</v>
      </c>
      <c r="I178" s="13">
        <v>0</v>
      </c>
      <c r="J178" s="38">
        <v>216.12</v>
      </c>
      <c r="K178" s="27">
        <v>64.400000000000006</v>
      </c>
      <c r="L178" s="47">
        <v>0.84799999999999998</v>
      </c>
      <c r="M178" s="47">
        <v>0.88900000000000001</v>
      </c>
      <c r="N178" s="85">
        <v>1E-4</v>
      </c>
      <c r="O178" s="13">
        <v>730</v>
      </c>
    </row>
    <row r="179" spans="1:15">
      <c r="A179" s="13">
        <v>732</v>
      </c>
      <c r="B179" s="31"/>
      <c r="C179" s="18">
        <v>1.34E-3</v>
      </c>
      <c r="D179" s="19">
        <v>4.4999999999999999E-4</v>
      </c>
      <c r="E179" s="20">
        <v>0</v>
      </c>
      <c r="F179" s="6">
        <v>1.9999999999999999E-6</v>
      </c>
      <c r="G179" s="34"/>
      <c r="H179" s="10">
        <v>70.925899999999999</v>
      </c>
      <c r="I179" s="13">
        <v>0</v>
      </c>
      <c r="J179" s="38">
        <v>217.24600000000001</v>
      </c>
      <c r="K179" s="27">
        <v>63.76</v>
      </c>
      <c r="L179" s="47">
        <f>L178-($L$178-$L$183)/5</f>
        <v>0.84760000000000002</v>
      </c>
      <c r="M179" s="47">
        <f>M178-($M$178-$M$183)/5</f>
        <v>0.88880000000000003</v>
      </c>
      <c r="N179" s="85">
        <v>1E-4</v>
      </c>
      <c r="O179" s="13">
        <v>732</v>
      </c>
    </row>
    <row r="180" spans="1:15">
      <c r="A180" s="13">
        <v>734</v>
      </c>
      <c r="B180" s="31"/>
      <c r="C180" s="18">
        <v>1.0759999999999999E-3</v>
      </c>
      <c r="D180" s="19">
        <v>3.8900000000000002E-4</v>
      </c>
      <c r="E180" s="20">
        <v>0</v>
      </c>
      <c r="F180" s="6">
        <v>1.9999999999999999E-6</v>
      </c>
      <c r="G180" s="34"/>
      <c r="H180" s="10">
        <v>71.966200000000001</v>
      </c>
      <c r="I180" s="13">
        <v>0</v>
      </c>
      <c r="J180" s="38">
        <v>218.364</v>
      </c>
      <c r="K180" s="27">
        <v>63.12</v>
      </c>
      <c r="L180" s="47">
        <f>L179-($L$178-$L$183)/5</f>
        <v>0.84720000000000006</v>
      </c>
      <c r="M180" s="47">
        <f>M179-($M$178-$M$183)/5</f>
        <v>0.88860000000000006</v>
      </c>
      <c r="N180" s="85">
        <v>1E-4</v>
      </c>
      <c r="O180" s="13">
        <v>734</v>
      </c>
    </row>
    <row r="181" spans="1:15">
      <c r="A181" s="13">
        <v>736</v>
      </c>
      <c r="B181" s="31"/>
      <c r="C181" s="18">
        <v>9.2900000000000003E-4</v>
      </c>
      <c r="D181" s="19">
        <v>3.3500000000000001E-4</v>
      </c>
      <c r="E181" s="20">
        <v>0</v>
      </c>
      <c r="F181" s="6">
        <v>1.9999999999999999E-6</v>
      </c>
      <c r="G181" s="34"/>
      <c r="H181" s="10">
        <v>73.006399999999999</v>
      </c>
      <c r="I181" s="13">
        <v>0</v>
      </c>
      <c r="J181" s="38">
        <v>219.47300000000001</v>
      </c>
      <c r="K181" s="27">
        <v>62.54</v>
      </c>
      <c r="L181" s="47">
        <f>L180-($L$178-$L$183)/5</f>
        <v>0.84680000000000011</v>
      </c>
      <c r="M181" s="47">
        <f>M180-($M$178-$M$183)/5</f>
        <v>0.88840000000000008</v>
      </c>
      <c r="N181" s="85">
        <v>1E-4</v>
      </c>
      <c r="O181" s="13">
        <v>736</v>
      </c>
    </row>
    <row r="182" spans="1:15">
      <c r="A182" s="13">
        <v>738</v>
      </c>
      <c r="B182" s="31"/>
      <c r="C182" s="18">
        <v>8.0099999999999995E-4</v>
      </c>
      <c r="D182" s="19">
        <v>2.8899999999999998E-4</v>
      </c>
      <c r="E182" s="20">
        <v>0</v>
      </c>
      <c r="F182" s="6">
        <v>1.9999999999999999E-6</v>
      </c>
      <c r="G182" s="34"/>
      <c r="H182" s="10">
        <v>74.046700000000001</v>
      </c>
      <c r="I182" s="13">
        <v>0</v>
      </c>
      <c r="J182" s="38">
        <v>220.57400000000001</v>
      </c>
      <c r="K182" s="27">
        <v>62.02</v>
      </c>
      <c r="L182" s="47">
        <f>L181-($L$178-$L$183)/5</f>
        <v>0.84640000000000015</v>
      </c>
      <c r="M182" s="47">
        <f>M181-($M$178-$M$183)/5</f>
        <v>0.8882000000000001</v>
      </c>
      <c r="N182" s="85">
        <v>1E-4</v>
      </c>
      <c r="O182" s="13">
        <v>738</v>
      </c>
    </row>
    <row r="183" spans="1:15">
      <c r="A183" s="13">
        <v>740</v>
      </c>
      <c r="B183" s="31"/>
      <c r="C183" s="18">
        <v>6.8999999999999997E-4</v>
      </c>
      <c r="D183" s="19">
        <v>2.4899999999999998E-4</v>
      </c>
      <c r="E183" s="20">
        <v>0</v>
      </c>
      <c r="F183" s="6">
        <v>9.9999999999999995E-7</v>
      </c>
      <c r="G183" s="34"/>
      <c r="H183" s="10">
        <v>75.087000000000003</v>
      </c>
      <c r="I183" s="13">
        <v>0</v>
      </c>
      <c r="J183" s="38">
        <v>221.667</v>
      </c>
      <c r="K183" s="27">
        <v>61.5</v>
      </c>
      <c r="L183" s="47">
        <v>0.84599999999999997</v>
      </c>
      <c r="M183" s="47">
        <v>0.88800000000000001</v>
      </c>
      <c r="N183" s="85">
        <v>1E-4</v>
      </c>
      <c r="O183" s="13">
        <v>740</v>
      </c>
    </row>
    <row r="184" spans="1:15">
      <c r="A184" s="13">
        <v>742</v>
      </c>
      <c r="B184" s="31"/>
      <c r="C184" s="18">
        <v>5.9500000000000004E-4</v>
      </c>
      <c r="D184" s="19">
        <v>2.1499999999999999E-4</v>
      </c>
      <c r="E184" s="20">
        <v>0</v>
      </c>
      <c r="F184" s="6">
        <v>9.9999999999999995E-7</v>
      </c>
      <c r="G184" s="34"/>
      <c r="H184" s="10">
        <v>72.7881</v>
      </c>
      <c r="I184" s="13">
        <v>0</v>
      </c>
      <c r="J184" s="38">
        <v>222.751</v>
      </c>
      <c r="K184" s="27">
        <v>60.98</v>
      </c>
      <c r="L184" s="47">
        <f>L183-($L$183-$L$188)/5</f>
        <v>0.84539999999999993</v>
      </c>
      <c r="M184" s="47">
        <f>M183-($M$183-$M$188)/5</f>
        <v>0.88760000000000006</v>
      </c>
      <c r="N184" s="85">
        <v>1E-4</v>
      </c>
      <c r="O184" s="13">
        <v>742</v>
      </c>
    </row>
    <row r="185" spans="1:15">
      <c r="A185" s="13">
        <v>744</v>
      </c>
      <c r="B185" s="31"/>
      <c r="C185" s="18">
        <v>5.1199999999999998E-4</v>
      </c>
      <c r="D185" s="19">
        <v>1.85E-4</v>
      </c>
      <c r="E185" s="20">
        <v>0</v>
      </c>
      <c r="F185" s="6">
        <v>9.9999999999999995E-7</v>
      </c>
      <c r="G185" s="34"/>
      <c r="H185" s="10">
        <v>70.4893</v>
      </c>
      <c r="I185" s="13">
        <v>0</v>
      </c>
      <c r="J185" s="38">
        <v>223.82599999999999</v>
      </c>
      <c r="K185" s="27">
        <v>60.46</v>
      </c>
      <c r="L185" s="47">
        <f>L184-($L$183-$L$188)/5</f>
        <v>0.84479999999999988</v>
      </c>
      <c r="M185" s="47">
        <f>M184-($M$183-$M$188)/5</f>
        <v>0.8872000000000001</v>
      </c>
      <c r="N185" s="85">
        <v>1E-4</v>
      </c>
      <c r="O185" s="13">
        <v>744</v>
      </c>
    </row>
    <row r="186" spans="1:15">
      <c r="A186" s="13">
        <v>746</v>
      </c>
      <c r="B186" s="31"/>
      <c r="C186" s="18">
        <v>4.4200000000000001E-4</v>
      </c>
      <c r="D186" s="19">
        <v>1.6000000000000001E-4</v>
      </c>
      <c r="E186" s="20">
        <v>0</v>
      </c>
      <c r="F186" s="6">
        <v>9.9999999999999995E-7</v>
      </c>
      <c r="G186" s="34"/>
      <c r="H186" s="10">
        <v>68.190399999999997</v>
      </c>
      <c r="I186" s="13">
        <v>0</v>
      </c>
      <c r="J186" s="38">
        <v>224.893</v>
      </c>
      <c r="K186" s="27">
        <v>60</v>
      </c>
      <c r="L186" s="47">
        <f>L185-($L$183-$L$188)/5</f>
        <v>0.84419999999999984</v>
      </c>
      <c r="M186" s="47">
        <f>M185-($M$183-$M$188)/5</f>
        <v>0.88680000000000014</v>
      </c>
      <c r="N186" s="85">
        <v>1E-4</v>
      </c>
      <c r="O186" s="13">
        <v>746</v>
      </c>
    </row>
    <row r="187" spans="1:15">
      <c r="A187" s="13">
        <v>748</v>
      </c>
      <c r="B187" s="31"/>
      <c r="C187" s="18">
        <v>3.8299999999999999E-4</v>
      </c>
      <c r="D187" s="19">
        <v>1.3799999999999999E-4</v>
      </c>
      <c r="E187" s="20">
        <v>0</v>
      </c>
      <c r="F187" s="6">
        <v>0</v>
      </c>
      <c r="G187" s="34"/>
      <c r="H187" s="10">
        <v>65.891599999999997</v>
      </c>
      <c r="I187" s="13">
        <v>0</v>
      </c>
      <c r="J187" s="38">
        <v>225.95099999999999</v>
      </c>
      <c r="K187" s="27">
        <v>59.6</v>
      </c>
      <c r="L187" s="47">
        <f>L186-($L$183-$L$188)/5</f>
        <v>0.84359999999999979</v>
      </c>
      <c r="M187" s="47">
        <f>M186-($M$183-$M$188)/5</f>
        <v>0.88640000000000019</v>
      </c>
      <c r="N187" s="85">
        <v>1E-4</v>
      </c>
      <c r="O187" s="13">
        <v>748</v>
      </c>
    </row>
    <row r="188" spans="1:15">
      <c r="A188" s="13">
        <v>750</v>
      </c>
      <c r="B188" s="31"/>
      <c r="C188" s="18">
        <v>3.3199999999999999E-4</v>
      </c>
      <c r="D188" s="19">
        <v>1.2E-4</v>
      </c>
      <c r="E188" s="20">
        <v>0</v>
      </c>
      <c r="F188" s="6">
        <v>0</v>
      </c>
      <c r="G188" s="34"/>
      <c r="H188" s="10">
        <v>63.592700000000001</v>
      </c>
      <c r="I188" s="13">
        <v>0</v>
      </c>
      <c r="J188" s="38">
        <v>227</v>
      </c>
      <c r="K188" s="27">
        <v>59.2</v>
      </c>
      <c r="L188" s="47">
        <v>0.84299999999999997</v>
      </c>
      <c r="M188" s="47">
        <v>0.88600000000000001</v>
      </c>
      <c r="N188" s="85">
        <v>1E-4</v>
      </c>
      <c r="O188" s="13">
        <v>750</v>
      </c>
    </row>
    <row r="189" spans="1:15">
      <c r="A189" s="13">
        <v>752</v>
      </c>
      <c r="B189" s="31"/>
      <c r="C189" s="18">
        <v>2.8899999999999998E-4</v>
      </c>
      <c r="D189" s="19">
        <v>1.0399999999999999E-4</v>
      </c>
      <c r="E189" s="20">
        <v>0</v>
      </c>
      <c r="F189" s="6">
        <v>0</v>
      </c>
      <c r="G189" s="34"/>
      <c r="H189" s="10">
        <v>60.157800000000002</v>
      </c>
      <c r="I189" s="13">
        <v>0</v>
      </c>
      <c r="J189" s="38">
        <v>228.041</v>
      </c>
      <c r="K189" s="27">
        <v>58.92</v>
      </c>
      <c r="L189" s="47">
        <f>L188-($L$188-$L$193)/5</f>
        <v>0.84239999999999993</v>
      </c>
      <c r="M189" s="47">
        <f>M188-($M$188-$M$193)/5</f>
        <v>0.88560000000000005</v>
      </c>
      <c r="N189" s="85">
        <v>1E-4</v>
      </c>
      <c r="O189" s="13">
        <v>752</v>
      </c>
    </row>
    <row r="190" spans="1:15">
      <c r="A190" s="13">
        <v>754</v>
      </c>
      <c r="B190" s="31"/>
      <c r="C190" s="18">
        <v>2.52E-4</v>
      </c>
      <c r="D190" s="19">
        <v>9.1000000000000003E-5</v>
      </c>
      <c r="E190" s="20">
        <v>0</v>
      </c>
      <c r="F190" s="6">
        <v>0</v>
      </c>
      <c r="G190" s="34"/>
      <c r="H190" s="10">
        <v>56.722900000000003</v>
      </c>
      <c r="I190" s="13">
        <v>0</v>
      </c>
      <c r="J190" s="38">
        <v>229.07300000000001</v>
      </c>
      <c r="K190" s="27">
        <v>58.64</v>
      </c>
      <c r="L190" s="47">
        <f>L189-($L$188-$L$193)/5</f>
        <v>0.84179999999999988</v>
      </c>
      <c r="M190" s="47">
        <f>M189-($M$188-$M$193)/5</f>
        <v>0.8852000000000001</v>
      </c>
      <c r="N190" s="85">
        <v>1E-4</v>
      </c>
      <c r="O190" s="13">
        <v>754</v>
      </c>
    </row>
    <row r="191" spans="1:15">
      <c r="A191" s="13">
        <v>756</v>
      </c>
      <c r="B191" s="31"/>
      <c r="C191" s="18">
        <v>2.1900000000000001E-4</v>
      </c>
      <c r="D191" s="19">
        <v>7.8999999999999996E-5</v>
      </c>
      <c r="E191" s="20">
        <v>0</v>
      </c>
      <c r="F191" s="6">
        <v>0</v>
      </c>
      <c r="G191" s="34"/>
      <c r="H191" s="10">
        <v>52.287999999999997</v>
      </c>
      <c r="I191" s="13">
        <v>0</v>
      </c>
      <c r="J191" s="38">
        <v>230.096</v>
      </c>
      <c r="K191" s="27">
        <v>58.42</v>
      </c>
      <c r="L191" s="47">
        <f>L190-($L$188-$L$193)/5</f>
        <v>0.84119999999999984</v>
      </c>
      <c r="M191" s="47">
        <f>M190-($M$188-$M$193)/5</f>
        <v>0.88480000000000014</v>
      </c>
      <c r="N191" s="85">
        <v>1E-4</v>
      </c>
      <c r="O191" s="13">
        <v>756</v>
      </c>
    </row>
    <row r="192" spans="1:15">
      <c r="A192" s="13">
        <v>758</v>
      </c>
      <c r="B192" s="31"/>
      <c r="C192" s="18">
        <v>1.9100000000000001E-4</v>
      </c>
      <c r="D192" s="19">
        <v>6.8999999999999997E-5</v>
      </c>
      <c r="E192" s="20">
        <v>0</v>
      </c>
      <c r="F192" s="6">
        <v>0</v>
      </c>
      <c r="G192" s="34"/>
      <c r="H192" s="10">
        <v>49.853099999999998</v>
      </c>
      <c r="I192" s="13">
        <v>0</v>
      </c>
      <c r="J192" s="38">
        <v>231.11</v>
      </c>
      <c r="K192" s="27">
        <v>58.96</v>
      </c>
      <c r="L192" s="47">
        <f>L191-($L$188-$L$193)/5</f>
        <v>0.84059999999999979</v>
      </c>
      <c r="M192" s="47">
        <f>M191-($M$188-$M$193)/5</f>
        <v>0.88440000000000019</v>
      </c>
      <c r="N192" s="85">
        <v>1E-4</v>
      </c>
      <c r="O192" s="13">
        <v>758</v>
      </c>
    </row>
    <row r="193" spans="1:15">
      <c r="A193" s="13">
        <v>760</v>
      </c>
      <c r="B193" s="31"/>
      <c r="C193" s="18">
        <v>1.66E-4</v>
      </c>
      <c r="D193" s="19">
        <v>6.0000000000000002E-5</v>
      </c>
      <c r="E193" s="20">
        <v>0</v>
      </c>
      <c r="F193" s="6">
        <v>0</v>
      </c>
      <c r="G193" s="34"/>
      <c r="H193" s="10">
        <v>46.418199999999999</v>
      </c>
      <c r="I193" s="13">
        <v>0</v>
      </c>
      <c r="J193" s="38">
        <v>232.11500000000001</v>
      </c>
      <c r="K193" s="27">
        <v>58.1</v>
      </c>
      <c r="L193" s="47">
        <v>0.84</v>
      </c>
      <c r="M193" s="47">
        <v>0.88400000000000001</v>
      </c>
      <c r="N193" s="85">
        <v>1E-4</v>
      </c>
      <c r="O193" s="13">
        <v>760</v>
      </c>
    </row>
    <row r="194" spans="1:15">
      <c r="A194" s="13">
        <v>762</v>
      </c>
      <c r="B194" s="31"/>
      <c r="C194" s="18">
        <v>1.45E-4</v>
      </c>
      <c r="D194" s="19">
        <v>5.1999999999999997E-5</v>
      </c>
      <c r="E194" s="20">
        <v>0</v>
      </c>
      <c r="F194" s="6">
        <v>0</v>
      </c>
      <c r="G194" s="34"/>
      <c r="H194" s="10">
        <v>50.495600000000003</v>
      </c>
      <c r="I194" s="13">
        <v>0</v>
      </c>
      <c r="J194" s="38">
        <v>233.11199999999999</v>
      </c>
      <c r="K194" s="27">
        <v>58.06</v>
      </c>
      <c r="L194" s="47">
        <f>L193-($L$193-$L$198)/5</f>
        <v>0.83919999999999995</v>
      </c>
      <c r="M194" s="47">
        <f>M193-($M$193-$M$198)/5</f>
        <v>0.88360000000000005</v>
      </c>
      <c r="N194" s="85">
        <v>1E-4</v>
      </c>
      <c r="O194" s="13">
        <v>762</v>
      </c>
    </row>
    <row r="195" spans="1:15">
      <c r="A195" s="13">
        <v>764</v>
      </c>
      <c r="B195" s="31"/>
      <c r="C195" s="18">
        <v>1.26E-4</v>
      </c>
      <c r="D195" s="19">
        <v>4.5000000000000003E-5</v>
      </c>
      <c r="E195" s="20">
        <v>0</v>
      </c>
      <c r="F195" s="6">
        <v>0</v>
      </c>
      <c r="G195" s="34"/>
      <c r="H195" s="10">
        <v>54.573099999999997</v>
      </c>
      <c r="I195" s="13">
        <v>0</v>
      </c>
      <c r="J195" s="38">
        <v>234.09899999999999</v>
      </c>
      <c r="K195" s="27">
        <v>58.02</v>
      </c>
      <c r="L195" s="47">
        <f>L194-($L$193-$L$198)/5</f>
        <v>0.83839999999999992</v>
      </c>
      <c r="M195" s="47">
        <f>M194-($M$193-$M$198)/5</f>
        <v>0.8832000000000001</v>
      </c>
      <c r="N195" s="85">
        <v>1E-4</v>
      </c>
      <c r="O195" s="13">
        <v>764</v>
      </c>
    </row>
    <row r="196" spans="1:15">
      <c r="A196" s="13">
        <v>766</v>
      </c>
      <c r="B196" s="31"/>
      <c r="C196" s="18">
        <v>1.1E-4</v>
      </c>
      <c r="D196" s="19">
        <v>4.0000000000000003E-5</v>
      </c>
      <c r="E196" s="20">
        <v>0</v>
      </c>
      <c r="F196" s="6">
        <v>0</v>
      </c>
      <c r="G196" s="34"/>
      <c r="H196" s="10">
        <v>58.650500000000001</v>
      </c>
      <c r="I196" s="13">
        <v>0</v>
      </c>
      <c r="J196" s="38">
        <v>235.078</v>
      </c>
      <c r="K196" s="27">
        <v>58.04</v>
      </c>
      <c r="L196" s="47">
        <f>L195-($L$193-$L$198)/5</f>
        <v>0.8375999999999999</v>
      </c>
      <c r="M196" s="47">
        <f>M195-($M$193-$M$198)/5</f>
        <v>0.88280000000000014</v>
      </c>
      <c r="N196" s="85">
        <v>1E-4</v>
      </c>
      <c r="O196" s="13">
        <v>766</v>
      </c>
    </row>
    <row r="197" spans="1:15">
      <c r="A197" s="13">
        <v>768</v>
      </c>
      <c r="B197" s="31"/>
      <c r="C197" s="18">
        <v>9.5000000000000005E-5</v>
      </c>
      <c r="D197" s="19">
        <v>3.4E-5</v>
      </c>
      <c r="E197" s="20">
        <v>0</v>
      </c>
      <c r="F197" s="6">
        <v>0</v>
      </c>
      <c r="G197" s="34"/>
      <c r="H197" s="10">
        <v>62.728000000000002</v>
      </c>
      <c r="I197" s="13">
        <v>0</v>
      </c>
      <c r="J197" s="38">
        <v>236.047</v>
      </c>
      <c r="K197" s="27">
        <v>58.12</v>
      </c>
      <c r="L197" s="47">
        <f>L196-($L$193-$L$198)/5</f>
        <v>0.83679999999999988</v>
      </c>
      <c r="M197" s="47">
        <f>M196-($M$193-$M$198)/5</f>
        <v>0.88240000000000018</v>
      </c>
      <c r="N197" s="85">
        <v>1E-4</v>
      </c>
      <c r="O197" s="13">
        <v>768</v>
      </c>
    </row>
    <row r="198" spans="1:15">
      <c r="A198" s="13">
        <v>770</v>
      </c>
      <c r="B198" s="31"/>
      <c r="C198" s="18">
        <v>8.2999999999999998E-5</v>
      </c>
      <c r="D198" s="19">
        <v>3.0000000000000001E-5</v>
      </c>
      <c r="E198" s="20">
        <v>0</v>
      </c>
      <c r="F198" s="6">
        <v>0</v>
      </c>
      <c r="G198" s="34"/>
      <c r="H198" s="10">
        <v>66.805400000000006</v>
      </c>
      <c r="I198" s="13">
        <v>0</v>
      </c>
      <c r="J198" s="38">
        <v>237.00800000000001</v>
      </c>
      <c r="K198" s="27">
        <v>58.2</v>
      </c>
      <c r="L198" s="47">
        <v>0.83599999999999997</v>
      </c>
      <c r="M198" s="47">
        <v>0.88200000000000001</v>
      </c>
      <c r="N198" s="85">
        <v>1E-4</v>
      </c>
      <c r="O198" s="13">
        <v>770</v>
      </c>
    </row>
    <row r="199" spans="1:15">
      <c r="A199" s="13">
        <v>772</v>
      </c>
      <c r="B199" s="31"/>
      <c r="C199" s="18">
        <v>7.2000000000000002E-5</v>
      </c>
      <c r="D199" s="19">
        <v>2.5999999999999998E-5</v>
      </c>
      <c r="E199" s="20">
        <v>0</v>
      </c>
      <c r="F199" s="6">
        <v>0</v>
      </c>
      <c r="G199" s="34"/>
      <c r="H199" s="10">
        <v>66.120900000000006</v>
      </c>
      <c r="I199" s="13">
        <v>0</v>
      </c>
      <c r="J199" s="38">
        <v>237.959</v>
      </c>
      <c r="K199" s="27">
        <v>34.92</v>
      </c>
      <c r="L199" s="47">
        <f>L198-($L$198-$L$203)/5</f>
        <v>0.83519999999999994</v>
      </c>
      <c r="M199" s="47">
        <f>M198-($M$198-$M$203)/5</f>
        <v>0.88160000000000005</v>
      </c>
      <c r="N199" s="85">
        <f>N198-($N$198-$N$203)/5</f>
        <v>8.0000000000000007E-5</v>
      </c>
      <c r="O199" s="13">
        <v>772</v>
      </c>
    </row>
    <row r="200" spans="1:15">
      <c r="A200" s="13">
        <v>774</v>
      </c>
      <c r="B200" s="31"/>
      <c r="C200" s="18">
        <v>6.3E-5</v>
      </c>
      <c r="D200" s="19">
        <v>2.3E-5</v>
      </c>
      <c r="E200" s="20">
        <v>0</v>
      </c>
      <c r="F200" s="6">
        <v>0</v>
      </c>
      <c r="G200" s="34"/>
      <c r="H200" s="10">
        <v>65.436400000000006</v>
      </c>
      <c r="I200" s="13">
        <v>0</v>
      </c>
      <c r="J200" s="38">
        <v>238.90199999999999</v>
      </c>
      <c r="K200" s="27">
        <v>11.64</v>
      </c>
      <c r="L200" s="47">
        <f>L199-($L$198-$L$203)/5</f>
        <v>0.83439999999999992</v>
      </c>
      <c r="M200" s="47">
        <f>M199-($M$198-$M$203)/5</f>
        <v>0.88120000000000009</v>
      </c>
      <c r="N200" s="85">
        <f>N199-($N$198-$N$203)/5</f>
        <v>6.0000000000000008E-5</v>
      </c>
      <c r="O200" s="13">
        <v>774</v>
      </c>
    </row>
    <row r="201" spans="1:15">
      <c r="A201" s="13">
        <v>776</v>
      </c>
      <c r="B201" s="31"/>
      <c r="C201" s="18">
        <v>5.5000000000000002E-5</v>
      </c>
      <c r="D201" s="19">
        <v>2.0000000000000002E-5</v>
      </c>
      <c r="E201" s="20">
        <v>0</v>
      </c>
      <c r="F201" s="6">
        <v>0</v>
      </c>
      <c r="G201" s="34"/>
      <c r="H201" s="10">
        <v>64.751800000000003</v>
      </c>
      <c r="I201" s="13">
        <v>0</v>
      </c>
      <c r="J201" s="38">
        <v>239.83600000000001</v>
      </c>
      <c r="K201" s="27">
        <v>0</v>
      </c>
      <c r="L201" s="47">
        <f>L200-($L$198-$L$203)/5</f>
        <v>0.8335999999999999</v>
      </c>
      <c r="M201" s="47">
        <f>M200-($M$198-$M$203)/5</f>
        <v>0.88080000000000014</v>
      </c>
      <c r="N201" s="85">
        <f>N200-($N$198-$N$203)/5</f>
        <v>4.000000000000001E-5</v>
      </c>
      <c r="O201" s="13">
        <v>776</v>
      </c>
    </row>
    <row r="202" spans="1:15">
      <c r="A202" s="13">
        <v>778</v>
      </c>
      <c r="B202" s="31"/>
      <c r="C202" s="18">
        <v>4.8000000000000001E-5</v>
      </c>
      <c r="D202" s="19">
        <v>1.7E-5</v>
      </c>
      <c r="E202" s="20">
        <v>0</v>
      </c>
      <c r="F202" s="6">
        <v>0</v>
      </c>
      <c r="G202" s="34"/>
      <c r="H202" s="10">
        <v>64.067300000000003</v>
      </c>
      <c r="I202" s="13">
        <v>0</v>
      </c>
      <c r="J202" s="38">
        <v>240.76</v>
      </c>
      <c r="K202" s="27">
        <v>0</v>
      </c>
      <c r="L202" s="47">
        <f>L201-($L$198-$L$203)/5</f>
        <v>0.83279999999999987</v>
      </c>
      <c r="M202" s="47">
        <f>M201-($M$198-$M$203)/5</f>
        <v>0.88040000000000018</v>
      </c>
      <c r="N202" s="85">
        <f>N201-($N$198-$N$203)/5</f>
        <v>2.0000000000000008E-5</v>
      </c>
      <c r="O202" s="13">
        <v>778</v>
      </c>
    </row>
    <row r="203" spans="1:15" ht="13.5" thickBot="1">
      <c r="A203" s="14">
        <v>780</v>
      </c>
      <c r="B203" s="30"/>
      <c r="C203" s="22">
        <v>4.1999999999999998E-5</v>
      </c>
      <c r="D203" s="23">
        <v>1.5E-5</v>
      </c>
      <c r="E203" s="24">
        <v>0</v>
      </c>
      <c r="F203" s="8">
        <v>0</v>
      </c>
      <c r="G203" s="36"/>
      <c r="H203" s="11">
        <v>63.382800000000003</v>
      </c>
      <c r="I203" s="14">
        <v>0</v>
      </c>
      <c r="J203" s="39">
        <v>241.67500000000001</v>
      </c>
      <c r="K203" s="28">
        <v>0</v>
      </c>
      <c r="L203" s="48">
        <v>0.83199999999999996</v>
      </c>
      <c r="M203" s="48">
        <v>0.88</v>
      </c>
      <c r="N203" s="86">
        <v>0</v>
      </c>
      <c r="O203" s="14">
        <v>780</v>
      </c>
    </row>
  </sheetData>
  <sheetProtection selectLockedCells="1" selectUnlockedCells="1"/>
  <sortState ref="P3:Q26">
    <sortCondition descending="1" ref="P3:P26"/>
  </sortState>
  <mergeCells count="8">
    <mergeCell ref="Q1:Q2"/>
    <mergeCell ref="L1:N1"/>
    <mergeCell ref="K1:K2"/>
    <mergeCell ref="J1:J2"/>
    <mergeCell ref="C1:E1"/>
    <mergeCell ref="F1:F2"/>
    <mergeCell ref="H1:H2"/>
    <mergeCell ref="I1:I2"/>
  </mergeCells>
  <phoneticPr fontId="6" type="noConversion"/>
  <pageMargins left="0.39370078740157483" right="0.39370078740157483" top="0.39370078740157483" bottom="0.39370078740157483" header="0" footer="0"/>
  <pageSetup scale="64" fitToHeight="4" orientation="landscape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F204"/>
  <sheetViews>
    <sheetView topLeftCell="A177" zoomScaleNormal="100" workbookViewId="0">
      <selection activeCell="D214" sqref="D214"/>
    </sheetView>
  </sheetViews>
  <sheetFormatPr defaultRowHeight="12.75"/>
  <cols>
    <col min="1" max="4" width="10.7109375" customWidth="1"/>
    <col min="10" max="13" width="10.7109375" customWidth="1"/>
    <col min="14" max="14" width="15.140625" customWidth="1"/>
    <col min="15" max="15" width="12.7109375" customWidth="1"/>
    <col min="16" max="18" width="10.7109375" customWidth="1"/>
    <col min="19" max="20" width="11.7109375" customWidth="1"/>
    <col min="21" max="21" width="10.7109375" customWidth="1"/>
    <col min="22" max="22" width="15.140625" customWidth="1"/>
    <col min="23" max="23" width="12.7109375" customWidth="1"/>
    <col min="24" max="26" width="10.7109375" customWidth="1"/>
    <col min="27" max="28" width="12.7109375" customWidth="1"/>
    <col min="29" max="30" width="10.7109375" customWidth="1"/>
    <col min="31" max="31" width="13.28515625" customWidth="1"/>
    <col min="32" max="33" width="10.7109375" customWidth="1"/>
    <col min="34" max="34" width="12.7109375" customWidth="1"/>
    <col min="41" max="44" width="12.7109375" customWidth="1"/>
    <col min="50" max="50" width="10.7109375" style="115" customWidth="1"/>
    <col min="51" max="52" width="12.7109375" customWidth="1"/>
    <col min="53" max="56" width="10.7109375" customWidth="1"/>
  </cols>
  <sheetData>
    <row r="1" spans="1:58" ht="15.75" thickBot="1">
      <c r="A1" s="328" t="s">
        <v>38</v>
      </c>
      <c r="B1" s="329"/>
      <c r="C1" s="329"/>
      <c r="D1" s="329"/>
      <c r="E1" s="329"/>
      <c r="F1" s="329"/>
      <c r="G1" s="329"/>
      <c r="H1" s="329"/>
      <c r="I1" s="330"/>
      <c r="J1" s="328" t="s">
        <v>46</v>
      </c>
      <c r="K1" s="329"/>
      <c r="L1" s="329"/>
      <c r="M1" s="329"/>
      <c r="N1" s="329"/>
      <c r="O1" s="329"/>
      <c r="P1" s="329"/>
      <c r="Q1" s="330"/>
      <c r="R1" s="328" t="s">
        <v>56</v>
      </c>
      <c r="S1" s="329"/>
      <c r="T1" s="329"/>
      <c r="U1" s="329"/>
      <c r="V1" s="329"/>
      <c r="W1" s="329"/>
      <c r="X1" s="329"/>
      <c r="Y1" s="330"/>
      <c r="Z1" s="323" t="s">
        <v>65</v>
      </c>
      <c r="AA1" s="345"/>
      <c r="AB1" s="345"/>
      <c r="AC1" s="345"/>
      <c r="AD1" s="323" t="s">
        <v>113</v>
      </c>
      <c r="AE1" s="345"/>
      <c r="AF1" s="345"/>
      <c r="AG1" s="345"/>
      <c r="AH1" s="328" t="s">
        <v>67</v>
      </c>
      <c r="AI1" s="329"/>
      <c r="AJ1" s="329"/>
      <c r="AK1" s="329"/>
      <c r="AL1" s="329"/>
      <c r="AM1" s="329"/>
      <c r="AN1" s="330"/>
      <c r="AO1" s="328" t="s">
        <v>78</v>
      </c>
      <c r="AP1" s="329"/>
      <c r="AQ1" s="329"/>
      <c r="AR1" s="329"/>
      <c r="AS1" s="329"/>
      <c r="AT1" s="329"/>
      <c r="AU1" s="329"/>
      <c r="AV1" s="329"/>
      <c r="AW1" s="330"/>
      <c r="AX1" s="328" t="s">
        <v>83</v>
      </c>
      <c r="AY1" s="329"/>
      <c r="AZ1" s="329"/>
      <c r="BA1" s="329"/>
      <c r="BB1" s="329"/>
      <c r="BC1" s="329"/>
      <c r="BD1" s="329"/>
      <c r="BE1" s="330"/>
      <c r="BF1" s="99"/>
    </row>
    <row r="2" spans="1:58" ht="13.5" thickBot="1">
      <c r="A2" s="2" t="s">
        <v>39</v>
      </c>
      <c r="B2" s="51" t="s">
        <v>40</v>
      </c>
      <c r="C2" s="51" t="s">
        <v>41</v>
      </c>
      <c r="D2" s="51" t="s">
        <v>42</v>
      </c>
      <c r="J2" s="2" t="s">
        <v>39</v>
      </c>
      <c r="K2" s="51" t="s">
        <v>47</v>
      </c>
      <c r="L2" s="51" t="s">
        <v>48</v>
      </c>
      <c r="M2" s="51" t="s">
        <v>49</v>
      </c>
      <c r="N2" s="109" t="s">
        <v>77</v>
      </c>
      <c r="R2" s="2" t="s">
        <v>39</v>
      </c>
      <c r="S2" s="51" t="s">
        <v>57</v>
      </c>
      <c r="T2" s="51" t="s">
        <v>58</v>
      </c>
      <c r="U2" s="51" t="s">
        <v>59</v>
      </c>
      <c r="V2" s="109" t="s">
        <v>76</v>
      </c>
      <c r="Z2" s="2" t="s">
        <v>39</v>
      </c>
      <c r="AA2" s="51" t="s">
        <v>66</v>
      </c>
      <c r="AB2" s="84" t="s">
        <v>75</v>
      </c>
      <c r="AD2" s="2" t="s">
        <v>39</v>
      </c>
      <c r="AE2" s="1" t="s">
        <v>116</v>
      </c>
      <c r="AF2" s="84" t="s">
        <v>115</v>
      </c>
      <c r="AO2" s="44" t="s">
        <v>39</v>
      </c>
      <c r="AP2" s="84" t="s">
        <v>79</v>
      </c>
      <c r="AQ2" s="111" t="s">
        <v>80</v>
      </c>
      <c r="AR2" s="111" t="s">
        <v>81</v>
      </c>
      <c r="AX2" s="44" t="s">
        <v>39</v>
      </c>
      <c r="AY2" s="84" t="s">
        <v>84</v>
      </c>
      <c r="AZ2" s="84" t="s">
        <v>85</v>
      </c>
    </row>
    <row r="3" spans="1:58" ht="13.5" thickBot="1">
      <c r="A3" s="42">
        <v>380</v>
      </c>
      <c r="B3" s="87">
        <f>'Transmission Calculations'!L5*'Spectral Functions'!H3*'Spectral Functions'!C3</f>
        <v>1.7023254515999997E-5</v>
      </c>
      <c r="C3" s="87">
        <f>'Transmission Calculations'!L5*'Spectral Functions'!H3*'Spectral Functions'!D3</f>
        <v>4.8531208049999987E-7</v>
      </c>
      <c r="D3" s="87">
        <f>'Transmission Calculations'!L5*'Spectral Functions'!H3*'Spectral Functions'!E3</f>
        <v>8.0263151774999985E-5</v>
      </c>
      <c r="F3" s="323" t="s">
        <v>45</v>
      </c>
      <c r="G3" s="324"/>
      <c r="H3" s="325"/>
      <c r="J3" s="12">
        <v>380</v>
      </c>
      <c r="K3" s="46">
        <f>'Transmission Calculations'!L5*'Spectral Functions'!J3*'Spectral Functions'!N3*'Spectral Functions'!C3</f>
        <v>2.3822784952848002E-7</v>
      </c>
      <c r="L3" s="46">
        <f>'Transmission Calculations'!L5*'Spectral Functions'!J3*'Spectral Functions'!N3*'Spectral Functions'!D3</f>
        <v>6.7915834295400003E-9</v>
      </c>
      <c r="M3" s="46">
        <f>'Transmission Calculations'!L5*'Spectral Functions'!J3*'Spectral Functions'!N3*'Spectral Functions'!E3</f>
        <v>1.123223413347E-6</v>
      </c>
      <c r="N3" s="46">
        <f>'Spectral Functions'!D3*'Spectral Functions'!J3*'Spectral Functions'!N3</f>
        <v>2.7275435459999998E-5</v>
      </c>
      <c r="O3" s="324" t="s">
        <v>55</v>
      </c>
      <c r="P3" s="324"/>
      <c r="Q3" s="325"/>
      <c r="R3" s="12">
        <v>380</v>
      </c>
      <c r="S3" s="46">
        <f>'Transmission Calculations'!L5*'Spectral Functions'!J3*'Spectral Functions'!M3*'Spectral Functions'!C3</f>
        <v>0</v>
      </c>
      <c r="T3" s="46">
        <f>'Transmission Calculations'!L5*'Spectral Functions'!J3*'Spectral Functions'!M3*'Spectral Functions'!D3</f>
        <v>0</v>
      </c>
      <c r="U3" s="46">
        <f>'Transmission Calculations'!L5*'Spectral Functions'!J3*'Spectral Functions'!M3*'Spectral Functions'!E3</f>
        <v>0</v>
      </c>
      <c r="V3" s="46">
        <f>'Spectral Functions'!D3*'Spectral Functions'!J3*'Spectral Functions'!M3</f>
        <v>0</v>
      </c>
      <c r="W3" s="324" t="s">
        <v>62</v>
      </c>
      <c r="X3" s="324"/>
      <c r="Y3" s="325"/>
      <c r="Z3" s="12">
        <v>380</v>
      </c>
      <c r="AA3" s="46">
        <f>'Transmission Calculations'!L5*'Spectral Functions'!J3*'Spectral Functions'!L3*'Spectral Functions'!D3</f>
        <v>0</v>
      </c>
      <c r="AB3" s="46">
        <f>'Spectral Functions'!D3*'Spectral Functions'!J3*'Spectral Functions'!L3</f>
        <v>0</v>
      </c>
      <c r="AC3" s="102"/>
      <c r="AD3" s="149">
        <v>380</v>
      </c>
      <c r="AE3" s="151">
        <f>AF3*'Transmission Calculations'!L5</f>
        <v>2.4899999999999998E-8</v>
      </c>
      <c r="AF3" s="150">
        <v>1E-4</v>
      </c>
      <c r="AG3" s="102"/>
      <c r="AH3" s="105" t="s">
        <v>68</v>
      </c>
      <c r="AI3" s="106"/>
      <c r="AJ3" s="106"/>
      <c r="AK3" s="106"/>
      <c r="AL3" s="106"/>
      <c r="AM3" s="107"/>
      <c r="AO3" s="42">
        <v>380</v>
      </c>
      <c r="AP3" s="112">
        <f>'Transmission Calculations'!L5*'Spectral Functions'!K3*'Spectral Functions'!C3</f>
        <v>1.1240855999999999E-5</v>
      </c>
      <c r="AQ3" s="112">
        <f>'Transmission Calculations'!L5*'Spectral Functions'!K3*'Spectral Functions'!D3</f>
        <v>3.2046299999999992E-7</v>
      </c>
      <c r="AR3" s="46">
        <f>'Transmission Calculations'!L5*'Spectral Functions'!K3*'Spectral Functions'!E3</f>
        <v>5.299964999999999E-5</v>
      </c>
      <c r="AT3" s="323" t="s">
        <v>82</v>
      </c>
      <c r="AU3" s="324"/>
      <c r="AV3" s="325"/>
      <c r="AX3" s="116">
        <v>616</v>
      </c>
      <c r="AY3" s="46">
        <f>'Transmission Calculations'!L123*'Spectral Functions'!H121*'Spectral Functions'!D121</f>
        <v>3501.9974671104937</v>
      </c>
      <c r="AZ3" s="46">
        <f>'Spectral Functions'!H121*'Spectral Functions'!D121</f>
        <v>37.955944811999998</v>
      </c>
      <c r="BB3" s="105" t="s">
        <v>86</v>
      </c>
      <c r="BC3" s="106"/>
      <c r="BD3" s="107"/>
    </row>
    <row r="4" spans="1:58">
      <c r="A4" s="42">
        <v>382</v>
      </c>
      <c r="B4" s="88">
        <f>'Transmission Calculations'!L6*'Spectral Functions'!H4*'Spectral Functions'!C4</f>
        <v>3.0093919199999998E-6</v>
      </c>
      <c r="C4" s="88">
        <f>'Transmission Calculations'!L6*'Spectral Functions'!H4*'Spectral Functions'!D4</f>
        <v>8.6139719999999993E-8</v>
      </c>
      <c r="D4" s="88">
        <f>'Transmission Calculations'!L6*'Spectral Functions'!H4*'Spectral Functions'!E4</f>
        <v>1.4194726199999999E-5</v>
      </c>
      <c r="F4" s="91"/>
      <c r="G4" s="40"/>
      <c r="H4" s="92"/>
      <c r="J4" s="13">
        <v>382</v>
      </c>
      <c r="K4" s="47">
        <f>'Transmission Calculations'!L6*'Spectral Functions'!J4*'Spectral Functions'!N4*'Spectral Functions'!C4</f>
        <v>5.3043757267824003E-8</v>
      </c>
      <c r="L4" s="47">
        <f>'Transmission Calculations'!L6*'Spectral Functions'!J4*'Spectral Functions'!N4*'Spectral Functions'!D4</f>
        <v>1.518304866984E-9</v>
      </c>
      <c r="M4" s="47">
        <f>'Transmission Calculations'!L6*'Spectral Functions'!J4*'Spectral Functions'!N4*'Spectral Functions'!E4</f>
        <v>2.5019725946364001E-7</v>
      </c>
      <c r="N4" s="47">
        <f>'Spectral Functions'!D4*'Spectral Functions'!J4*'Spectral Functions'!N4</f>
        <v>4.2175135193999999E-5</v>
      </c>
      <c r="O4" s="40"/>
      <c r="P4" s="40"/>
      <c r="Q4" s="92"/>
      <c r="R4" s="13">
        <v>382</v>
      </c>
      <c r="S4" s="47">
        <f>'Transmission Calculations'!L6*'Spectral Functions'!J4*'Spectral Functions'!M4*'Spectral Functions'!C4</f>
        <v>0</v>
      </c>
      <c r="T4" s="47">
        <f>'Transmission Calculations'!L6*'Spectral Functions'!J4*'Spectral Functions'!M4*'Spectral Functions'!D4</f>
        <v>0</v>
      </c>
      <c r="U4" s="47">
        <f>'Transmission Calculations'!L6*'Spectral Functions'!J4*'Spectral Functions'!M4*'Spectral Functions'!E4</f>
        <v>0</v>
      </c>
      <c r="V4" s="47">
        <f>'Spectral Functions'!D4*'Spectral Functions'!J4*'Spectral Functions'!M4</f>
        <v>0</v>
      </c>
      <c r="W4" s="40"/>
      <c r="X4" s="40"/>
      <c r="Y4" s="92"/>
      <c r="Z4" s="13">
        <v>382</v>
      </c>
      <c r="AA4" s="47">
        <f>'Transmission Calculations'!L6*'Spectral Functions'!J4*'Spectral Functions'!L4*'Spectral Functions'!D4</f>
        <v>0</v>
      </c>
      <c r="AB4" s="47">
        <f>'Spectral Functions'!D4*'Spectral Functions'!J4*'Spectral Functions'!L4</f>
        <v>0</v>
      </c>
      <c r="AC4" s="40"/>
      <c r="AD4" s="42">
        <v>382</v>
      </c>
      <c r="AE4" s="152">
        <f>AF4*'Transmission Calculations'!L6</f>
        <v>0</v>
      </c>
      <c r="AF4" s="92"/>
      <c r="AG4" s="40"/>
      <c r="AH4" s="91"/>
      <c r="AI4" s="40"/>
      <c r="AJ4" s="40"/>
      <c r="AK4" s="40"/>
      <c r="AL4" s="40"/>
      <c r="AM4" s="92"/>
      <c r="AO4" s="42">
        <v>382</v>
      </c>
      <c r="AP4" s="113">
        <f>'Transmission Calculations'!L6*'Spectral Functions'!K4*'Spectral Functions'!C4</f>
        <v>2.1144362400000002E-6</v>
      </c>
      <c r="AQ4" s="113">
        <f>'Transmission Calculations'!L6*'Spectral Functions'!K4*'Spectral Functions'!D4</f>
        <v>6.0522840000000007E-8</v>
      </c>
      <c r="AR4" s="47">
        <f>'Transmission Calculations'!L6*'Spectral Functions'!K4*'Spectral Functions'!E4</f>
        <v>9.9733914000000019E-6</v>
      </c>
      <c r="AT4" s="91"/>
      <c r="AU4" s="40"/>
      <c r="AV4" s="92"/>
      <c r="AX4" s="116">
        <v>618</v>
      </c>
      <c r="AY4" s="47">
        <f>'Transmission Calculations'!L124*'Spectral Functions'!H122*'Spectral Functions'!D122</f>
        <v>3320.8744819083099</v>
      </c>
      <c r="AZ4" s="47">
        <f>'Spectral Functions'!H122*'Spectral Functions'!D122</f>
        <v>35.674732521599999</v>
      </c>
      <c r="BB4" s="91"/>
      <c r="BC4" s="40"/>
      <c r="BD4" s="92"/>
    </row>
    <row r="5" spans="1:58" ht="13.5" thickBot="1">
      <c r="A5" s="42">
        <v>384</v>
      </c>
      <c r="B5" s="88">
        <f>'Transmission Calculations'!L7*'Spectral Functions'!H5*'Spectral Functions'!C5</f>
        <v>3.0009728263999999E-6</v>
      </c>
      <c r="C5" s="88">
        <f>'Transmission Calculations'!L7*'Spectral Functions'!H5*'Spectral Functions'!D5</f>
        <v>8.5699123800000002E-8</v>
      </c>
      <c r="D5" s="88">
        <f>'Transmission Calculations'!L7*'Spectral Functions'!H5*'Spectral Functions'!E5</f>
        <v>1.4155390361E-5</v>
      </c>
      <c r="F5" s="93" t="s">
        <v>43</v>
      </c>
      <c r="G5" s="98">
        <f>B204/(B204+C204+D204)</f>
        <v>0.44133884551046249</v>
      </c>
      <c r="H5" s="92"/>
      <c r="J5" s="13">
        <v>384</v>
      </c>
      <c r="K5" s="47">
        <f>'Transmission Calculations'!L7*'Spectral Functions'!J5*'Spectral Functions'!N5*'Spectral Functions'!C5</f>
        <v>6.4295380949184005E-8</v>
      </c>
      <c r="L5" s="47">
        <f>'Transmission Calculations'!L7*'Spectral Functions'!J5*'Spectral Functions'!N5*'Spectral Functions'!D5</f>
        <v>1.8360905381280003E-9</v>
      </c>
      <c r="M5" s="47">
        <f>'Transmission Calculations'!L7*'Spectral Functions'!J5*'Spectral Functions'!N5*'Spectral Functions'!E5</f>
        <v>3.0327705993816001E-7</v>
      </c>
      <c r="N5" s="47">
        <f>'Spectral Functions'!D5*'Spectral Functions'!J5*'Spectral Functions'!N5</f>
        <v>6.3313466832000013E-5</v>
      </c>
      <c r="O5" s="101" t="s">
        <v>60</v>
      </c>
      <c r="P5" s="98">
        <f>K204/(K204+L204+M204)</f>
        <v>0.28533383661524631</v>
      </c>
      <c r="Q5" s="92"/>
      <c r="R5" s="13">
        <v>384</v>
      </c>
      <c r="S5" s="47">
        <f>'Transmission Calculations'!L7*'Spectral Functions'!J5*'Spectral Functions'!M5*'Spectral Functions'!C5</f>
        <v>0</v>
      </c>
      <c r="T5" s="47">
        <f>'Transmission Calculations'!L7*'Spectral Functions'!J5*'Spectral Functions'!M5*'Spectral Functions'!D5</f>
        <v>0</v>
      </c>
      <c r="U5" s="47">
        <f>'Transmission Calculations'!L7*'Spectral Functions'!J5*'Spectral Functions'!M5*'Spectral Functions'!E5</f>
        <v>0</v>
      </c>
      <c r="V5" s="47">
        <f>'Spectral Functions'!D5*'Spectral Functions'!J5*'Spectral Functions'!M5</f>
        <v>0</v>
      </c>
      <c r="W5" s="101" t="s">
        <v>63</v>
      </c>
      <c r="X5" s="98">
        <f>S204/(S204+T204+U204)</f>
        <v>0.60423750502060458</v>
      </c>
      <c r="Y5" s="92"/>
      <c r="Z5" s="13">
        <v>384</v>
      </c>
      <c r="AA5" s="47">
        <f>'Transmission Calculations'!L7*'Spectral Functions'!J5*'Spectral Functions'!L5*'Spectral Functions'!D5</f>
        <v>0</v>
      </c>
      <c r="AB5" s="47">
        <f>'Spectral Functions'!D5*'Spectral Functions'!J5*'Spectral Functions'!L5</f>
        <v>0</v>
      </c>
      <c r="AC5" s="101"/>
      <c r="AD5" s="42">
        <v>384</v>
      </c>
      <c r="AE5" s="152">
        <f>AF5*'Transmission Calculations'!L7</f>
        <v>0</v>
      </c>
      <c r="AF5" s="148"/>
      <c r="AG5" s="40"/>
      <c r="AH5" s="103" t="s">
        <v>73</v>
      </c>
      <c r="AI5" s="108">
        <f>AA204/AB204</f>
        <v>93.442399759942447</v>
      </c>
      <c r="AJ5" s="104" t="s">
        <v>74</v>
      </c>
      <c r="AK5" s="70"/>
      <c r="AL5" s="70"/>
      <c r="AM5" s="95"/>
      <c r="AO5" s="42">
        <v>384</v>
      </c>
      <c r="AP5" s="113">
        <f>'Transmission Calculations'!L7*'Spectral Functions'!K5*'Spectral Functions'!C5</f>
        <v>2.2308493599999998E-6</v>
      </c>
      <c r="AQ5" s="113">
        <f>'Transmission Calculations'!L7*'Spectral Functions'!K5*'Spectral Functions'!D5</f>
        <v>6.3706620000000001E-8</v>
      </c>
      <c r="AR5" s="47">
        <f>'Transmission Calculations'!L7*'Spectral Functions'!K5*'Spectral Functions'!E5</f>
        <v>1.0522768899999999E-5</v>
      </c>
      <c r="AT5" s="93" t="s">
        <v>43</v>
      </c>
      <c r="AU5" s="98">
        <f>AP204/(AP204+AQ204+AR204)</f>
        <v>0.43899802716733449</v>
      </c>
      <c r="AV5" s="92"/>
      <c r="AX5" s="116">
        <v>620</v>
      </c>
      <c r="AY5" s="47">
        <f>'Transmission Calculations'!L125*'Spectral Functions'!H123*'Spectral Functions'!D123</f>
        <v>3097.0460532016396</v>
      </c>
      <c r="AZ5" s="47">
        <f>'Spectral Functions'!H123*'Spectral Functions'!D123</f>
        <v>33.413204700000001</v>
      </c>
      <c r="BB5" s="93" t="s">
        <v>87</v>
      </c>
      <c r="BC5" s="126">
        <f>AY86/(REPORT!D11*AZ86)</f>
        <v>1.6937762374195309</v>
      </c>
      <c r="BD5" s="92"/>
    </row>
    <row r="6" spans="1:58" ht="13.5" thickBot="1">
      <c r="A6" s="42">
        <v>386</v>
      </c>
      <c r="B6" s="88">
        <f>'Transmission Calculations'!L8*'Spectral Functions'!H6*'Spectral Functions'!C6</f>
        <v>1.4985042071999999E-5</v>
      </c>
      <c r="C6" s="88">
        <f>'Transmission Calculations'!L8*'Spectral Functions'!H6*'Spectral Functions'!D6</f>
        <v>4.2561066239999996E-7</v>
      </c>
      <c r="D6" s="88">
        <f>'Transmission Calculations'!L8*'Spectral Functions'!H6*'Spectral Functions'!E6</f>
        <v>7.0734127587199992E-5</v>
      </c>
      <c r="F6" s="93" t="s">
        <v>44</v>
      </c>
      <c r="G6" s="98">
        <f>C204/(B204+C204+D204)</f>
        <v>0.38003911949938801</v>
      </c>
      <c r="H6" s="92"/>
      <c r="J6" s="13">
        <v>386</v>
      </c>
      <c r="K6" s="47">
        <f>'Transmission Calculations'!L8*'Spectral Functions'!J6*'Spectral Functions'!N6*'Spectral Functions'!C6</f>
        <v>3.8053760236128001E-7</v>
      </c>
      <c r="L6" s="47">
        <f>'Transmission Calculations'!L8*'Spectral Functions'!J6*'Spectral Functions'!N6*'Spectral Functions'!D6</f>
        <v>1.0808168587776002E-8</v>
      </c>
      <c r="M6" s="47">
        <f>'Transmission Calculations'!L8*'Spectral Functions'!J6*'Spectral Functions'!N6*'Spectral Functions'!E6</f>
        <v>1.7962575739073281E-6</v>
      </c>
      <c r="N6" s="47">
        <f>'Spectral Functions'!D6*'Spectral Functions'!J6*'Spectral Functions'!N6</f>
        <v>9.6501505248000003E-5</v>
      </c>
      <c r="O6" s="101" t="s">
        <v>61</v>
      </c>
      <c r="P6" s="98">
        <f>L204/(K204+L204+M204)</f>
        <v>0.45453000598618615</v>
      </c>
      <c r="Q6" s="92"/>
      <c r="R6" s="13">
        <v>386</v>
      </c>
      <c r="S6" s="47">
        <f>'Transmission Calculations'!L8*'Spectral Functions'!J6*'Spectral Functions'!M6*'Spectral Functions'!C6</f>
        <v>0</v>
      </c>
      <c r="T6" s="47">
        <f>'Transmission Calculations'!L8*'Spectral Functions'!J6*'Spectral Functions'!M6*'Spectral Functions'!D6</f>
        <v>0</v>
      </c>
      <c r="U6" s="47">
        <f>'Transmission Calculations'!L8*'Spectral Functions'!J6*'Spectral Functions'!M6*'Spectral Functions'!E6</f>
        <v>0</v>
      </c>
      <c r="V6" s="47">
        <f>'Spectral Functions'!D6*'Spectral Functions'!J6*'Spectral Functions'!M6</f>
        <v>0</v>
      </c>
      <c r="W6" s="101" t="s">
        <v>64</v>
      </c>
      <c r="X6" s="98">
        <f>T204/(S204+T204+U204)</f>
        <v>0.39489820144348392</v>
      </c>
      <c r="Y6" s="92"/>
      <c r="Z6" s="13">
        <v>386</v>
      </c>
      <c r="AA6" s="47">
        <f>'Transmission Calculations'!L8*'Spectral Functions'!J6*'Spectral Functions'!L6*'Spectral Functions'!D6</f>
        <v>0</v>
      </c>
      <c r="AB6" s="47">
        <f>'Spectral Functions'!D6*'Spectral Functions'!J6*'Spectral Functions'!L6</f>
        <v>0</v>
      </c>
      <c r="AC6" s="101"/>
      <c r="AD6" s="42">
        <v>386</v>
      </c>
      <c r="AE6" s="152">
        <f>AF6*'Transmission Calculations'!L8</f>
        <v>0</v>
      </c>
      <c r="AF6" s="148"/>
      <c r="AG6" s="40"/>
      <c r="AO6" s="42">
        <v>386</v>
      </c>
      <c r="AP6" s="113">
        <f>'Transmission Calculations'!L8*'Spectral Functions'!K6*'Spectral Functions'!C6</f>
        <v>1.1759966400000001E-5</v>
      </c>
      <c r="AQ6" s="113">
        <f>'Transmission Calculations'!L8*'Spectral Functions'!K6*'Spectral Functions'!D6</f>
        <v>3.3401088000000003E-7</v>
      </c>
      <c r="AR6" s="47">
        <f>'Transmission Calculations'!L8*'Spectral Functions'!K6*'Spectral Functions'!E6</f>
        <v>5.5510752640000002E-5</v>
      </c>
      <c r="AT6" s="93" t="s">
        <v>44</v>
      </c>
      <c r="AU6" s="98">
        <f>AQ204/(AP204+AQ204+AR204)</f>
        <v>0.37223587546605363</v>
      </c>
      <c r="AV6" s="92"/>
      <c r="AX6" s="116">
        <v>622</v>
      </c>
      <c r="AY6" s="47">
        <f>'Transmission Calculations'!L126*'Spectral Functions'!H124*'Spectral Functions'!D124</f>
        <v>2871.4886599657398</v>
      </c>
      <c r="AZ6" s="47">
        <f>'Spectral Functions'!H124*'Spectral Functions'!D124</f>
        <v>30.9785426109</v>
      </c>
      <c r="BB6" s="94"/>
      <c r="BC6" s="70"/>
      <c r="BD6" s="95"/>
    </row>
    <row r="7" spans="1:58" ht="13.5" thickBot="1">
      <c r="A7" s="42">
        <v>388</v>
      </c>
      <c r="B7" s="88">
        <f>'Transmission Calculations'!L9*'Spectral Functions'!H7*'Spectral Functions'!C7</f>
        <v>3.3688695503E-5</v>
      </c>
      <c r="C7" s="88">
        <f>'Transmission Calculations'!L9*'Spectral Functions'!H7*'Spectral Functions'!D7</f>
        <v>9.5932668199999988E-7</v>
      </c>
      <c r="D7" s="88">
        <f>'Transmission Calculations'!L9*'Spectral Functions'!H7*'Spectral Functions'!E7</f>
        <v>1.5908493956399996E-4</v>
      </c>
      <c r="F7" s="94"/>
      <c r="G7" s="70"/>
      <c r="H7" s="95"/>
      <c r="J7" s="13">
        <v>388</v>
      </c>
      <c r="K7" s="47">
        <f>'Transmission Calculations'!L9*'Spectral Functions'!J7*'Spectral Functions'!N7*'Spectral Functions'!C7</f>
        <v>9.9508718044527981E-7</v>
      </c>
      <c r="L7" s="47">
        <f>'Transmission Calculations'!L9*'Spectral Functions'!J7*'Spectral Functions'!N7*'Spectral Functions'!D7</f>
        <v>2.8336320800319993E-8</v>
      </c>
      <c r="M7" s="47">
        <f>'Transmission Calculations'!L9*'Spectral Functions'!J7*'Spectral Functions'!N7*'Spectral Functions'!E7</f>
        <v>4.6990060493126386E-6</v>
      </c>
      <c r="N7" s="47">
        <f>'Spectral Functions'!D7*'Spectral Functions'!J7*'Spectral Functions'!N7</f>
        <v>1.4913853052799997E-4</v>
      </c>
      <c r="O7" s="70"/>
      <c r="P7" s="70"/>
      <c r="Q7" s="95"/>
      <c r="R7" s="13">
        <v>388</v>
      </c>
      <c r="S7" s="47">
        <f>'Transmission Calculations'!L9*'Spectral Functions'!J7*'Spectral Functions'!M7*'Spectral Functions'!C7</f>
        <v>0</v>
      </c>
      <c r="T7" s="47">
        <f>'Transmission Calculations'!L9*'Spectral Functions'!J7*'Spectral Functions'!M7*'Spectral Functions'!D7</f>
        <v>0</v>
      </c>
      <c r="U7" s="47">
        <f>'Transmission Calculations'!L9*'Spectral Functions'!J7*'Spectral Functions'!M7*'Spectral Functions'!E7</f>
        <v>0</v>
      </c>
      <c r="V7" s="47">
        <f>'Spectral Functions'!D7*'Spectral Functions'!J7*'Spectral Functions'!M7</f>
        <v>0</v>
      </c>
      <c r="W7" s="70"/>
      <c r="X7" s="70"/>
      <c r="Y7" s="95"/>
      <c r="Z7" s="13">
        <v>388</v>
      </c>
      <c r="AA7" s="47">
        <f>'Transmission Calculations'!L9*'Spectral Functions'!J7*'Spectral Functions'!L7*'Spectral Functions'!D7</f>
        <v>0</v>
      </c>
      <c r="AB7" s="47">
        <f>'Spectral Functions'!D7*'Spectral Functions'!J7*'Spectral Functions'!L7</f>
        <v>0</v>
      </c>
      <c r="AC7" s="40"/>
      <c r="AD7" s="42">
        <v>388</v>
      </c>
      <c r="AE7" s="152">
        <f>AF7*'Transmission Calculations'!L9</f>
        <v>0</v>
      </c>
      <c r="AF7" s="92"/>
      <c r="AG7" s="40"/>
      <c r="AO7" s="42">
        <v>388</v>
      </c>
      <c r="AP7" s="113">
        <f>'Transmission Calculations'!L9*'Spectral Functions'!K7*'Spectral Functions'!C7</f>
        <v>2.5714789999999999E-5</v>
      </c>
      <c r="AQ7" s="113">
        <f>'Transmission Calculations'!L9*'Spectral Functions'!K7*'Spectral Functions'!D7</f>
        <v>7.3225999999999991E-7</v>
      </c>
      <c r="AR7" s="47">
        <f>'Transmission Calculations'!L9*'Spectral Functions'!K7*'Spectral Functions'!E7</f>
        <v>1.2143051999999998E-4</v>
      </c>
      <c r="AT7" s="94"/>
      <c r="AU7" s="70"/>
      <c r="AV7" s="95"/>
      <c r="AX7" s="116">
        <v>624</v>
      </c>
      <c r="AY7" s="47">
        <f>'Transmission Calculations'!L127*'Spectral Functions'!H125*'Spectral Functions'!D125</f>
        <v>2670.5333169310966</v>
      </c>
      <c r="AZ7" s="47">
        <f>'Spectral Functions'!H125*'Spectral Functions'!D125</f>
        <v>28.600614984600004</v>
      </c>
    </row>
    <row r="8" spans="1:58" ht="13.5" thickBot="1">
      <c r="A8" s="42">
        <v>390</v>
      </c>
      <c r="B8" s="88">
        <f>'Transmission Calculations'!L10*'Spectral Functions'!H8*'Spectral Functions'!C8</f>
        <v>8.3242160223400005E-5</v>
      </c>
      <c r="C8" s="88">
        <f>'Transmission Calculations'!L10*'Spectral Functions'!H8*'Spectral Functions'!D8</f>
        <v>2.3542444560000002E-6</v>
      </c>
      <c r="D8" s="88">
        <f>'Transmission Calculations'!L10*'Spectral Functions'!H8*'Spectral Functions'!E8</f>
        <v>3.9335501119000001E-4</v>
      </c>
      <c r="J8" s="13">
        <v>390</v>
      </c>
      <c r="K8" s="47">
        <f>'Transmission Calculations'!L10*'Spectral Functions'!J8*'Spectral Functions'!N8*'Spectral Functions'!C8</f>
        <v>2.8183836233749103E-6</v>
      </c>
      <c r="L8" s="47">
        <f>'Transmission Calculations'!L10*'Spectral Functions'!J8*'Spectral Functions'!N8*'Spectral Functions'!D8</f>
        <v>7.9709176244400007E-8</v>
      </c>
      <c r="M8" s="47">
        <f>'Transmission Calculations'!L10*'Spectral Functions'!J8*'Spectral Functions'!N8*'Spectral Functions'!E8</f>
        <v>1.3318074864168499E-5</v>
      </c>
      <c r="N8" s="47">
        <f>'Spectral Functions'!D8*'Spectral Functions'!J8*'Spectral Functions'!N8</f>
        <v>2.2203113160000005E-4</v>
      </c>
      <c r="R8" s="13">
        <v>390</v>
      </c>
      <c r="S8" s="47">
        <f>'Transmission Calculations'!L10*'Spectral Functions'!J8*'Spectral Functions'!M8*'Spectral Functions'!C8</f>
        <v>0</v>
      </c>
      <c r="T8" s="47">
        <f>'Transmission Calculations'!L10*'Spectral Functions'!J8*'Spectral Functions'!M8*'Spectral Functions'!D8</f>
        <v>0</v>
      </c>
      <c r="U8" s="47">
        <f>'Transmission Calculations'!L10*'Spectral Functions'!J8*'Spectral Functions'!M8*'Spectral Functions'!E8</f>
        <v>0</v>
      </c>
      <c r="V8" s="47">
        <f>'Spectral Functions'!D8*'Spectral Functions'!J8*'Spectral Functions'!M8</f>
        <v>0</v>
      </c>
      <c r="Z8" s="13">
        <v>390</v>
      </c>
      <c r="AA8" s="47">
        <f>'Transmission Calculations'!L10*'Spectral Functions'!J8*'Spectral Functions'!L8*'Spectral Functions'!D8</f>
        <v>0</v>
      </c>
      <c r="AB8" s="47">
        <f>'Spectral Functions'!D8*'Spectral Functions'!J8*'Spectral Functions'!L8</f>
        <v>0</v>
      </c>
      <c r="AD8" s="42">
        <v>390</v>
      </c>
      <c r="AE8" s="152">
        <f>AF8*'Transmission Calculations'!L10</f>
        <v>2.8720000000000003E-7</v>
      </c>
      <c r="AF8" s="92">
        <v>8.0000000000000004E-4</v>
      </c>
      <c r="AH8" s="105" t="s">
        <v>70</v>
      </c>
      <c r="AI8" s="106"/>
      <c r="AJ8" s="106"/>
      <c r="AK8" s="106"/>
      <c r="AL8" s="106"/>
      <c r="AM8" s="107"/>
      <c r="AO8" s="42">
        <v>390</v>
      </c>
      <c r="AP8" s="113">
        <f>'Transmission Calculations'!L10*'Spectral Functions'!K8*'Spectral Functions'!C8</f>
        <v>7.2201433799999999E-5</v>
      </c>
      <c r="AQ8" s="113">
        <f>'Transmission Calculations'!L10*'Spectral Functions'!K8*'Spectral Functions'!D8</f>
        <v>2.0419919999999999E-6</v>
      </c>
      <c r="AR8" s="47">
        <f>'Transmission Calculations'!L10*'Spectral Functions'!K8*'Spectral Functions'!E8</f>
        <v>3.4118282999999998E-4</v>
      </c>
      <c r="AX8" s="116">
        <v>626</v>
      </c>
      <c r="AY8" s="47">
        <f>'Transmission Calculations'!L128*'Spectral Functions'!H126*'Spectral Functions'!D126</f>
        <v>2463.827343859949</v>
      </c>
      <c r="AZ8" s="47">
        <f>'Spectral Functions'!H126*'Spectral Functions'!D126</f>
        <v>26.3100011788</v>
      </c>
    </row>
    <row r="9" spans="1:58">
      <c r="A9" s="42">
        <v>392</v>
      </c>
      <c r="B9" s="88">
        <f>'Transmission Calculations'!L11*'Spectral Functions'!H9*'Spectral Functions'!C9</f>
        <v>2.2711415954499993E-4</v>
      </c>
      <c r="C9" s="88">
        <f>'Transmission Calculations'!L11*'Spectral Functions'!H9*'Spectral Functions'!D9</f>
        <v>6.4341910114999992E-6</v>
      </c>
      <c r="D9" s="88">
        <f>'Transmission Calculations'!L11*'Spectral Functions'!H9*'Spectral Functions'!E9</f>
        <v>1.0866965123594997E-3</v>
      </c>
      <c r="J9" s="13">
        <v>392</v>
      </c>
      <c r="K9" s="47">
        <f>'Transmission Calculations'!L11*'Spectral Functions'!J9*'Spectral Functions'!N9*'Spectral Functions'!C9</f>
        <v>8.0806161558085603E-6</v>
      </c>
      <c r="L9" s="47">
        <f>'Transmission Calculations'!L11*'Spectral Functions'!J9*'Spectral Functions'!N9*'Spectral Functions'!D9</f>
        <v>2.2892552336343202E-7</v>
      </c>
      <c r="M9" s="47">
        <f>'Transmission Calculations'!L11*'Spectral Functions'!J9*'Spectral Functions'!N9*'Spectral Functions'!E9</f>
        <v>3.86641564393219E-5</v>
      </c>
      <c r="N9" s="47">
        <f>'Spectral Functions'!D9*'Spectral Functions'!J9*'Spectral Functions'!N9</f>
        <v>3.2379847717600008E-4</v>
      </c>
      <c r="R9" s="13">
        <v>392</v>
      </c>
      <c r="S9" s="47">
        <f>'Transmission Calculations'!L11*'Spectral Functions'!J9*'Spectral Functions'!M9*'Spectral Functions'!C9</f>
        <v>0</v>
      </c>
      <c r="T9" s="47">
        <f>'Transmission Calculations'!L11*'Spectral Functions'!J9*'Spectral Functions'!M9*'Spectral Functions'!D9</f>
        <v>0</v>
      </c>
      <c r="U9" s="47">
        <f>'Transmission Calculations'!L11*'Spectral Functions'!J9*'Spectral Functions'!M9*'Spectral Functions'!E9</f>
        <v>0</v>
      </c>
      <c r="V9" s="47">
        <f>'Spectral Functions'!D9*'Spectral Functions'!J9*'Spectral Functions'!M9</f>
        <v>0</v>
      </c>
      <c r="Z9" s="13">
        <v>392</v>
      </c>
      <c r="AA9" s="47">
        <f>'Transmission Calculations'!L11*'Spectral Functions'!J9*'Spectral Functions'!L9*'Spectral Functions'!D9</f>
        <v>0</v>
      </c>
      <c r="AB9" s="47">
        <f>'Spectral Functions'!D9*'Spectral Functions'!J9*'Spectral Functions'!L9</f>
        <v>0</v>
      </c>
      <c r="AD9" s="42">
        <v>392</v>
      </c>
      <c r="AE9" s="152">
        <f>AF9*'Transmission Calculations'!L11</f>
        <v>0</v>
      </c>
      <c r="AF9" s="92"/>
      <c r="AH9" s="91"/>
      <c r="AI9" s="40"/>
      <c r="AJ9" s="40"/>
      <c r="AK9" s="40"/>
      <c r="AL9" s="40"/>
      <c r="AM9" s="92"/>
      <c r="AO9" s="42">
        <v>392</v>
      </c>
      <c r="AP9" s="113">
        <f>'Transmission Calculations'!L11*'Spectral Functions'!K9*'Spectral Functions'!C9</f>
        <v>1.9033733809999993E-4</v>
      </c>
      <c r="AQ9" s="113">
        <f>'Transmission Calculations'!L11*'Spectral Functions'!K9*'Spectral Functions'!D9</f>
        <v>5.3922960699999987E-6</v>
      </c>
      <c r="AR9" s="47">
        <f>'Transmission Calculations'!L11*'Spectral Functions'!K9*'Spectral Functions'!E9</f>
        <v>9.1072666670999976E-4</v>
      </c>
      <c r="AX9" s="116">
        <v>628</v>
      </c>
      <c r="AY9" s="47">
        <f>'Transmission Calculations'!L129*'Spectral Functions'!H127*'Spectral Functions'!D127</f>
        <v>2256.1946071236057</v>
      </c>
      <c r="AZ9" s="47">
        <f>'Spectral Functions'!H127*'Spectral Functions'!D127</f>
        <v>24.122788936399999</v>
      </c>
    </row>
    <row r="10" spans="1:58" ht="13.5" thickBot="1">
      <c r="A10" s="42">
        <v>394</v>
      </c>
      <c r="B10" s="88">
        <f>'Transmission Calculations'!L12*'Spectral Functions'!H10*'Spectral Functions'!C10</f>
        <v>4.232945407257E-4</v>
      </c>
      <c r="C10" s="88">
        <f>'Transmission Calculations'!L12*'Spectral Functions'!H10*'Spectral Functions'!D10</f>
        <v>1.2056453318400002E-5</v>
      </c>
      <c r="D10" s="88">
        <f>'Transmission Calculations'!L12*'Spectral Functions'!H10*'Spectral Functions'!E10</f>
        <v>2.0029411015469001E-3</v>
      </c>
      <c r="J10" s="13">
        <v>394</v>
      </c>
      <c r="K10" s="47">
        <f>'Transmission Calculations'!L12*'Spectral Functions'!J10*'Spectral Functions'!N10*'Spectral Functions'!C10</f>
        <v>1.5792094870880077E-5</v>
      </c>
      <c r="L10" s="47">
        <f>'Transmission Calculations'!L12*'Spectral Functions'!J10*'Spectral Functions'!N10*'Spectral Functions'!D10</f>
        <v>4.4979709467571202E-7</v>
      </c>
      <c r="M10" s="47">
        <f>'Transmission Calculations'!L12*'Spectral Functions'!J10*'Spectral Functions'!N10*'Spectral Functions'!E10</f>
        <v>7.4724885046204101E-5</v>
      </c>
      <c r="N10" s="47">
        <f>'Spectral Functions'!D10*'Spectral Functions'!J10*'Spectral Functions'!N10</f>
        <v>4.7198016230400004E-4</v>
      </c>
      <c r="R10" s="13">
        <v>394</v>
      </c>
      <c r="S10" s="47">
        <f>'Transmission Calculations'!L12*'Spectral Functions'!J10*'Spectral Functions'!M10*'Spectral Functions'!C10</f>
        <v>0</v>
      </c>
      <c r="T10" s="47">
        <f>'Transmission Calculations'!L12*'Spectral Functions'!J10*'Spectral Functions'!M10*'Spectral Functions'!D10</f>
        <v>0</v>
      </c>
      <c r="U10" s="47">
        <f>'Transmission Calculations'!L12*'Spectral Functions'!J10*'Spectral Functions'!M10*'Spectral Functions'!E10</f>
        <v>0</v>
      </c>
      <c r="V10" s="47">
        <f>'Spectral Functions'!D10*'Spectral Functions'!J10*'Spectral Functions'!M10</f>
        <v>0</v>
      </c>
      <c r="Z10" s="13">
        <v>394</v>
      </c>
      <c r="AA10" s="47">
        <f>'Transmission Calculations'!L12*'Spectral Functions'!J10*'Spectral Functions'!L10*'Spectral Functions'!D10</f>
        <v>0</v>
      </c>
      <c r="AB10" s="47">
        <f>'Spectral Functions'!D10*'Spectral Functions'!J10*'Spectral Functions'!L10</f>
        <v>0</v>
      </c>
      <c r="AD10" s="42">
        <v>394</v>
      </c>
      <c r="AE10" s="152">
        <f>AF10*'Transmission Calculations'!L12</f>
        <v>0</v>
      </c>
      <c r="AF10" s="92"/>
      <c r="AH10" s="103" t="s">
        <v>71</v>
      </c>
      <c r="AI10" s="108">
        <f>T204/V204</f>
        <v>74.937080571134643</v>
      </c>
      <c r="AJ10" s="104" t="s">
        <v>74</v>
      </c>
      <c r="AK10" s="70"/>
      <c r="AL10" s="70"/>
      <c r="AM10" s="95"/>
      <c r="AO10" s="42">
        <v>394</v>
      </c>
      <c r="AP10" s="113">
        <f>'Transmission Calculations'!L12*'Spectral Functions'!K10*'Spectral Functions'!C10</f>
        <v>3.4446415625999995E-4</v>
      </c>
      <c r="AQ10" s="113">
        <f>'Transmission Calculations'!L12*'Spectral Functions'!K10*'Spectral Functions'!D10</f>
        <v>9.8111731199999992E-6</v>
      </c>
      <c r="AR10" s="47">
        <f>'Transmission Calculations'!L12*'Spectral Functions'!K10*'Spectral Functions'!E10</f>
        <v>1.6299322344200001E-3</v>
      </c>
      <c r="AX10" s="116">
        <v>630</v>
      </c>
      <c r="AY10" s="47">
        <f>'Transmission Calculations'!L130*'Spectral Functions'!H128*'Spectral Functions'!D128</f>
        <v>2056.9822530467263</v>
      </c>
      <c r="AZ10" s="47">
        <f>'Spectral Functions'!H128*'Spectral Functions'!D128</f>
        <v>22.071479</v>
      </c>
    </row>
    <row r="11" spans="1:58">
      <c r="A11" s="42">
        <v>396</v>
      </c>
      <c r="B11" s="88">
        <f>'Transmission Calculations'!L13*'Spectral Functions'!H11*'Spectral Functions'!C11</f>
        <v>1.4812763216274004E-3</v>
      </c>
      <c r="C11" s="88">
        <f>'Transmission Calculations'!L13*'Spectral Functions'!H11*'Spectral Functions'!D11</f>
        <v>4.1809536217800006E-5</v>
      </c>
      <c r="D11" s="88">
        <f>'Transmission Calculations'!L13*'Spectral Functions'!H11*'Spectral Functions'!E11</f>
        <v>7.0141844607012017E-3</v>
      </c>
      <c r="J11" s="13">
        <v>396</v>
      </c>
      <c r="K11" s="47">
        <f>'Transmission Calculations'!L13*'Spectral Functions'!J11*'Spectral Functions'!N11*'Spectral Functions'!C11</f>
        <v>5.7843771631768771E-5</v>
      </c>
      <c r="L11" s="47">
        <f>'Transmission Calculations'!L13*'Spectral Functions'!J11*'Spectral Functions'!N11*'Spectral Functions'!D11</f>
        <v>1.6326604494397082E-6</v>
      </c>
      <c r="M11" s="47">
        <f>'Transmission Calculations'!L13*'Spectral Functions'!J11*'Spectral Functions'!N11*'Spectral Functions'!E11</f>
        <v>2.739035777485127E-4</v>
      </c>
      <c r="N11" s="47">
        <f>'Spectral Functions'!D11*'Spectral Functions'!J11*'Spectral Functions'!N11</f>
        <v>6.8975937872399994E-4</v>
      </c>
      <c r="R11" s="13">
        <v>396</v>
      </c>
      <c r="S11" s="47">
        <f>'Transmission Calculations'!L13*'Spectral Functions'!J11*'Spectral Functions'!M11*'Spectral Functions'!C11</f>
        <v>0</v>
      </c>
      <c r="T11" s="47">
        <f>'Transmission Calculations'!L13*'Spectral Functions'!J11*'Spectral Functions'!M11*'Spectral Functions'!D11</f>
        <v>0</v>
      </c>
      <c r="U11" s="47">
        <f>'Transmission Calculations'!L13*'Spectral Functions'!J11*'Spectral Functions'!M11*'Spectral Functions'!E11</f>
        <v>0</v>
      </c>
      <c r="V11" s="47">
        <f>'Spectral Functions'!D11*'Spectral Functions'!J11*'Spectral Functions'!M11</f>
        <v>0</v>
      </c>
      <c r="Z11" s="13">
        <v>396</v>
      </c>
      <c r="AA11" s="47">
        <f>'Transmission Calculations'!L13*'Spectral Functions'!J11*'Spectral Functions'!L11*'Spectral Functions'!D11</f>
        <v>0</v>
      </c>
      <c r="AB11" s="47">
        <f>'Spectral Functions'!D11*'Spectral Functions'!J11*'Spectral Functions'!L11</f>
        <v>0</v>
      </c>
      <c r="AD11" s="42">
        <v>396</v>
      </c>
      <c r="AE11" s="152">
        <f>AF11*'Transmission Calculations'!L13</f>
        <v>0</v>
      </c>
      <c r="AF11" s="92"/>
      <c r="AO11" s="42">
        <v>396</v>
      </c>
      <c r="AP11" s="113">
        <f>'Transmission Calculations'!L13*'Spectral Functions'!K11*'Spectral Functions'!C11</f>
        <v>1.1765334456E-3</v>
      </c>
      <c r="AQ11" s="113">
        <f>'Transmission Calculations'!L13*'Spectral Functions'!K11*'Spectral Functions'!D11</f>
        <v>3.32080632E-5</v>
      </c>
      <c r="AR11" s="47">
        <f>'Transmission Calculations'!L13*'Spectral Functions'!K11*'Spectral Functions'!E11</f>
        <v>5.5711567728000001E-3</v>
      </c>
      <c r="AX11" s="116">
        <v>632</v>
      </c>
      <c r="AY11" s="47">
        <f>'Transmission Calculations'!L131*'Spectral Functions'!H129*'Spectral Functions'!D129</f>
        <v>1914.4779132890137</v>
      </c>
      <c r="AZ11" s="47">
        <f>'Spectral Functions'!H129*'Spectral Functions'!D129</f>
        <v>20.416650723</v>
      </c>
    </row>
    <row r="12" spans="1:58" ht="13.5" thickBot="1">
      <c r="A12" s="42">
        <v>398</v>
      </c>
      <c r="B12" s="88">
        <f>'Transmission Calculations'!L14*'Spectral Functions'!H12*'Spectral Functions'!C12</f>
        <v>8.0271512091072E-3</v>
      </c>
      <c r="C12" s="88">
        <f>'Transmission Calculations'!L14*'Spectral Functions'!H12*'Spectral Functions'!D12</f>
        <v>2.242063948608E-4</v>
      </c>
      <c r="D12" s="88">
        <f>'Transmission Calculations'!L14*'Spectral Functions'!H12*'Spectral Functions'!E12</f>
        <v>3.8037774576383999E-2</v>
      </c>
      <c r="J12" s="13">
        <v>398</v>
      </c>
      <c r="K12" s="47">
        <f>'Transmission Calculations'!L14*'Spectral Functions'!J12*'Spectral Functions'!N12*'Spectral Functions'!C12</f>
        <v>3.2761465918744714E-4</v>
      </c>
      <c r="L12" s="47">
        <f>'Transmission Calculations'!L14*'Spectral Functions'!J12*'Spectral Functions'!N12*'Spectral Functions'!D12</f>
        <v>9.1506064513436318E-6</v>
      </c>
      <c r="M12" s="47">
        <f>'Transmission Calculations'!L14*'Spectral Functions'!J12*'Spectral Functions'!N12*'Spectral Functions'!E12</f>
        <v>1.5524477151934715E-3</v>
      </c>
      <c r="N12" s="47">
        <f>'Spectral Functions'!D12*'Spectral Functions'!J12*'Spectral Functions'!N12</f>
        <v>1.0042368800860001E-3</v>
      </c>
      <c r="R12" s="13">
        <v>398</v>
      </c>
      <c r="S12" s="47">
        <f>'Transmission Calculations'!L14*'Spectral Functions'!J12*'Spectral Functions'!M12*'Spectral Functions'!C12</f>
        <v>0</v>
      </c>
      <c r="T12" s="47">
        <f>'Transmission Calculations'!L14*'Spectral Functions'!J12*'Spectral Functions'!M12*'Spectral Functions'!D12</f>
        <v>0</v>
      </c>
      <c r="U12" s="47">
        <f>'Transmission Calculations'!L14*'Spectral Functions'!J12*'Spectral Functions'!M12*'Spectral Functions'!E12</f>
        <v>0</v>
      </c>
      <c r="V12" s="47">
        <f>'Spectral Functions'!D12*'Spectral Functions'!J12*'Spectral Functions'!M12</f>
        <v>0</v>
      </c>
      <c r="Z12" s="13">
        <v>398</v>
      </c>
      <c r="AA12" s="47">
        <f>'Transmission Calculations'!L14*'Spectral Functions'!J12*'Spectral Functions'!L12*'Spectral Functions'!D12</f>
        <v>0</v>
      </c>
      <c r="AB12" s="47">
        <f>'Spectral Functions'!D12*'Spectral Functions'!J12*'Spectral Functions'!L12</f>
        <v>0</v>
      </c>
      <c r="AD12" s="42">
        <v>398</v>
      </c>
      <c r="AE12" s="152">
        <f>AF12*'Transmission Calculations'!L14</f>
        <v>0</v>
      </c>
      <c r="AF12" s="92"/>
      <c r="AO12" s="42">
        <v>398</v>
      </c>
      <c r="AP12" s="113">
        <f>'Transmission Calculations'!L14*'Spectral Functions'!K12*'Spectral Functions'!C12</f>
        <v>6.2492925276000002E-3</v>
      </c>
      <c r="AQ12" s="113">
        <f>'Transmission Calculations'!L14*'Spectral Functions'!K12*'Spectral Functions'!D12</f>
        <v>1.7454901640000001E-4</v>
      </c>
      <c r="AR12" s="47">
        <f>'Transmission Calculations'!L14*'Spectral Functions'!K12*'Spectral Functions'!E12</f>
        <v>2.9613143472E-2</v>
      </c>
      <c r="AX12" s="116">
        <v>634</v>
      </c>
      <c r="AY12" s="47">
        <f>'Transmission Calculations'!L132*'Spectral Functions'!H130*'Spectral Functions'!D130</f>
        <v>1771.9962052693386</v>
      </c>
      <c r="AZ12" s="47">
        <f>'Spectral Functions'!H130*'Spectral Functions'!D130</f>
        <v>18.864755798400001</v>
      </c>
    </row>
    <row r="13" spans="1:58" ht="13.5" thickBot="1">
      <c r="A13" s="42">
        <v>400</v>
      </c>
      <c r="B13" s="88">
        <f>'Transmission Calculations'!L15*'Spectral Functions'!H13*'Spectral Functions'!C13</f>
        <v>4.5026512419618005E-2</v>
      </c>
      <c r="C13" s="88">
        <f>'Transmission Calculations'!L15*'Spectral Functions'!H13*'Spectral Functions'!D13</f>
        <v>1.2460166958888001E-3</v>
      </c>
      <c r="D13" s="88">
        <f>'Transmission Calculations'!L15*'Spectral Functions'!H13*'Spectral Functions'!E13</f>
        <v>0.21349048690923</v>
      </c>
      <c r="J13" s="13">
        <v>400</v>
      </c>
      <c r="K13" s="47">
        <f>'Transmission Calculations'!L15*'Spectral Functions'!J13*'Spectral Functions'!N13*'Spectral Functions'!C13</f>
        <v>1.9182104230306321E-3</v>
      </c>
      <c r="L13" s="47">
        <f>'Transmission Calculations'!L15*'Spectral Functions'!J13*'Spectral Functions'!N13*'Spectral Functions'!D13</f>
        <v>5.3082552587011201E-5</v>
      </c>
      <c r="M13" s="47">
        <f>'Transmission Calculations'!L15*'Spectral Functions'!J13*'Spectral Functions'!N13*'Spectral Functions'!E13</f>
        <v>9.095078770274519E-3</v>
      </c>
      <c r="N13" s="47">
        <f>'Spectral Functions'!D13*'Spectral Functions'!J13*'Spectral Functions'!N13</f>
        <v>1.3961010095999999E-3</v>
      </c>
      <c r="R13" s="13">
        <v>400</v>
      </c>
      <c r="S13" s="47">
        <f>'Transmission Calculations'!L15*'Spectral Functions'!J13*'Spectral Functions'!M13*'Spectral Functions'!C13</f>
        <v>0</v>
      </c>
      <c r="T13" s="47">
        <f>'Transmission Calculations'!L15*'Spectral Functions'!J13*'Spectral Functions'!M13*'Spectral Functions'!D13</f>
        <v>0</v>
      </c>
      <c r="U13" s="47">
        <f>'Transmission Calculations'!L15*'Spectral Functions'!J13*'Spectral Functions'!M13*'Spectral Functions'!E13</f>
        <v>0</v>
      </c>
      <c r="V13" s="47">
        <f>'Spectral Functions'!D13*'Spectral Functions'!J13*'Spectral Functions'!M13</f>
        <v>0</v>
      </c>
      <c r="Z13" s="13">
        <v>400</v>
      </c>
      <c r="AA13" s="47">
        <f>'Transmission Calculations'!L15*'Spectral Functions'!J13*'Spectral Functions'!L13*'Spectral Functions'!D13</f>
        <v>0</v>
      </c>
      <c r="AB13" s="47">
        <f>'Spectral Functions'!D13*'Spectral Functions'!J13*'Spectral Functions'!L13</f>
        <v>0</v>
      </c>
      <c r="AD13" s="42">
        <v>400</v>
      </c>
      <c r="AE13" s="152">
        <f>AF13*'Transmission Calculations'!L15</f>
        <v>1.5969239999999999E-4</v>
      </c>
      <c r="AF13" s="92">
        <v>4.1999999999999997E-3</v>
      </c>
      <c r="AH13" s="105" t="s">
        <v>69</v>
      </c>
      <c r="AI13" s="106"/>
      <c r="AJ13" s="106"/>
      <c r="AK13" s="106"/>
      <c r="AL13" s="106"/>
      <c r="AM13" s="107"/>
      <c r="AO13" s="42">
        <v>400</v>
      </c>
      <c r="AP13" s="113">
        <f>'Transmission Calculations'!L15*'Spectral Functions'!K13*'Spectral Functions'!C13</f>
        <v>3.4441202105999998E-2</v>
      </c>
      <c r="AQ13" s="113">
        <f>'Transmission Calculations'!L15*'Spectral Functions'!K13*'Spectral Functions'!D13</f>
        <v>9.5308986959999982E-4</v>
      </c>
      <c r="AR13" s="47">
        <f>'Transmission Calculations'!L15*'Spectral Functions'!K13*'Spectral Functions'!E13</f>
        <v>0.16330087790999998</v>
      </c>
      <c r="AX13" s="116">
        <v>636</v>
      </c>
      <c r="AY13" s="47">
        <f>'Transmission Calculations'!L133*'Spectral Functions'!H131*'Spectral Functions'!D131</f>
        <v>1610.3720813388302</v>
      </c>
      <c r="AZ13" s="47">
        <f>'Spectral Functions'!H131*'Spectral Functions'!D131</f>
        <v>17.38881267</v>
      </c>
    </row>
    <row r="14" spans="1:58">
      <c r="A14" s="42">
        <v>402</v>
      </c>
      <c r="B14" s="88">
        <f>'Transmission Calculations'!L16*'Spectral Functions'!H14*'Spectral Functions'!C14</f>
        <v>0.20061158883881175</v>
      </c>
      <c r="C14" s="88">
        <f>'Transmission Calculations'!L16*'Spectral Functions'!H14*'Spectral Functions'!D14</f>
        <v>5.5338707366161992E-3</v>
      </c>
      <c r="D14" s="88">
        <f>'Transmission Calculations'!L16*'Spectral Functions'!H14*'Spectral Functions'!E14</f>
        <v>0.9518959637897827</v>
      </c>
      <c r="J14" s="13">
        <v>402</v>
      </c>
      <c r="K14" s="47">
        <f>'Transmission Calculations'!L16*'Spectral Functions'!J14*'Spectral Functions'!N14*'Spectral Functions'!C14</f>
        <v>9.171032677905035E-3</v>
      </c>
      <c r="L14" s="47">
        <f>'Transmission Calculations'!L16*'Spectral Functions'!J14*'Spectral Functions'!N14*'Spectral Functions'!D14</f>
        <v>2.5298293909424866E-4</v>
      </c>
      <c r="M14" s="47">
        <f>'Transmission Calculations'!L16*'Spectral Functions'!J14*'Spectral Functions'!N14*'Spectral Functions'!E14</f>
        <v>4.3516274610118942E-2</v>
      </c>
      <c r="N14" s="47">
        <f>'Spectral Functions'!D14*'Spectral Functions'!J14*'Spectral Functions'!N14</f>
        <v>1.8271984853759997E-3</v>
      </c>
      <c r="R14" s="13">
        <v>402</v>
      </c>
      <c r="S14" s="47">
        <f>'Transmission Calculations'!L16*'Spectral Functions'!J14*'Spectral Functions'!M14*'Spectral Functions'!C14</f>
        <v>0</v>
      </c>
      <c r="T14" s="47">
        <f>'Transmission Calculations'!L16*'Spectral Functions'!J14*'Spectral Functions'!M14*'Spectral Functions'!D14</f>
        <v>0</v>
      </c>
      <c r="U14" s="47">
        <f>'Transmission Calculations'!L16*'Spectral Functions'!J14*'Spectral Functions'!M14*'Spectral Functions'!E14</f>
        <v>0</v>
      </c>
      <c r="V14" s="47">
        <f>'Spectral Functions'!D14*'Spectral Functions'!J14*'Spectral Functions'!M14</f>
        <v>0</v>
      </c>
      <c r="Z14" s="13">
        <v>402</v>
      </c>
      <c r="AA14" s="47">
        <f>'Transmission Calculations'!L16*'Spectral Functions'!J14*'Spectral Functions'!L14*'Spectral Functions'!D14</f>
        <v>0</v>
      </c>
      <c r="AB14" s="47">
        <f>'Spectral Functions'!D14*'Spectral Functions'!J14*'Spectral Functions'!L14</f>
        <v>0</v>
      </c>
      <c r="AD14" s="42">
        <v>402</v>
      </c>
      <c r="AE14" s="152">
        <f>AF14*'Transmission Calculations'!L16</f>
        <v>0</v>
      </c>
      <c r="AF14" s="92"/>
      <c r="AH14" s="91"/>
      <c r="AI14" s="40"/>
      <c r="AJ14" s="40"/>
      <c r="AK14" s="40"/>
      <c r="AL14" s="40"/>
      <c r="AM14" s="92"/>
      <c r="AO14" s="42">
        <v>402</v>
      </c>
      <c r="AP14" s="113">
        <f>'Transmission Calculations'!L16*'Spectral Functions'!K14*'Spectral Functions'!C14</f>
        <v>0.1583505182246</v>
      </c>
      <c r="AQ14" s="113">
        <f>'Transmission Calculations'!L16*'Spectral Functions'!K14*'Spectral Functions'!D14</f>
        <v>4.3680990913999998E-3</v>
      </c>
      <c r="AR14" s="47">
        <f>'Transmission Calculations'!L16*'Spectral Functions'!K14*'Spectral Functions'!E14</f>
        <v>0.75136845301160005</v>
      </c>
      <c r="AX14" s="116">
        <v>638</v>
      </c>
      <c r="AY14" s="47">
        <f>'Transmission Calculations'!L134*'Spectral Functions'!H132*'Spectral Functions'!D132</f>
        <v>1487.2758825580972</v>
      </c>
      <c r="AZ14" s="47">
        <f>'Spectral Functions'!H132*'Spectral Functions'!D132</f>
        <v>15.983826750499999</v>
      </c>
    </row>
    <row r="15" spans="1:58" ht="13.5" thickBot="1">
      <c r="A15" s="42">
        <v>404</v>
      </c>
      <c r="B15" s="88">
        <f>'Transmission Calculations'!L17*'Spectral Functions'!H15*'Spectral Functions'!C15</f>
        <v>0.74378862520325995</v>
      </c>
      <c r="C15" s="88">
        <f>'Transmission Calculations'!L17*'Spectral Functions'!H15*'Spectral Functions'!D15</f>
        <v>2.0505450820140003E-2</v>
      </c>
      <c r="D15" s="88">
        <f>'Transmission Calculations'!L17*'Spectral Functions'!H15*'Spectral Functions'!E15</f>
        <v>3.5325299367423</v>
      </c>
      <c r="J15" s="13">
        <v>404</v>
      </c>
      <c r="K15" s="47">
        <f>'Transmission Calculations'!L17*'Spectral Functions'!J15*'Spectral Functions'!N15*'Spectral Functions'!C15</f>
        <v>3.6385272876866007E-2</v>
      </c>
      <c r="L15" s="47">
        <f>'Transmission Calculations'!L17*'Spectral Functions'!J15*'Spectral Functions'!N15*'Spectral Functions'!D15</f>
        <v>1.0031027610163561E-3</v>
      </c>
      <c r="M15" s="47">
        <f>'Transmission Calculations'!L17*'Spectral Functions'!J15*'Spectral Functions'!N15*'Spectral Functions'!E15</f>
        <v>0.17280724837509043</v>
      </c>
      <c r="N15" s="47">
        <f>'Spectral Functions'!D15*'Spectral Functions'!J15*'Spectral Functions'!N15</f>
        <v>2.41333516424E-3</v>
      </c>
      <c r="R15" s="13">
        <v>404</v>
      </c>
      <c r="S15" s="47">
        <f>'Transmission Calculations'!L17*'Spectral Functions'!J15*'Spectral Functions'!M15*'Spectral Functions'!C15</f>
        <v>0</v>
      </c>
      <c r="T15" s="47">
        <f>'Transmission Calculations'!L17*'Spectral Functions'!J15*'Spectral Functions'!M15*'Spectral Functions'!D15</f>
        <v>0</v>
      </c>
      <c r="U15" s="47">
        <f>'Transmission Calculations'!L17*'Spectral Functions'!J15*'Spectral Functions'!M15*'Spectral Functions'!E15</f>
        <v>0</v>
      </c>
      <c r="V15" s="47">
        <f>'Spectral Functions'!D15*'Spectral Functions'!J15*'Spectral Functions'!M15</f>
        <v>0</v>
      </c>
      <c r="Z15" s="13">
        <v>404</v>
      </c>
      <c r="AA15" s="47">
        <f>'Transmission Calculations'!L17*'Spectral Functions'!J15*'Spectral Functions'!L15*'Spectral Functions'!D15</f>
        <v>0</v>
      </c>
      <c r="AB15" s="47">
        <f>'Spectral Functions'!D15*'Spectral Functions'!J15*'Spectral Functions'!L15</f>
        <v>0</v>
      </c>
      <c r="AD15" s="42">
        <v>404</v>
      </c>
      <c r="AE15" s="152">
        <f>AF15*'Transmission Calculations'!L17</f>
        <v>0</v>
      </c>
      <c r="AF15" s="92"/>
      <c r="AH15" s="103" t="s">
        <v>72</v>
      </c>
      <c r="AI15" s="108">
        <f>L204/N204</f>
        <v>41.824905955877774</v>
      </c>
      <c r="AJ15" s="104" t="s">
        <v>74</v>
      </c>
      <c r="AK15" s="70"/>
      <c r="AL15" s="70"/>
      <c r="AM15" s="95"/>
      <c r="AO15" s="42">
        <v>404</v>
      </c>
      <c r="AP15" s="113">
        <f>'Transmission Calculations'!L17*'Spectral Functions'!K15*'Spectral Functions'!C15</f>
        <v>0.604622063682</v>
      </c>
      <c r="AQ15" s="113">
        <f>'Transmission Calculations'!L17*'Spectral Functions'!K15*'Spectral Functions'!D15</f>
        <v>1.6668778698E-2</v>
      </c>
      <c r="AR15" s="47">
        <f>'Transmission Calculations'!L17*'Spectral Functions'!K15*'Spectral Functions'!E15</f>
        <v>2.87157596661</v>
      </c>
      <c r="AX15" s="116">
        <v>640</v>
      </c>
      <c r="AY15" s="47">
        <f>'Transmission Calculations'!L135*'Spectral Functions'!H133*'Spectral Functions'!D133</f>
        <v>1369.7453510540802</v>
      </c>
      <c r="AZ15" s="47">
        <f>'Spectral Functions'!H133*'Spectral Functions'!D133</f>
        <v>14.647359999999999</v>
      </c>
    </row>
    <row r="16" spans="1:58" ht="13.5" thickBot="1">
      <c r="A16" s="42">
        <v>406</v>
      </c>
      <c r="B16" s="88">
        <f>'Transmission Calculations'!L18*'Spectral Functions'!H16*'Spectral Functions'!C16</f>
        <v>2.3873618434318273</v>
      </c>
      <c r="C16" s="88">
        <f>'Transmission Calculations'!L18*'Spectral Functions'!H16*'Spectral Functions'!D16</f>
        <v>6.6044848188960004E-2</v>
      </c>
      <c r="D16" s="88">
        <f>'Transmission Calculations'!L18*'Spectral Functions'!H16*'Spectral Functions'!E16</f>
        <v>11.351788506718446</v>
      </c>
      <c r="J16" s="13">
        <v>406</v>
      </c>
      <c r="K16" s="47">
        <f>'Transmission Calculations'!L18*'Spectral Functions'!J16*'Spectral Functions'!N16*'Spectral Functions'!C16</f>
        <v>0.12465285594751044</v>
      </c>
      <c r="L16" s="47">
        <f>'Transmission Calculations'!L18*'Spectral Functions'!J16*'Spectral Functions'!N16*'Spectral Functions'!D16</f>
        <v>3.4484420407503743E-3</v>
      </c>
      <c r="M16" s="47">
        <f>'Transmission Calculations'!L18*'Spectral Functions'!J16*'Spectral Functions'!N16*'Spectral Functions'!E16</f>
        <v>0.59271821796417434</v>
      </c>
      <c r="N16" s="47">
        <f>'Spectral Functions'!D16*'Spectral Functions'!J16*'Spectral Functions'!N16</f>
        <v>3.3309880703999996E-3</v>
      </c>
      <c r="R16" s="13">
        <v>406</v>
      </c>
      <c r="S16" s="47">
        <f>'Transmission Calculations'!L18*'Spectral Functions'!J16*'Spectral Functions'!M16*'Spectral Functions'!C16</f>
        <v>0</v>
      </c>
      <c r="T16" s="47">
        <f>'Transmission Calculations'!L18*'Spectral Functions'!J16*'Spectral Functions'!M16*'Spectral Functions'!D16</f>
        <v>0</v>
      </c>
      <c r="U16" s="47">
        <f>'Transmission Calculations'!L18*'Spectral Functions'!J16*'Spectral Functions'!M16*'Spectral Functions'!E16</f>
        <v>0</v>
      </c>
      <c r="V16" s="47">
        <f>'Spectral Functions'!D16*'Spectral Functions'!J16*'Spectral Functions'!M16</f>
        <v>0</v>
      </c>
      <c r="Z16" s="13">
        <v>406</v>
      </c>
      <c r="AA16" s="47">
        <f>'Transmission Calculations'!L18*'Spectral Functions'!J16*'Spectral Functions'!L16*'Spectral Functions'!D16</f>
        <v>0</v>
      </c>
      <c r="AB16" s="47">
        <f>'Spectral Functions'!D16*'Spectral Functions'!J16*'Spectral Functions'!L16</f>
        <v>0</v>
      </c>
      <c r="AD16" s="42">
        <v>406</v>
      </c>
      <c r="AE16" s="152">
        <f>AF16*'Transmission Calculations'!L18</f>
        <v>0</v>
      </c>
      <c r="AF16" s="92"/>
      <c r="AO16" s="42">
        <v>406</v>
      </c>
      <c r="AP16" s="113">
        <f>'Transmission Calculations'!L18*'Spectral Functions'!K16*'Spectral Functions'!C16</f>
        <v>1.9960339254363899</v>
      </c>
      <c r="AQ16" s="113">
        <f>'Transmission Calculations'!L18*'Spectral Functions'!K16*'Spectral Functions'!D16</f>
        <v>5.5219010033249992E-2</v>
      </c>
      <c r="AR16" s="47">
        <f>'Transmission Calculations'!L18*'Spectral Functions'!K16*'Spectral Functions'!E16</f>
        <v>9.4910434445150091</v>
      </c>
      <c r="AX16" s="116">
        <v>642</v>
      </c>
      <c r="AY16" s="47">
        <f>'Transmission Calculations'!L136*'Spectral Functions'!H134*'Spectral Functions'!D134</f>
        <v>1247.2252204195497</v>
      </c>
      <c r="AZ16" s="47">
        <f>'Spectral Functions'!H134*'Spectral Functions'!D134</f>
        <v>13.2449824962</v>
      </c>
    </row>
    <row r="17" spans="1:52" ht="13.5" thickBot="1">
      <c r="A17" s="42">
        <v>408</v>
      </c>
      <c r="B17" s="88">
        <f>'Transmission Calculations'!L19*'Spectral Functions'!H17*'Spectral Functions'!C17</f>
        <v>6.6435348837291279</v>
      </c>
      <c r="C17" s="88">
        <f>'Transmission Calculations'!L19*'Spectral Functions'!H17*'Spectral Functions'!D17</f>
        <v>0.1845208478627246</v>
      </c>
      <c r="D17" s="88">
        <f>'Transmission Calculations'!L19*'Spectral Functions'!H17*'Spectral Functions'!E17</f>
        <v>31.630128420455822</v>
      </c>
      <c r="J17" s="13">
        <v>408</v>
      </c>
      <c r="K17" s="47">
        <f>'Transmission Calculations'!L19*'Spectral Functions'!J17*'Spectral Functions'!N17*'Spectral Functions'!C17</f>
        <v>0.36938556802284933</v>
      </c>
      <c r="L17" s="47">
        <f>'Transmission Calculations'!L19*'Spectral Functions'!J17*'Spectral Functions'!N17*'Spectral Functions'!D17</f>
        <v>1.0259498804884925E-2</v>
      </c>
      <c r="M17" s="47">
        <f>'Transmission Calculations'!L19*'Spectral Functions'!J17*'Spectral Functions'!N17*'Spectral Functions'!E17</f>
        <v>1.7586590810022931</v>
      </c>
      <c r="N17" s="47">
        <f>'Spectral Functions'!D17*'Spectral Functions'!J17*'Spectral Functions'!N17</f>
        <v>4.6952143565640002E-3</v>
      </c>
      <c r="R17" s="13">
        <v>408</v>
      </c>
      <c r="S17" s="47">
        <f>'Transmission Calculations'!L19*'Spectral Functions'!J17*'Spectral Functions'!M17*'Spectral Functions'!C17</f>
        <v>0</v>
      </c>
      <c r="T17" s="47">
        <f>'Transmission Calculations'!L19*'Spectral Functions'!J17*'Spectral Functions'!M17*'Spectral Functions'!D17</f>
        <v>0</v>
      </c>
      <c r="U17" s="47">
        <f>'Transmission Calculations'!L19*'Spectral Functions'!J17*'Spectral Functions'!M17*'Spectral Functions'!E17</f>
        <v>0</v>
      </c>
      <c r="V17" s="47">
        <f>'Spectral Functions'!D17*'Spectral Functions'!J17*'Spectral Functions'!M17</f>
        <v>0</v>
      </c>
      <c r="Z17" s="13">
        <v>408</v>
      </c>
      <c r="AA17" s="47">
        <f>'Transmission Calculations'!L19*'Spectral Functions'!J17*'Spectral Functions'!L17*'Spectral Functions'!D17</f>
        <v>0</v>
      </c>
      <c r="AB17" s="47">
        <f>'Spectral Functions'!D17*'Spectral Functions'!J17*'Spectral Functions'!L17</f>
        <v>0</v>
      </c>
      <c r="AD17" s="42">
        <v>408</v>
      </c>
      <c r="AE17" s="152">
        <f>AF17*'Transmission Calculations'!L19</f>
        <v>0</v>
      </c>
      <c r="AF17" s="92"/>
      <c r="AH17" s="105" t="s">
        <v>112</v>
      </c>
      <c r="AI17" s="106"/>
      <c r="AJ17" s="106"/>
      <c r="AK17" s="106"/>
      <c r="AL17" s="106"/>
      <c r="AM17" s="107"/>
      <c r="AO17" s="42">
        <v>408</v>
      </c>
      <c r="AP17" s="113">
        <f>'Transmission Calculations'!L19*'Spectral Functions'!K17*'Spectral Functions'!C17</f>
        <v>5.7063161366287991</v>
      </c>
      <c r="AQ17" s="113">
        <f>'Transmission Calculations'!L19*'Spectral Functions'!K17*'Spectral Functions'!D17</f>
        <v>0.15849006743115998</v>
      </c>
      <c r="AR17" s="47">
        <f>'Transmission Calculations'!L19*'Spectral Functions'!K17*'Spectral Functions'!E17</f>
        <v>27.16799345049504</v>
      </c>
      <c r="AX17" s="116">
        <v>644</v>
      </c>
      <c r="AY17" s="47">
        <f>'Transmission Calculations'!L137*'Spectral Functions'!H135*'Spectral Functions'!D135</f>
        <v>1121.6541444208888</v>
      </c>
      <c r="AZ17" s="47">
        <f>'Spectral Functions'!H135*'Spectral Functions'!D135</f>
        <v>11.933740005200001</v>
      </c>
    </row>
    <row r="18" spans="1:52">
      <c r="A18" s="42">
        <v>410</v>
      </c>
      <c r="B18" s="88">
        <f>'Transmission Calculations'!L20*'Spectral Functions'!H18*'Spectral Functions'!C18</f>
        <v>15.470501999895482</v>
      </c>
      <c r="C18" s="88">
        <f>'Transmission Calculations'!L20*'Spectral Functions'!H18*'Spectral Functions'!D18</f>
        <v>0.43023000275508</v>
      </c>
      <c r="D18" s="88">
        <f>'Transmission Calculations'!L20*'Spectral Functions'!H18*'Spectral Functions'!E18</f>
        <v>73.743555844135216</v>
      </c>
      <c r="J18" s="13">
        <v>410</v>
      </c>
      <c r="K18" s="47">
        <f>'Transmission Calculations'!L20*'Spectral Functions'!J18*'Spectral Functions'!N18*'Spectral Functions'!C18</f>
        <v>0.91401651215288171</v>
      </c>
      <c r="L18" s="47">
        <f>'Transmission Calculations'!L20*'Spectral Functions'!J18*'Spectral Functions'!N18*'Spectral Functions'!D18</f>
        <v>2.5418524010686894E-2</v>
      </c>
      <c r="M18" s="47">
        <f>'Transmission Calculations'!L20*'Spectral Functions'!J18*'Spectral Functions'!N18*'Spectral Functions'!E18</f>
        <v>4.3568610576995557</v>
      </c>
      <c r="N18" s="47">
        <f>'Spectral Functions'!D18*'Spectral Functions'!J18*'Spectral Functions'!N18</f>
        <v>6.5401791554000003E-3</v>
      </c>
      <c r="R18" s="13">
        <v>410</v>
      </c>
      <c r="S18" s="47">
        <f>'Transmission Calculations'!L20*'Spectral Functions'!J18*'Spectral Functions'!M18*'Spectral Functions'!C18</f>
        <v>0</v>
      </c>
      <c r="T18" s="47">
        <f>'Transmission Calculations'!L20*'Spectral Functions'!J18*'Spectral Functions'!M18*'Spectral Functions'!D18</f>
        <v>0</v>
      </c>
      <c r="U18" s="47">
        <f>'Transmission Calculations'!L20*'Spectral Functions'!J18*'Spectral Functions'!M18*'Spectral Functions'!E18</f>
        <v>0</v>
      </c>
      <c r="V18" s="47">
        <f>'Spectral Functions'!D18*'Spectral Functions'!J18*'Spectral Functions'!M18</f>
        <v>0</v>
      </c>
      <c r="Z18" s="13">
        <v>410</v>
      </c>
      <c r="AA18" s="47">
        <f>'Transmission Calculations'!L20*'Spectral Functions'!J18*'Spectral Functions'!L18*'Spectral Functions'!D18</f>
        <v>0</v>
      </c>
      <c r="AB18" s="47">
        <f>'Spectral Functions'!D18*'Spectral Functions'!J18*'Spectral Functions'!L18</f>
        <v>0</v>
      </c>
      <c r="AD18" s="42">
        <v>410</v>
      </c>
      <c r="AE18" s="152">
        <f>AF18*'Transmission Calculations'!L20</f>
        <v>7.5398449200000009E-2</v>
      </c>
      <c r="AF18" s="92">
        <v>1.9400000000000001E-2</v>
      </c>
      <c r="AH18" s="91"/>
      <c r="AI18" s="40"/>
      <c r="AJ18" s="40"/>
      <c r="AK18" s="40"/>
      <c r="AL18" s="40"/>
      <c r="AM18" s="92"/>
      <c r="AO18" s="42">
        <v>410</v>
      </c>
      <c r="AP18" s="113">
        <f>'Transmission Calculations'!L20*'Spectral Functions'!K18*'Spectral Functions'!C18</f>
        <v>13.629653293307998</v>
      </c>
      <c r="AQ18" s="113">
        <f>'Transmission Calculations'!L20*'Spectral Functions'!K18*'Spectral Functions'!D18</f>
        <v>0.37903655446799994</v>
      </c>
      <c r="AR18" s="47">
        <f>'Transmission Calculations'!L20*'Spectral Functions'!K18*'Spectral Functions'!E18</f>
        <v>64.968744955919988</v>
      </c>
      <c r="AX18" s="116">
        <v>646</v>
      </c>
      <c r="AY18" s="47">
        <f>'Transmission Calculations'!L138*'Spectral Functions'!H136*'Spectral Functions'!D136</f>
        <v>997.38719422640406</v>
      </c>
      <c r="AZ18" s="47">
        <f>'Spectral Functions'!H136*'Spectral Functions'!D136</f>
        <v>10.716697700000001</v>
      </c>
    </row>
    <row r="19" spans="1:52" ht="13.5" thickBot="1">
      <c r="A19" s="42">
        <v>412</v>
      </c>
      <c r="B19" s="88">
        <f>'Transmission Calculations'!L21*'Spectral Functions'!H19*'Spectral Functions'!C19</f>
        <v>30.678814172861536</v>
      </c>
      <c r="C19" s="88">
        <f>'Transmission Calculations'!L21*'Spectral Functions'!H19*'Spectral Functions'!D19</f>
        <v>0.85364516918052802</v>
      </c>
      <c r="D19" s="88">
        <f>'Transmission Calculations'!L21*'Spectral Functions'!H19*'Spectral Functions'!E19</f>
        <v>146.42495853929955</v>
      </c>
      <c r="J19" s="13">
        <v>412</v>
      </c>
      <c r="K19" s="47">
        <f>'Transmission Calculations'!L21*'Spectral Functions'!J19*'Spectral Functions'!N19*'Spectral Functions'!C19</f>
        <v>1.9447180494276921</v>
      </c>
      <c r="L19" s="47">
        <f>'Transmission Calculations'!L21*'Spectral Functions'!J19*'Spectral Functions'!N19*'Spectral Functions'!D19</f>
        <v>5.4112233900508823E-2</v>
      </c>
      <c r="M19" s="47">
        <f>'Transmission Calculations'!L21*'Spectral Functions'!J19*'Spectral Functions'!N19*'Spectral Functions'!E19</f>
        <v>9.2818209385019728</v>
      </c>
      <c r="N19" s="47">
        <f>'Spectral Functions'!D19*'Spectral Functions'!J19*'Spectral Functions'!N19</f>
        <v>8.9164414964880007E-3</v>
      </c>
      <c r="R19" s="13">
        <v>412</v>
      </c>
      <c r="S19" s="47">
        <f>'Transmission Calculations'!L21*'Spectral Functions'!J19*'Spectral Functions'!M19*'Spectral Functions'!C19</f>
        <v>0</v>
      </c>
      <c r="T19" s="47">
        <f>'Transmission Calculations'!L21*'Spectral Functions'!J19*'Spectral Functions'!M19*'Spectral Functions'!D19</f>
        <v>0</v>
      </c>
      <c r="U19" s="47">
        <f>'Transmission Calculations'!L21*'Spectral Functions'!J19*'Spectral Functions'!M19*'Spectral Functions'!E19</f>
        <v>0</v>
      </c>
      <c r="V19" s="47">
        <f>'Spectral Functions'!D19*'Spectral Functions'!J19*'Spectral Functions'!M19</f>
        <v>0</v>
      </c>
      <c r="Z19" s="13">
        <v>412</v>
      </c>
      <c r="AA19" s="47">
        <f>'Transmission Calculations'!L21*'Spectral Functions'!J19*'Spectral Functions'!L19*'Spectral Functions'!D19</f>
        <v>0</v>
      </c>
      <c r="AB19" s="47">
        <f>'Spectral Functions'!D19*'Spectral Functions'!J19*'Spectral Functions'!L19</f>
        <v>0</v>
      </c>
      <c r="AD19" s="42">
        <v>412</v>
      </c>
      <c r="AE19" s="152">
        <f>AF19*'Transmission Calculations'!L21</f>
        <v>0</v>
      </c>
      <c r="AF19" s="92"/>
      <c r="AH19" s="103" t="s">
        <v>114</v>
      </c>
      <c r="AI19" s="108">
        <f>AE204/AF204</f>
        <v>38.794933415298004</v>
      </c>
      <c r="AJ19" s="104" t="s">
        <v>74</v>
      </c>
      <c r="AK19" s="70"/>
      <c r="AL19" s="70"/>
      <c r="AM19" s="95"/>
      <c r="AO19" s="42">
        <v>412</v>
      </c>
      <c r="AP19" s="113">
        <f>'Transmission Calculations'!L21*'Spectral Functions'!K19*'Spectral Functions'!C19</f>
        <v>28.105906587738101</v>
      </c>
      <c r="AQ19" s="113">
        <f>'Transmission Calculations'!L21*'Spectral Functions'!K19*'Spectral Functions'!D19</f>
        <v>0.78205341474004997</v>
      </c>
      <c r="AR19" s="47">
        <f>'Transmission Calculations'!L21*'Spectral Functions'!K19*'Spectral Functions'!E19</f>
        <v>134.14489176897405</v>
      </c>
      <c r="AX19" s="116">
        <v>648</v>
      </c>
      <c r="AY19" s="47">
        <f>'Transmission Calculations'!L139*'Spectral Functions'!H137*'Spectral Functions'!D137</f>
        <v>908.08989897359834</v>
      </c>
      <c r="AZ19" s="47">
        <f>'Spectral Functions'!H137*'Spectral Functions'!D137</f>
        <v>9.5927464527000001</v>
      </c>
    </row>
    <row r="20" spans="1:52">
      <c r="A20" s="42">
        <v>414</v>
      </c>
      <c r="B20" s="88">
        <f>'Transmission Calculations'!L22*'Spectral Functions'!H20*'Spectral Functions'!C20</f>
        <v>54.832090641654609</v>
      </c>
      <c r="C20" s="88">
        <f>'Transmission Calculations'!L22*'Spectral Functions'!H20*'Spectral Functions'!D20</f>
        <v>1.5329725393226852</v>
      </c>
      <c r="D20" s="88">
        <f>'Transmission Calculations'!L22*'Spectral Functions'!H20*'Spectral Functions'!E20</f>
        <v>262.07017211132035</v>
      </c>
      <c r="J20" s="13">
        <v>414</v>
      </c>
      <c r="K20" s="47">
        <f>'Transmission Calculations'!L22*'Spectral Functions'!J20*'Spectral Functions'!N20*'Spectral Functions'!C20</f>
        <v>3.7220805669704964</v>
      </c>
      <c r="L20" s="47">
        <f>'Transmission Calculations'!L22*'Spectral Functions'!J20*'Spectral Functions'!N20*'Spectral Functions'!D20</f>
        <v>0.10406036376766907</v>
      </c>
      <c r="M20" s="47">
        <f>'Transmission Calculations'!L22*'Spectral Functions'!J20*'Spectral Functions'!N20*'Spectral Functions'!E20</f>
        <v>17.789697299215071</v>
      </c>
      <c r="N20" s="47">
        <f>'Spectral Functions'!D20*'Spectral Functions'!J20*'Spectral Functions'!N20</f>
        <v>1.21189676166E-2</v>
      </c>
      <c r="R20" s="13">
        <v>414</v>
      </c>
      <c r="S20" s="47">
        <f>'Transmission Calculations'!L22*'Spectral Functions'!J20*'Spectral Functions'!M20*'Spectral Functions'!C20</f>
        <v>0</v>
      </c>
      <c r="T20" s="47">
        <f>'Transmission Calculations'!L22*'Spectral Functions'!J20*'Spectral Functions'!M20*'Spectral Functions'!D20</f>
        <v>0</v>
      </c>
      <c r="U20" s="47">
        <f>'Transmission Calculations'!L22*'Spectral Functions'!J20*'Spectral Functions'!M20*'Spectral Functions'!E20</f>
        <v>0</v>
      </c>
      <c r="V20" s="47">
        <f>'Spectral Functions'!D20*'Spectral Functions'!J20*'Spectral Functions'!M20</f>
        <v>0</v>
      </c>
      <c r="Z20" s="13">
        <v>414</v>
      </c>
      <c r="AA20" s="47">
        <f>'Transmission Calculations'!L22*'Spectral Functions'!J20*'Spectral Functions'!L20*'Spectral Functions'!D20</f>
        <v>0</v>
      </c>
      <c r="AB20" s="47">
        <f>'Spectral Functions'!D20*'Spectral Functions'!J20*'Spectral Functions'!L20</f>
        <v>0</v>
      </c>
      <c r="AD20" s="42">
        <v>414</v>
      </c>
      <c r="AE20" s="152">
        <f>AF20*'Transmission Calculations'!L22</f>
        <v>0</v>
      </c>
      <c r="AF20" s="92"/>
      <c r="AO20" s="42">
        <v>414</v>
      </c>
      <c r="AP20" s="113">
        <f>'Transmission Calculations'!L22*'Spectral Functions'!K20*'Spectral Functions'!C20</f>
        <v>52.1433277323816</v>
      </c>
      <c r="AQ20" s="113">
        <f>'Transmission Calculations'!L22*'Spectral Functions'!K20*'Spectral Functions'!D20</f>
        <v>1.4578012362330002</v>
      </c>
      <c r="AR20" s="47">
        <f>'Transmission Calculations'!L22*'Spectral Functions'!K20*'Spectral Functions'!E20</f>
        <v>249.21922022978822</v>
      </c>
      <c r="AX20" s="116">
        <v>650</v>
      </c>
      <c r="AY20" s="47">
        <f>'Transmission Calculations'!L140*'Spectral Functions'!H138*'Spectral Functions'!D138</f>
        <v>803.54705659609078</v>
      </c>
      <c r="AZ20" s="47">
        <f>'Spectral Functions'!H138*'Spectral Functions'!D138</f>
        <v>8.5628675999999988</v>
      </c>
    </row>
    <row r="21" spans="1:52">
      <c r="A21" s="42">
        <v>416</v>
      </c>
      <c r="B21" s="88">
        <f>'Transmission Calculations'!L23*'Spectral Functions'!H21*'Spectral Functions'!C21</f>
        <v>89.927285527387141</v>
      </c>
      <c r="C21" s="88">
        <f>'Transmission Calculations'!L23*'Spectral Functions'!H21*'Spectral Functions'!D21</f>
        <v>2.5388289285601724</v>
      </c>
      <c r="D21" s="88">
        <f>'Transmission Calculations'!L23*'Spectral Functions'!H21*'Spectral Functions'!E21</f>
        <v>430.42095703751556</v>
      </c>
      <c r="J21" s="13">
        <v>416</v>
      </c>
      <c r="K21" s="47">
        <f>'Transmission Calculations'!L23*'Spectral Functions'!J21*'Spectral Functions'!N21*'Spectral Functions'!C21</f>
        <v>6.5251131537639777</v>
      </c>
      <c r="L21" s="47">
        <f>'Transmission Calculations'!L23*'Spectral Functions'!J21*'Spectral Functions'!N21*'Spectral Functions'!D21</f>
        <v>0.18421712542250934</v>
      </c>
      <c r="M21" s="47">
        <f>'Transmission Calculations'!L23*'Spectral Functions'!J21*'Spectral Functions'!N21*'Spectral Functions'!E21</f>
        <v>31.231293505082355</v>
      </c>
      <c r="N21" s="47">
        <f>'Spectral Functions'!D21*'Spectral Functions'!J21*'Spectral Functions'!N21</f>
        <v>1.6504785667160002E-2</v>
      </c>
      <c r="R21" s="13">
        <v>416</v>
      </c>
      <c r="S21" s="47">
        <f>'Transmission Calculations'!L23*'Spectral Functions'!J21*'Spectral Functions'!M21*'Spectral Functions'!C21</f>
        <v>0</v>
      </c>
      <c r="T21" s="47">
        <f>'Transmission Calculations'!L23*'Spectral Functions'!J21*'Spectral Functions'!M21*'Spectral Functions'!D21</f>
        <v>0</v>
      </c>
      <c r="U21" s="47">
        <f>'Transmission Calculations'!L23*'Spectral Functions'!J21*'Spectral Functions'!M21*'Spectral Functions'!E21</f>
        <v>0</v>
      </c>
      <c r="V21" s="47">
        <f>'Spectral Functions'!D21*'Spectral Functions'!J21*'Spectral Functions'!M21</f>
        <v>0</v>
      </c>
      <c r="Z21" s="13">
        <v>416</v>
      </c>
      <c r="AA21" s="47">
        <f>'Transmission Calculations'!L23*'Spectral Functions'!J21*'Spectral Functions'!L21*'Spectral Functions'!D21</f>
        <v>0</v>
      </c>
      <c r="AB21" s="47">
        <f>'Spectral Functions'!D21*'Spectral Functions'!J21*'Spectral Functions'!L21</f>
        <v>0</v>
      </c>
      <c r="AD21" s="42">
        <v>416</v>
      </c>
      <c r="AE21" s="152">
        <f>AF21*'Transmission Calculations'!L23</f>
        <v>0</v>
      </c>
      <c r="AF21" s="92"/>
      <c r="AO21" s="42">
        <v>416</v>
      </c>
      <c r="AP21" s="113">
        <f>'Transmission Calculations'!L23*'Spectral Functions'!K21*'Spectral Functions'!C21</f>
        <v>88.555376014061025</v>
      </c>
      <c r="AQ21" s="113">
        <f>'Transmission Calculations'!L23*'Spectral Functions'!K21*'Spectral Functions'!D21</f>
        <v>2.5000971516654</v>
      </c>
      <c r="AR21" s="47">
        <f>'Transmission Calculations'!L23*'Spectral Functions'!K21*'Spectral Functions'!E21</f>
        <v>423.85455617006289</v>
      </c>
      <c r="AX21" s="116">
        <v>652</v>
      </c>
      <c r="AY21" s="47">
        <f>'Transmission Calculations'!L141*'Spectral Functions'!H139*'Spectral Functions'!D139</f>
        <v>714.643377853218</v>
      </c>
      <c r="AZ21" s="47">
        <f>'Spectral Functions'!H139*'Spectral Functions'!D139</f>
        <v>7.7013145716000002</v>
      </c>
    </row>
    <row r="22" spans="1:52">
      <c r="A22" s="42">
        <v>418</v>
      </c>
      <c r="B22" s="88">
        <f>'Transmission Calculations'!L24*'Spectral Functions'!H22*'Spectral Functions'!C22</f>
        <v>136.53104272324319</v>
      </c>
      <c r="C22" s="88">
        <f>'Transmission Calculations'!L24*'Spectral Functions'!H22*'Spectral Functions'!D22</f>
        <v>3.9269393872209313</v>
      </c>
      <c r="D22" s="88">
        <f>'Transmission Calculations'!L24*'Spectral Functions'!H22*'Spectral Functions'!E22</f>
        <v>654.52558205316927</v>
      </c>
      <c r="J22" s="13">
        <v>418</v>
      </c>
      <c r="K22" s="47">
        <f>'Transmission Calculations'!L24*'Spectral Functions'!J22*'Spectral Functions'!N22*'Spectral Functions'!C22</f>
        <v>10.571431450903209</v>
      </c>
      <c r="L22" s="47">
        <f>'Transmission Calculations'!L24*'Spectral Functions'!J22*'Spectral Functions'!N22*'Spectral Functions'!D22</f>
        <v>0.30405810807442579</v>
      </c>
      <c r="M22" s="47">
        <f>'Transmission Calculations'!L24*'Spectral Functions'!J22*'Spectral Functions'!N22*'Spectral Functions'!E22</f>
        <v>50.679114328331849</v>
      </c>
      <c r="N22" s="47">
        <f>'Spectral Functions'!D22*'Spectral Functions'!J22*'Spectral Functions'!N22</f>
        <v>2.2462616352912003E-2</v>
      </c>
      <c r="R22" s="13">
        <v>418</v>
      </c>
      <c r="S22" s="47">
        <f>'Transmission Calculations'!L24*'Spectral Functions'!J22*'Spectral Functions'!M22*'Spectral Functions'!C22</f>
        <v>0</v>
      </c>
      <c r="T22" s="47">
        <f>'Transmission Calculations'!L24*'Spectral Functions'!J22*'Spectral Functions'!M22*'Spectral Functions'!D22</f>
        <v>0</v>
      </c>
      <c r="U22" s="47">
        <f>'Transmission Calculations'!L24*'Spectral Functions'!J22*'Spectral Functions'!M22*'Spectral Functions'!E22</f>
        <v>0</v>
      </c>
      <c r="V22" s="47">
        <f>'Spectral Functions'!D22*'Spectral Functions'!J22*'Spectral Functions'!M22</f>
        <v>0</v>
      </c>
      <c r="Z22" s="13">
        <v>418</v>
      </c>
      <c r="AA22" s="47">
        <f>'Transmission Calculations'!L24*'Spectral Functions'!J22*'Spectral Functions'!L22*'Spectral Functions'!D22</f>
        <v>0</v>
      </c>
      <c r="AB22" s="47">
        <f>'Spectral Functions'!D22*'Spectral Functions'!J22*'Spectral Functions'!L22</f>
        <v>0</v>
      </c>
      <c r="AD22" s="42">
        <v>418</v>
      </c>
      <c r="AE22" s="152">
        <f>AF22*'Transmission Calculations'!L24</f>
        <v>0</v>
      </c>
      <c r="AF22" s="92"/>
      <c r="AO22" s="42">
        <v>418</v>
      </c>
      <c r="AP22" s="113">
        <f>'Transmission Calculations'!L24*'Spectral Functions'!K22*'Spectral Functions'!C22</f>
        <v>138.91909528118771</v>
      </c>
      <c r="AQ22" s="113">
        <f>'Transmission Calculations'!L24*'Spectral Functions'!K22*'Spectral Functions'!D22</f>
        <v>3.9956251414750406</v>
      </c>
      <c r="AR22" s="47">
        <f>'Transmission Calculations'!L24*'Spectral Functions'!K22*'Spectral Functions'!E22</f>
        <v>665.97383191111965</v>
      </c>
      <c r="AX22" s="116">
        <v>654</v>
      </c>
      <c r="AY22" s="47">
        <f>'Transmission Calculations'!L142*'Spectral Functions'!H140*'Spectral Functions'!D140</f>
        <v>642.48562848476172</v>
      </c>
      <c r="AZ22" s="47">
        <f>'Spectral Functions'!H140*'Spectral Functions'!D140</f>
        <v>6.9099904034999993</v>
      </c>
    </row>
    <row r="23" spans="1:52">
      <c r="A23" s="42">
        <v>420</v>
      </c>
      <c r="B23" s="88">
        <f>'Transmission Calculations'!L25*'Spectral Functions'!H23*'Spectral Functions'!C23</f>
        <v>197.0905082830302</v>
      </c>
      <c r="C23" s="88">
        <f>'Transmission Calculations'!L25*'Spectral Functions'!H23*'Spectral Functions'!D23</f>
        <v>5.8666619521663996</v>
      </c>
      <c r="D23" s="88">
        <f>'Transmission Calculations'!L25*'Spectral Functions'!H23*'Spectral Functions'!E23</f>
        <v>946.87923907965683</v>
      </c>
      <c r="J23" s="13">
        <v>420</v>
      </c>
      <c r="K23" s="47">
        <f>'Transmission Calculations'!L25*'Spectral Functions'!J23*'Spectral Functions'!N23*'Spectral Functions'!C23</f>
        <v>16.258154908465368</v>
      </c>
      <c r="L23" s="47">
        <f>'Transmission Calculations'!L25*'Spectral Functions'!J23*'Spectral Functions'!N23*'Spectral Functions'!D23</f>
        <v>0.48394567371529601</v>
      </c>
      <c r="M23" s="47">
        <f>'Transmission Calculations'!L25*'Spectral Functions'!J23*'Spectral Functions'!N23*'Spectral Functions'!E23</f>
        <v>78.108831737648771</v>
      </c>
      <c r="N23" s="47">
        <f>'Spectral Functions'!D23*'Spectral Functions'!J23*'Spectral Functions'!N23</f>
        <v>3.0829057999999999E-2</v>
      </c>
      <c r="R23" s="13">
        <v>420</v>
      </c>
      <c r="S23" s="47">
        <f>'Transmission Calculations'!L25*'Spectral Functions'!J23*'Spectral Functions'!M23*'Spectral Functions'!C23</f>
        <v>0</v>
      </c>
      <c r="T23" s="47">
        <f>'Transmission Calculations'!L25*'Spectral Functions'!J23*'Spectral Functions'!M23*'Spectral Functions'!D23</f>
        <v>0</v>
      </c>
      <c r="U23" s="47">
        <f>'Transmission Calculations'!L25*'Spectral Functions'!J23*'Spectral Functions'!M23*'Spectral Functions'!E23</f>
        <v>0</v>
      </c>
      <c r="V23" s="47">
        <f>'Spectral Functions'!D23*'Spectral Functions'!J23*'Spectral Functions'!M23</f>
        <v>0</v>
      </c>
      <c r="Z23" s="13">
        <v>420</v>
      </c>
      <c r="AA23" s="47">
        <f>'Transmission Calculations'!L25*'Spectral Functions'!J23*'Spectral Functions'!L23*'Spectral Functions'!D23</f>
        <v>0</v>
      </c>
      <c r="AB23" s="47">
        <f>'Spectral Functions'!D23*'Spectral Functions'!J23*'Spectral Functions'!L23</f>
        <v>0</v>
      </c>
      <c r="AD23" s="42">
        <v>420</v>
      </c>
      <c r="AE23" s="152">
        <f>AF23*'Transmission Calculations'!L25</f>
        <v>1.3923870544000001</v>
      </c>
      <c r="AF23" s="92">
        <v>8.8700000000000001E-2</v>
      </c>
      <c r="AO23" s="42">
        <v>420</v>
      </c>
      <c r="AP23" s="113">
        <f>'Transmission Calculations'!L25*'Spectral Functions'!K23*'Spectral Functions'!C23</f>
        <v>206.93788263273601</v>
      </c>
      <c r="AQ23" s="113">
        <f>'Transmission Calculations'!L25*'Spectral Functions'!K23*'Spectral Functions'!D23</f>
        <v>6.1597821888000004</v>
      </c>
      <c r="AR23" s="47">
        <f>'Transmission Calculations'!L25*'Spectral Functions'!K23*'Spectral Functions'!E23</f>
        <v>994.1888452723199</v>
      </c>
      <c r="AX23" s="116">
        <v>656</v>
      </c>
      <c r="AY23" s="47">
        <f>'Transmission Calculations'!L143*'Spectral Functions'!H141*'Spectral Functions'!D141</f>
        <v>575.30907934661798</v>
      </c>
      <c r="AZ23" s="47">
        <f>'Spectral Functions'!H141*'Spectral Functions'!D141</f>
        <v>6.1804383794999991</v>
      </c>
    </row>
    <row r="24" spans="1:52">
      <c r="A24" s="42">
        <v>422</v>
      </c>
      <c r="B24" s="88">
        <f>'Transmission Calculations'!L26*'Spectral Functions'!H24*'Spectral Functions'!C24</f>
        <v>269.69811477873003</v>
      </c>
      <c r="C24" s="88">
        <f>'Transmission Calculations'!L26*'Spectral Functions'!H24*'Spectral Functions'!D24</f>
        <v>8.4123713641410234</v>
      </c>
      <c r="D24" s="88">
        <f>'Transmission Calculations'!L26*'Spectral Functions'!H24*'Spectral Functions'!E24</f>
        <v>1299.1365820195554</v>
      </c>
      <c r="J24" s="13">
        <v>422</v>
      </c>
      <c r="K24" s="47">
        <f>'Transmission Calculations'!L26*'Spectral Functions'!J24*'Spectral Functions'!N24*'Spectral Functions'!C24</f>
        <v>24.116574051651163</v>
      </c>
      <c r="L24" s="47">
        <f>'Transmission Calculations'!L26*'Spectral Functions'!J24*'Spectral Functions'!N24*'Spectral Functions'!D24</f>
        <v>0.7522395071976854</v>
      </c>
      <c r="M24" s="47">
        <f>'Transmission Calculations'!L26*'Spectral Functions'!J24*'Spectral Functions'!N24*'Spectral Functions'!E24</f>
        <v>116.16960544640231</v>
      </c>
      <c r="N24" s="47">
        <f>'Spectral Functions'!D24*'Spectral Functions'!J24*'Spectral Functions'!N24</f>
        <v>4.2479314710448003E-2</v>
      </c>
      <c r="R24" s="13">
        <v>422</v>
      </c>
      <c r="S24" s="47">
        <f>'Transmission Calculations'!L26*'Spectral Functions'!J24*'Spectral Functions'!M24*'Spectral Functions'!C24</f>
        <v>0</v>
      </c>
      <c r="T24" s="47">
        <f>'Transmission Calculations'!L26*'Spectral Functions'!J24*'Spectral Functions'!M24*'Spectral Functions'!D24</f>
        <v>0</v>
      </c>
      <c r="U24" s="47">
        <f>'Transmission Calculations'!L26*'Spectral Functions'!J24*'Spectral Functions'!M24*'Spectral Functions'!E24</f>
        <v>0</v>
      </c>
      <c r="V24" s="47">
        <f>'Spectral Functions'!D24*'Spectral Functions'!J24*'Spectral Functions'!M24</f>
        <v>0</v>
      </c>
      <c r="Z24" s="13">
        <v>422</v>
      </c>
      <c r="AA24" s="47">
        <f>'Transmission Calculations'!L26*'Spectral Functions'!J24*'Spectral Functions'!L24*'Spectral Functions'!D24</f>
        <v>0</v>
      </c>
      <c r="AB24" s="47">
        <f>'Spectral Functions'!D24*'Spectral Functions'!J24*'Spectral Functions'!L24</f>
        <v>0</v>
      </c>
      <c r="AD24" s="42">
        <v>422</v>
      </c>
      <c r="AE24" s="152">
        <f>AF24*'Transmission Calculations'!L26</f>
        <v>0</v>
      </c>
      <c r="AF24" s="92"/>
      <c r="AO24" s="42">
        <v>422</v>
      </c>
      <c r="AP24" s="113">
        <f>'Transmission Calculations'!L26*'Spectral Functions'!K24*'Spectral Functions'!C24</f>
        <v>296.3454843276682</v>
      </c>
      <c r="AQ24" s="113">
        <f>'Transmission Calculations'!L26*'Spectral Functions'!K24*'Spectral Functions'!D24</f>
        <v>9.2435509543546424</v>
      </c>
      <c r="AR24" s="47">
        <f>'Transmission Calculations'!L26*'Spectral Functions'!K24*'Spectral Functions'!E24</f>
        <v>1427.4970365374588</v>
      </c>
      <c r="AX24" s="116">
        <v>658</v>
      </c>
      <c r="AY24" s="47">
        <f>'Transmission Calculations'!L144*'Spectral Functions'!H142*'Spectral Functions'!D142</f>
        <v>515.62427416215291</v>
      </c>
      <c r="AZ24" s="47">
        <f>'Spectral Functions'!H142*'Spectral Functions'!D142</f>
        <v>5.5089616699999997</v>
      </c>
    </row>
    <row r="25" spans="1:52">
      <c r="A25" s="42">
        <v>424</v>
      </c>
      <c r="B25" s="88">
        <f>'Transmission Calculations'!L27*'Spectral Functions'!H25*'Spectral Functions'!C25</f>
        <v>350.76333970336788</v>
      </c>
      <c r="C25" s="88">
        <f>'Transmission Calculations'!L27*'Spectral Functions'!H25*'Spectral Functions'!D25</f>
        <v>11.56077368171071</v>
      </c>
      <c r="D25" s="88">
        <f>'Transmission Calculations'!L27*'Spectral Functions'!H25*'Spectral Functions'!E25</f>
        <v>1694.4480813331568</v>
      </c>
      <c r="J25" s="13">
        <v>424</v>
      </c>
      <c r="K25" s="47">
        <f>'Transmission Calculations'!L27*'Spectral Functions'!J25*'Spectral Functions'!N25*'Spectral Functions'!C25</f>
        <v>33.957496454035471</v>
      </c>
      <c r="L25" s="47">
        <f>'Transmission Calculations'!L27*'Spectral Functions'!J25*'Spectral Functions'!N25*'Spectral Functions'!D25</f>
        <v>1.1192017148502158</v>
      </c>
      <c r="M25" s="47">
        <f>'Transmission Calculations'!L27*'Spectral Functions'!J25*'Spectral Functions'!N25*'Spectral Functions'!E25</f>
        <v>164.0399899318937</v>
      </c>
      <c r="N25" s="47">
        <f>'Spectral Functions'!D25*'Spectral Functions'!J25*'Spectral Functions'!N25</f>
        <v>5.7498690321899991E-2</v>
      </c>
      <c r="R25" s="13">
        <v>424</v>
      </c>
      <c r="S25" s="47">
        <f>'Transmission Calculations'!L27*'Spectral Functions'!J25*'Spectral Functions'!M25*'Spectral Functions'!C25</f>
        <v>0</v>
      </c>
      <c r="T25" s="47">
        <f>'Transmission Calculations'!L27*'Spectral Functions'!J25*'Spectral Functions'!M25*'Spectral Functions'!D25</f>
        <v>0</v>
      </c>
      <c r="U25" s="47">
        <f>'Transmission Calculations'!L27*'Spectral Functions'!J25*'Spectral Functions'!M25*'Spectral Functions'!E25</f>
        <v>0</v>
      </c>
      <c r="V25" s="47">
        <f>'Spectral Functions'!D25*'Spectral Functions'!J25*'Spectral Functions'!M25</f>
        <v>0</v>
      </c>
      <c r="Z25" s="13">
        <v>424</v>
      </c>
      <c r="AA25" s="47">
        <f>'Transmission Calculations'!L27*'Spectral Functions'!J25*'Spectral Functions'!L25*'Spectral Functions'!D25</f>
        <v>0</v>
      </c>
      <c r="AB25" s="47">
        <f>'Spectral Functions'!D25*'Spectral Functions'!J25*'Spectral Functions'!L25</f>
        <v>0</v>
      </c>
      <c r="AD25" s="42">
        <v>424</v>
      </c>
      <c r="AE25" s="152">
        <f>AF25*'Transmission Calculations'!L27</f>
        <v>0</v>
      </c>
      <c r="AF25" s="92"/>
      <c r="AO25" s="42">
        <v>424</v>
      </c>
      <c r="AP25" s="113">
        <f>'Transmission Calculations'!L27*'Spectral Functions'!K25*'Spectral Functions'!C25</f>
        <v>403.06160778416813</v>
      </c>
      <c r="AQ25" s="113">
        <f>'Transmission Calculations'!L27*'Spectral Functions'!K25*'Spectral Functions'!D25</f>
        <v>13.284467046413161</v>
      </c>
      <c r="AR25" s="47">
        <f>'Transmission Calculations'!L27*'Spectral Functions'!K25*'Spectral Functions'!E25</f>
        <v>1947.0876533063852</v>
      </c>
      <c r="AX25" s="116">
        <v>660</v>
      </c>
      <c r="AY25" s="47">
        <f>'Transmission Calculations'!L145*'Spectral Functions'!H143*'Spectral Functions'!D143</f>
        <v>460.59281283069959</v>
      </c>
      <c r="AZ25" s="47">
        <f>'Spectral Functions'!H143*'Spectral Functions'!D143</f>
        <v>4.8930905999999998</v>
      </c>
    </row>
    <row r="26" spans="1:52">
      <c r="A26" s="42">
        <v>426</v>
      </c>
      <c r="B26" s="88">
        <f>'Transmission Calculations'!L28*'Spectral Functions'!H26*'Spectral Functions'!C26</f>
        <v>424.7032684211328</v>
      </c>
      <c r="C26" s="88">
        <f>'Transmission Calculations'!L28*'Spectral Functions'!H26*'Spectral Functions'!D26</f>
        <v>14.920804961712438</v>
      </c>
      <c r="D26" s="88">
        <f>'Transmission Calculations'!L28*'Spectral Functions'!H26*'Spectral Functions'!E26</f>
        <v>2057.8921068047875</v>
      </c>
      <c r="J26" s="13">
        <v>426</v>
      </c>
      <c r="K26" s="47">
        <f>'Transmission Calculations'!L28*'Spectral Functions'!J26*'Spectral Functions'!N26*'Spectral Functions'!C26</f>
        <v>44.460703700356532</v>
      </c>
      <c r="L26" s="47">
        <f>'Transmission Calculations'!L28*'Spectral Functions'!J26*'Spectral Functions'!N26*'Spectral Functions'!D26</f>
        <v>1.5620070239621842</v>
      </c>
      <c r="M26" s="47">
        <f>'Transmission Calculations'!L28*'Spectral Functions'!J26*'Spectral Functions'!N26*'Spectral Functions'!E26</f>
        <v>215.43354622179169</v>
      </c>
      <c r="N26" s="47">
        <f>'Spectral Functions'!D26*'Spectral Functions'!J26*'Spectral Functions'!N26</f>
        <v>7.5670869818793993E-2</v>
      </c>
      <c r="R26" s="13">
        <v>426</v>
      </c>
      <c r="S26" s="47">
        <f>'Transmission Calculations'!L28*'Spectral Functions'!J26*'Spectral Functions'!M26*'Spectral Functions'!C26</f>
        <v>0</v>
      </c>
      <c r="T26" s="47">
        <f>'Transmission Calculations'!L28*'Spectral Functions'!J26*'Spectral Functions'!M26*'Spectral Functions'!D26</f>
        <v>0</v>
      </c>
      <c r="U26" s="47">
        <f>'Transmission Calculations'!L28*'Spectral Functions'!J26*'Spectral Functions'!M26*'Spectral Functions'!E26</f>
        <v>0</v>
      </c>
      <c r="V26" s="47">
        <f>'Spectral Functions'!D26*'Spectral Functions'!J26*'Spectral Functions'!M26</f>
        <v>0</v>
      </c>
      <c r="Z26" s="13">
        <v>426</v>
      </c>
      <c r="AA26" s="47">
        <f>'Transmission Calculations'!L28*'Spectral Functions'!J26*'Spectral Functions'!L26*'Spectral Functions'!D26</f>
        <v>0</v>
      </c>
      <c r="AB26" s="47">
        <f>'Spectral Functions'!D26*'Spectral Functions'!J26*'Spectral Functions'!L26</f>
        <v>0</v>
      </c>
      <c r="AD26" s="42">
        <v>426</v>
      </c>
      <c r="AE26" s="152">
        <f>AF26*'Transmission Calculations'!L28</f>
        <v>0</v>
      </c>
      <c r="AF26" s="92"/>
      <c r="AO26" s="42">
        <v>426</v>
      </c>
      <c r="AP26" s="113">
        <f>'Transmission Calculations'!L28*'Spectral Functions'!K26*'Spectral Functions'!C26</f>
        <v>508.98573778498996</v>
      </c>
      <c r="AQ26" s="113">
        <f>'Transmission Calculations'!L28*'Spectral Functions'!K26*'Spectral Functions'!D26</f>
        <v>17.881842421453921</v>
      </c>
      <c r="AR26" s="47">
        <f>'Transmission Calculations'!L28*'Spectral Functions'!K26*'Spectral Functions'!E26</f>
        <v>2466.2813077890191</v>
      </c>
      <c r="AX26" s="116">
        <v>662</v>
      </c>
      <c r="AY26" s="47">
        <f>'Transmission Calculations'!L146*'Spectral Functions'!H144*'Spectral Functions'!D144</f>
        <v>411.48270462153266</v>
      </c>
      <c r="AZ26" s="47">
        <f>'Spectral Functions'!H144*'Spectral Functions'!D144</f>
        <v>4.350240576</v>
      </c>
    </row>
    <row r="27" spans="1:52">
      <c r="A27" s="42">
        <v>428</v>
      </c>
      <c r="B27" s="88">
        <f>'Transmission Calculations'!L29*'Spectral Functions'!H27*'Spectral Functions'!C27</f>
        <v>491.16267086377212</v>
      </c>
      <c r="C27" s="88">
        <f>'Transmission Calculations'!L29*'Spectral Functions'!H27*'Spectral Functions'!D27</f>
        <v>18.539812150992269</v>
      </c>
      <c r="D27" s="88">
        <f>'Transmission Calculations'!L29*'Spectral Functions'!H27*'Spectral Functions'!E27</f>
        <v>2387.9365359175727</v>
      </c>
      <c r="J27" s="13">
        <v>428</v>
      </c>
      <c r="K27" s="47">
        <f>'Transmission Calculations'!L29*'Spectral Functions'!J27*'Spectral Functions'!N27*'Spectral Functions'!C27</f>
        <v>55.539552032388045</v>
      </c>
      <c r="L27" s="47">
        <f>'Transmission Calculations'!L29*'Spectral Functions'!J27*'Spectral Functions'!N27*'Spectral Functions'!D27</f>
        <v>2.0964395763625303</v>
      </c>
      <c r="M27" s="47">
        <f>'Transmission Calculations'!L29*'Spectral Functions'!J27*'Spectral Functions'!N27*'Spectral Functions'!E27</f>
        <v>270.02240470228867</v>
      </c>
      <c r="N27" s="47">
        <f>'Spectral Functions'!D27*'Spectral Functions'!J27*'Spectral Functions'!N27</f>
        <v>9.7235360014847991E-2</v>
      </c>
      <c r="R27" s="13">
        <v>428</v>
      </c>
      <c r="S27" s="47">
        <f>'Transmission Calculations'!L29*'Spectral Functions'!J27*'Spectral Functions'!M27*'Spectral Functions'!C27</f>
        <v>0</v>
      </c>
      <c r="T27" s="47">
        <f>'Transmission Calculations'!L29*'Spectral Functions'!J27*'Spectral Functions'!M27*'Spectral Functions'!D27</f>
        <v>0</v>
      </c>
      <c r="U27" s="47">
        <f>'Transmission Calculations'!L29*'Spectral Functions'!J27*'Spectral Functions'!M27*'Spectral Functions'!E27</f>
        <v>0</v>
      </c>
      <c r="V27" s="47">
        <f>'Spectral Functions'!D27*'Spectral Functions'!J27*'Spectral Functions'!M27</f>
        <v>0</v>
      </c>
      <c r="Z27" s="13">
        <v>428</v>
      </c>
      <c r="AA27" s="47">
        <f>'Transmission Calculations'!L29*'Spectral Functions'!J27*'Spectral Functions'!L27*'Spectral Functions'!D27</f>
        <v>0</v>
      </c>
      <c r="AB27" s="47">
        <f>'Spectral Functions'!D27*'Spectral Functions'!J27*'Spectral Functions'!L27</f>
        <v>0</v>
      </c>
      <c r="AD27" s="42">
        <v>428</v>
      </c>
      <c r="AE27" s="152">
        <f>AF27*'Transmission Calculations'!L29</f>
        <v>0</v>
      </c>
      <c r="AF27" s="92"/>
      <c r="AO27" s="42">
        <v>428</v>
      </c>
      <c r="AP27" s="113">
        <f>'Transmission Calculations'!L29*'Spectral Functions'!K27*'Spectral Functions'!C27</f>
        <v>612.38972505523691</v>
      </c>
      <c r="AQ27" s="113">
        <f>'Transmission Calculations'!L29*'Spectral Functions'!K27*'Spectral Functions'!D27</f>
        <v>23.115743803891206</v>
      </c>
      <c r="AR27" s="47">
        <f>'Transmission Calculations'!L29*'Spectral Functions'!K27*'Spectral Functions'!E27</f>
        <v>2977.3186877337239</v>
      </c>
      <c r="AX27" s="116">
        <v>664</v>
      </c>
      <c r="AY27" s="47">
        <f>'Transmission Calculations'!L147*'Spectral Functions'!H145*'Spectral Functions'!D145</f>
        <v>364.54667938279306</v>
      </c>
      <c r="AZ27" s="47">
        <f>'Spectral Functions'!H145*'Spectral Functions'!D145</f>
        <v>3.8534472450000004</v>
      </c>
    </row>
    <row r="28" spans="1:52">
      <c r="A28" s="42">
        <v>430</v>
      </c>
      <c r="B28" s="88">
        <f>'Transmission Calculations'!L30*'Spectral Functions'!H28*'Spectral Functions'!C28</f>
        <v>553.02766847443547</v>
      </c>
      <c r="C28" s="88">
        <f>'Transmission Calculations'!L30*'Spectral Functions'!H28*'Spectral Functions'!D28</f>
        <v>22.596410547035756</v>
      </c>
      <c r="D28" s="88">
        <f>'Transmission Calculations'!L30*'Spectral Functions'!H28*'Spectral Functions'!E28</f>
        <v>2699.1022805148918</v>
      </c>
      <c r="J28" s="13">
        <v>430</v>
      </c>
      <c r="K28" s="47">
        <f>'Transmission Calculations'!L30*'Spectral Functions'!J28*'Spectral Functions'!N28*'Spectral Functions'!C28</f>
        <v>67.47686706805591</v>
      </c>
      <c r="L28" s="47">
        <f>'Transmission Calculations'!L30*'Spectral Functions'!J28*'Spectral Functions'!N28*'Spectral Functions'!D28</f>
        <v>2.7570681859438131</v>
      </c>
      <c r="M28" s="47">
        <f>'Transmission Calculations'!L30*'Spectral Functions'!J28*'Spectral Functions'!N28*'Spectral Functions'!E28</f>
        <v>329.32704124515067</v>
      </c>
      <c r="N28" s="47">
        <f>'Spectral Functions'!D28*'Spectral Functions'!J28*'Spectral Functions'!N28</f>
        <v>0.122686412028</v>
      </c>
      <c r="R28" s="13">
        <v>430</v>
      </c>
      <c r="S28" s="47">
        <f>'Transmission Calculations'!L30*'Spectral Functions'!J28*'Spectral Functions'!M28*'Spectral Functions'!C28</f>
        <v>0</v>
      </c>
      <c r="T28" s="47">
        <f>'Transmission Calculations'!L30*'Spectral Functions'!J28*'Spectral Functions'!M28*'Spectral Functions'!D28</f>
        <v>0</v>
      </c>
      <c r="U28" s="47">
        <f>'Transmission Calculations'!L30*'Spectral Functions'!J28*'Spectral Functions'!M28*'Spectral Functions'!E28</f>
        <v>0</v>
      </c>
      <c r="V28" s="47">
        <f>'Spectral Functions'!D28*'Spectral Functions'!J28*'Spectral Functions'!M28</f>
        <v>0</v>
      </c>
      <c r="Z28" s="13">
        <v>430</v>
      </c>
      <c r="AA28" s="47">
        <f>'Transmission Calculations'!L30*'Spectral Functions'!J28*'Spectral Functions'!L28*'Spectral Functions'!D28</f>
        <v>0</v>
      </c>
      <c r="AB28" s="47">
        <f>'Spectral Functions'!D28*'Spectral Functions'!J28*'Spectral Functions'!L28</f>
        <v>0</v>
      </c>
      <c r="AD28" s="42">
        <v>430</v>
      </c>
      <c r="AE28" s="152">
        <f>AF28*'Transmission Calculations'!L30</f>
        <v>7.9282916496000002</v>
      </c>
      <c r="AF28" s="92">
        <v>0.3528</v>
      </c>
      <c r="AO28" s="42">
        <v>430</v>
      </c>
      <c r="AP28" s="113">
        <f>'Transmission Calculations'!L30*'Spectral Functions'!K28*'Spectral Functions'!C28</f>
        <v>717.1049907135199</v>
      </c>
      <c r="AQ28" s="113">
        <f>'Transmission Calculations'!L30*'Spectral Functions'!K28*'Spectral Functions'!D28</f>
        <v>29.300520930879998</v>
      </c>
      <c r="AR28" s="47">
        <f>'Transmission Calculations'!L30*'Spectral Functions'!K28*'Spectral Functions'!E28</f>
        <v>3499.8967070540798</v>
      </c>
      <c r="AX28" s="116">
        <v>666</v>
      </c>
      <c r="AY28" s="47">
        <f>'Transmission Calculations'!L148*'Spectral Functions'!H146*'Spectral Functions'!D146</f>
        <v>323.34307669447071</v>
      </c>
      <c r="AZ28" s="47">
        <f>'Spectral Functions'!H146*'Spectral Functions'!D146</f>
        <v>3.4013749474999999</v>
      </c>
    </row>
    <row r="29" spans="1:52">
      <c r="A29" s="42">
        <v>432</v>
      </c>
      <c r="B29" s="88">
        <f>'Transmission Calculations'!L31*'Spectral Functions'!H29*'Spectral Functions'!C29</f>
        <v>641.6984551742521</v>
      </c>
      <c r="C29" s="88">
        <f>'Transmission Calculations'!L31*'Spectral Functions'!H29*'Spectral Functions'!D29</f>
        <v>28.587326594331419</v>
      </c>
      <c r="D29" s="88">
        <f>'Transmission Calculations'!L31*'Spectral Functions'!H29*'Spectral Functions'!E29</f>
        <v>3146.0244528096136</v>
      </c>
      <c r="J29" s="13">
        <v>432</v>
      </c>
      <c r="K29" s="47">
        <f>'Transmission Calculations'!L31*'Spectral Functions'!J29*'Spectral Functions'!N29*'Spectral Functions'!C29</f>
        <v>79.42972399010894</v>
      </c>
      <c r="L29" s="47">
        <f>'Transmission Calculations'!L31*'Spectral Functions'!J29*'Spectral Functions'!N29*'Spectral Functions'!D29</f>
        <v>3.5385521699382081</v>
      </c>
      <c r="M29" s="47">
        <f>'Transmission Calculations'!L31*'Spectral Functions'!J29*'Spectral Functions'!N29*'Spectral Functions'!E29</f>
        <v>389.41632465819873</v>
      </c>
      <c r="N29" s="47">
        <f>'Spectral Functions'!D29*'Spectral Functions'!J29*'Spectral Functions'!N29</f>
        <v>0.15185388914191</v>
      </c>
      <c r="R29" s="13">
        <v>432</v>
      </c>
      <c r="S29" s="47">
        <f>'Transmission Calculations'!L31*'Spectral Functions'!J29*'Spectral Functions'!M29*'Spectral Functions'!C29</f>
        <v>0</v>
      </c>
      <c r="T29" s="47">
        <f>'Transmission Calculations'!L31*'Spectral Functions'!J29*'Spectral Functions'!M29*'Spectral Functions'!D29</f>
        <v>0</v>
      </c>
      <c r="U29" s="47">
        <f>'Transmission Calculations'!L31*'Spectral Functions'!J29*'Spectral Functions'!M29*'Spectral Functions'!E29</f>
        <v>0</v>
      </c>
      <c r="V29" s="47">
        <f>'Spectral Functions'!D29*'Spectral Functions'!J29*'Spectral Functions'!M29</f>
        <v>0</v>
      </c>
      <c r="Z29" s="13">
        <v>432</v>
      </c>
      <c r="AA29" s="47">
        <f>'Transmission Calculations'!L31*'Spectral Functions'!J29*'Spectral Functions'!L29*'Spectral Functions'!D29</f>
        <v>0</v>
      </c>
      <c r="AB29" s="47">
        <f>'Spectral Functions'!D29*'Spectral Functions'!J29*'Spectral Functions'!L29</f>
        <v>0</v>
      </c>
      <c r="AD29" s="42">
        <v>432</v>
      </c>
      <c r="AE29" s="152">
        <f>AF29*'Transmission Calculations'!L31</f>
        <v>0</v>
      </c>
      <c r="AF29" s="92"/>
      <c r="AO29" s="42">
        <v>432</v>
      </c>
      <c r="AP29" s="113">
        <f>'Transmission Calculations'!L31*'Spectral Functions'!K29*'Spectral Functions'!C29</f>
        <v>813.7856244287882</v>
      </c>
      <c r="AQ29" s="113">
        <f>'Transmission Calculations'!L31*'Spectral Functions'!K29*'Spectral Functions'!D29</f>
        <v>36.253718916933359</v>
      </c>
      <c r="AR29" s="47">
        <f>'Transmission Calculations'!L31*'Spectral Functions'!K29*'Spectral Functions'!E29</f>
        <v>3989.7080211961757</v>
      </c>
      <c r="AX29" s="116">
        <v>668</v>
      </c>
      <c r="AY29" s="47">
        <f>'Transmission Calculations'!L149*'Spectral Functions'!H147*'Spectral Functions'!D147</f>
        <v>282.66628651364618</v>
      </c>
      <c r="AZ29" s="47">
        <f>'Spectral Functions'!H147*'Spectral Functions'!D147</f>
        <v>2.9933191728000001</v>
      </c>
    </row>
    <row r="30" spans="1:52">
      <c r="A30" s="42">
        <v>434</v>
      </c>
      <c r="B30" s="88">
        <f>'Transmission Calculations'!L32*'Spectral Functions'!H30*'Spectral Functions'!C30</f>
        <v>717.16004489698753</v>
      </c>
      <c r="C30" s="88">
        <f>'Transmission Calculations'!L32*'Spectral Functions'!H30*'Spectral Functions'!D30</f>
        <v>35.039158406181222</v>
      </c>
      <c r="D30" s="88">
        <f>'Transmission Calculations'!L32*'Spectral Functions'!H30*'Spectral Functions'!E30</f>
        <v>3533.7509649345784</v>
      </c>
      <c r="J30" s="13">
        <v>434</v>
      </c>
      <c r="K30" s="47">
        <f>'Transmission Calculations'!L32*'Spectral Functions'!J30*'Spectral Functions'!N30*'Spectral Functions'!C30</f>
        <v>90.114117005857452</v>
      </c>
      <c r="L30" s="47">
        <f>'Transmission Calculations'!L32*'Spectral Functions'!J30*'Spectral Functions'!N30*'Spectral Functions'!D30</f>
        <v>4.4028147452845525</v>
      </c>
      <c r="M30" s="47">
        <f>'Transmission Calculations'!L32*'Spectral Functions'!J30*'Spectral Functions'!N30*'Spectral Functions'!E30</f>
        <v>444.03038093040578</v>
      </c>
      <c r="N30" s="47">
        <f>'Spectral Functions'!D30*'Spectral Functions'!J30*'Spectral Functions'!N30</f>
        <v>0.18552926103635001</v>
      </c>
      <c r="R30" s="13">
        <v>434</v>
      </c>
      <c r="S30" s="47">
        <f>'Transmission Calculations'!L32*'Spectral Functions'!J30*'Spectral Functions'!M30*'Spectral Functions'!C30</f>
        <v>0</v>
      </c>
      <c r="T30" s="47">
        <f>'Transmission Calculations'!L32*'Spectral Functions'!J30*'Spectral Functions'!M30*'Spectral Functions'!D30</f>
        <v>0</v>
      </c>
      <c r="U30" s="47">
        <f>'Transmission Calculations'!L32*'Spectral Functions'!J30*'Spectral Functions'!M30*'Spectral Functions'!E30</f>
        <v>0</v>
      </c>
      <c r="V30" s="47">
        <f>'Spectral Functions'!D30*'Spectral Functions'!J30*'Spectral Functions'!M30</f>
        <v>0</v>
      </c>
      <c r="Z30" s="13">
        <v>434</v>
      </c>
      <c r="AA30" s="47">
        <f>'Transmission Calculations'!L32*'Spectral Functions'!J30*'Spectral Functions'!L30*'Spectral Functions'!D30</f>
        <v>0</v>
      </c>
      <c r="AB30" s="47">
        <f>'Spectral Functions'!D30*'Spectral Functions'!J30*'Spectral Functions'!L30</f>
        <v>0</v>
      </c>
      <c r="AD30" s="42">
        <v>434</v>
      </c>
      <c r="AE30" s="152">
        <f>AF30*'Transmission Calculations'!L32</f>
        <v>0</v>
      </c>
      <c r="AF30" s="92"/>
      <c r="AO30" s="42">
        <v>434</v>
      </c>
      <c r="AP30" s="113">
        <f>'Transmission Calculations'!L32*'Spectral Functions'!K30*'Spectral Functions'!C30</f>
        <v>890.61749617723012</v>
      </c>
      <c r="AQ30" s="113">
        <f>'Transmission Calculations'!L32*'Spectral Functions'!K30*'Spectral Functions'!D30</f>
        <v>43.513979550203395</v>
      </c>
      <c r="AR30" s="47">
        <f>'Transmission Calculations'!L32*'Spectral Functions'!K30*'Spectral Functions'!E30</f>
        <v>4388.4492156223932</v>
      </c>
      <c r="AX30" s="116">
        <v>670</v>
      </c>
      <c r="AY30" s="47">
        <f>'Transmission Calculations'!L150*'Spectral Functions'!H148*'Spectral Functions'!D148</f>
        <v>248.76152034476161</v>
      </c>
      <c r="AZ30" s="47">
        <f>'Spectral Functions'!H148*'Spectral Functions'!D148</f>
        <v>2.6328895999999999</v>
      </c>
    </row>
    <row r="31" spans="1:52">
      <c r="A31" s="42">
        <v>436</v>
      </c>
      <c r="B31" s="88">
        <f>'Transmission Calculations'!L33*'Spectral Functions'!H31*'Spectral Functions'!C31</f>
        <v>783.42420089158054</v>
      </c>
      <c r="C31" s="88">
        <f>'Transmission Calculations'!L33*'Spectral Functions'!H31*'Spectral Functions'!D31</f>
        <v>42.192544916733283</v>
      </c>
      <c r="D31" s="88">
        <f>'Transmission Calculations'!L33*'Spectral Functions'!H31*'Spectral Functions'!E31</f>
        <v>3881.1541268840779</v>
      </c>
      <c r="J31" s="13">
        <v>436</v>
      </c>
      <c r="K31" s="47">
        <f>'Transmission Calculations'!L33*'Spectral Functions'!J31*'Spectral Functions'!N31*'Spectral Functions'!C31</f>
        <v>99.986179456488898</v>
      </c>
      <c r="L31" s="47">
        <f>'Transmission Calculations'!L33*'Spectral Functions'!J31*'Spectral Functions'!N31*'Spectral Functions'!D31</f>
        <v>5.3849132602354874</v>
      </c>
      <c r="M31" s="47">
        <f>'Transmission Calculations'!L33*'Spectral Functions'!J31*'Spectral Functions'!N31*'Spectral Functions'!E31</f>
        <v>495.34054805466553</v>
      </c>
      <c r="N31" s="47">
        <f>'Spectral Functions'!D31*'Spectral Functions'!J31*'Spectral Functions'!N31</f>
        <v>0.22428391511624998</v>
      </c>
      <c r="R31" s="13">
        <v>436</v>
      </c>
      <c r="S31" s="47">
        <f>'Transmission Calculations'!L33*'Spectral Functions'!J31*'Spectral Functions'!M31*'Spectral Functions'!C31</f>
        <v>0</v>
      </c>
      <c r="T31" s="47">
        <f>'Transmission Calculations'!L33*'Spectral Functions'!J31*'Spectral Functions'!M31*'Spectral Functions'!D31</f>
        <v>0</v>
      </c>
      <c r="U31" s="47">
        <f>'Transmission Calculations'!L33*'Spectral Functions'!J31*'Spectral Functions'!M31*'Spectral Functions'!E31</f>
        <v>0</v>
      </c>
      <c r="V31" s="47">
        <f>'Spectral Functions'!D31*'Spectral Functions'!J31*'Spectral Functions'!M31</f>
        <v>0</v>
      </c>
      <c r="Z31" s="13">
        <v>436</v>
      </c>
      <c r="AA31" s="47">
        <f>'Transmission Calculations'!L33*'Spectral Functions'!J31*'Spectral Functions'!L31*'Spectral Functions'!D31</f>
        <v>0</v>
      </c>
      <c r="AB31" s="47">
        <f>'Spectral Functions'!D31*'Spectral Functions'!J31*'Spectral Functions'!L31</f>
        <v>0</v>
      </c>
      <c r="AD31" s="42">
        <v>436</v>
      </c>
      <c r="AE31" s="152">
        <f>AF31*'Transmission Calculations'!L33</f>
        <v>0</v>
      </c>
      <c r="AF31" s="92"/>
      <c r="AO31" s="42">
        <v>436</v>
      </c>
      <c r="AP31" s="113">
        <f>'Transmission Calculations'!L33*'Spectral Functions'!K31*'Spectral Functions'!C31</f>
        <v>951.26509275516003</v>
      </c>
      <c r="AQ31" s="113">
        <f>'Transmission Calculations'!L33*'Spectral Functions'!K31*'Spectral Functions'!D31</f>
        <v>51.231880644119997</v>
      </c>
      <c r="AR31" s="47">
        <f>'Transmission Calculations'!L33*'Spectral Functions'!K31*'Spectral Functions'!E31</f>
        <v>4712.6530381697994</v>
      </c>
      <c r="AX31" s="116">
        <v>672</v>
      </c>
      <c r="AY31" s="47">
        <f>'Transmission Calculations'!L151*'Spectral Functions'!H149*'Spectral Functions'!D149</f>
        <v>216.28436166116794</v>
      </c>
      <c r="AZ31" s="47">
        <f>'Spectral Functions'!H149*'Spectral Functions'!D149</f>
        <v>2.2876886907</v>
      </c>
    </row>
    <row r="32" spans="1:52">
      <c r="A32" s="42">
        <v>438</v>
      </c>
      <c r="B32" s="88">
        <f>'Transmission Calculations'!L34*'Spectral Functions'!H32*'Spectral Functions'!C32</f>
        <v>844.85066553047716</v>
      </c>
      <c r="C32" s="88">
        <f>'Transmission Calculations'!L34*'Spectral Functions'!H32*'Spectral Functions'!D32</f>
        <v>50.362920114945979</v>
      </c>
      <c r="D32" s="88">
        <f>'Transmission Calculations'!L34*'Spectral Functions'!H32*'Spectral Functions'!E32</f>
        <v>4210.144618731948</v>
      </c>
      <c r="J32" s="13">
        <v>438</v>
      </c>
      <c r="K32" s="47">
        <f>'Transmission Calculations'!L34*'Spectral Functions'!J32*'Spectral Functions'!N32*'Spectral Functions'!C32</f>
        <v>109.57204283585695</v>
      </c>
      <c r="L32" s="47">
        <f>'Transmission Calculations'!L34*'Spectral Functions'!J32*'Spectral Functions'!N32*'Spectral Functions'!D32</f>
        <v>6.5317674061471545</v>
      </c>
      <c r="M32" s="47">
        <f>'Transmission Calculations'!L34*'Spectral Functions'!J32*'Spectral Functions'!N32*'Spectral Functions'!E32</f>
        <v>546.03039960818751</v>
      </c>
      <c r="N32" s="47">
        <f>'Spectral Functions'!D32*'Spectral Functions'!J32*'Spectral Functions'!N32</f>
        <v>0.26853365070713997</v>
      </c>
      <c r="R32" s="13">
        <v>438</v>
      </c>
      <c r="S32" s="47">
        <f>'Transmission Calculations'!L34*'Spectral Functions'!J32*'Spectral Functions'!M32*'Spectral Functions'!C32</f>
        <v>0</v>
      </c>
      <c r="T32" s="47">
        <f>'Transmission Calculations'!L34*'Spectral Functions'!J32*'Spectral Functions'!M32*'Spectral Functions'!D32</f>
        <v>0</v>
      </c>
      <c r="U32" s="47">
        <f>'Transmission Calculations'!L34*'Spectral Functions'!J32*'Spectral Functions'!M32*'Spectral Functions'!E32</f>
        <v>0</v>
      </c>
      <c r="V32" s="47">
        <f>'Spectral Functions'!D32*'Spectral Functions'!J32*'Spectral Functions'!M32</f>
        <v>0</v>
      </c>
      <c r="Z32" s="13">
        <v>438</v>
      </c>
      <c r="AA32" s="47">
        <f>'Transmission Calculations'!L34*'Spectral Functions'!J32*'Spectral Functions'!L32*'Spectral Functions'!D32</f>
        <v>0</v>
      </c>
      <c r="AB32" s="47">
        <f>'Spectral Functions'!D32*'Spectral Functions'!J32*'Spectral Functions'!L32</f>
        <v>0</v>
      </c>
      <c r="AD32" s="42">
        <v>438</v>
      </c>
      <c r="AE32" s="152">
        <f>AF32*'Transmission Calculations'!L34</f>
        <v>0</v>
      </c>
      <c r="AF32" s="92"/>
      <c r="AO32" s="42">
        <v>438</v>
      </c>
      <c r="AP32" s="113">
        <f>'Transmission Calculations'!L34*'Spectral Functions'!K32*'Spectral Functions'!C32</f>
        <v>1001.5221071606401</v>
      </c>
      <c r="AQ32" s="113">
        <f>'Transmission Calculations'!L34*'Spectral Functions'!K32*'Spectral Functions'!D32</f>
        <v>59.702359167360001</v>
      </c>
      <c r="AR32" s="47">
        <f>'Transmission Calculations'!L34*'Spectral Functions'!K32*'Spectral Functions'!E32</f>
        <v>4990.8854689200007</v>
      </c>
      <c r="AX32" s="116">
        <v>674</v>
      </c>
      <c r="AY32" s="47">
        <f>'Transmission Calculations'!L152*'Spectral Functions'!H150*'Spectral Functions'!D150</f>
        <v>189.70409603923645</v>
      </c>
      <c r="AZ32" s="47">
        <f>'Spectral Functions'!H150*'Spectral Functions'!D150</f>
        <v>1.9934513232000002</v>
      </c>
    </row>
    <row r="33" spans="1:52">
      <c r="A33" s="42">
        <v>440</v>
      </c>
      <c r="B33" s="88">
        <f>'Transmission Calculations'!L35*'Spectral Functions'!H33*'Spectral Functions'!C33</f>
        <v>885.90994826636802</v>
      </c>
      <c r="C33" s="88">
        <f>'Transmission Calculations'!L35*'Spectral Functions'!H33*'Spectral Functions'!D33</f>
        <v>58.504447025744987</v>
      </c>
      <c r="D33" s="88">
        <f>'Transmission Calculations'!L35*'Spectral Functions'!H33*'Spectral Functions'!E33</f>
        <v>4443.946922643393</v>
      </c>
      <c r="J33" s="13">
        <v>440</v>
      </c>
      <c r="K33" s="47">
        <f>'Transmission Calculations'!L35*'Spectral Functions'!J33*'Spectral Functions'!N33*'Spectral Functions'!C33</f>
        <v>116.80418823547436</v>
      </c>
      <c r="L33" s="47">
        <f>'Transmission Calculations'!L35*'Spectral Functions'!J33*'Spectral Functions'!N33*'Spectral Functions'!D33</f>
        <v>7.7136106851266524</v>
      </c>
      <c r="M33" s="47">
        <f>'Transmission Calculations'!L35*'Spectral Functions'!J33*'Spectral Functions'!N33*'Spectral Functions'!E33</f>
        <v>585.91916015466825</v>
      </c>
      <c r="N33" s="47">
        <f>'Spectral Functions'!D33*'Spectral Functions'!J33*'Spectral Functions'!N33</f>
        <v>0.31800008356999998</v>
      </c>
      <c r="R33" s="13">
        <v>440</v>
      </c>
      <c r="S33" s="47">
        <f>'Transmission Calculations'!L35*'Spectral Functions'!J33*'Spectral Functions'!M33*'Spectral Functions'!C33</f>
        <v>0</v>
      </c>
      <c r="T33" s="47">
        <f>'Transmission Calculations'!L35*'Spectral Functions'!J33*'Spectral Functions'!M33*'Spectral Functions'!D33</f>
        <v>0</v>
      </c>
      <c r="U33" s="47">
        <f>'Transmission Calculations'!L35*'Spectral Functions'!J33*'Spectral Functions'!M33*'Spectral Functions'!E33</f>
        <v>0</v>
      </c>
      <c r="V33" s="47">
        <f>'Spectral Functions'!D33*'Spectral Functions'!J33*'Spectral Functions'!M33</f>
        <v>0</v>
      </c>
      <c r="Z33" s="13">
        <v>440</v>
      </c>
      <c r="AA33" s="47">
        <f>'Transmission Calculations'!L35*'Spectral Functions'!J33*'Spectral Functions'!L33*'Spectral Functions'!D33</f>
        <v>0</v>
      </c>
      <c r="AB33" s="47">
        <f>'Spectral Functions'!D33*'Spectral Functions'!J33*'Spectral Functions'!L33</f>
        <v>0</v>
      </c>
      <c r="AD33" s="42">
        <v>440</v>
      </c>
      <c r="AE33" s="152">
        <f>AF33*'Transmission Calculations'!L35</f>
        <v>21.032924740099997</v>
      </c>
      <c r="AF33" s="92">
        <v>0.86709999999999998</v>
      </c>
      <c r="AO33" s="42">
        <v>440</v>
      </c>
      <c r="AP33" s="113">
        <f>'Transmission Calculations'!L35*'Spectral Functions'!K33*'Spectral Functions'!C33</f>
        <v>1026.4440825286199</v>
      </c>
      <c r="AQ33" s="113">
        <f>'Transmission Calculations'!L35*'Spectral Functions'!K33*'Spectral Functions'!D33</f>
        <v>67.7851553295</v>
      </c>
      <c r="AR33" s="47">
        <f>'Transmission Calculations'!L35*'Spectral Functions'!K33*'Spectral Functions'!E33</f>
        <v>5148.9014552154904</v>
      </c>
      <c r="AX33" s="116">
        <v>676</v>
      </c>
      <c r="AY33" s="47">
        <f>'Transmission Calculations'!L153*'Spectral Functions'!H151*'Spectral Functions'!D151</f>
        <v>164.07139790092299</v>
      </c>
      <c r="AZ33" s="47">
        <f>'Spectral Functions'!H151*'Spectral Functions'!D151</f>
        <v>1.7414987616000002</v>
      </c>
    </row>
    <row r="34" spans="1:52">
      <c r="A34" s="42">
        <v>442</v>
      </c>
      <c r="B34" s="88">
        <f>'Transmission Calculations'!L36*'Spectral Functions'!H34*'Spectral Functions'!C34</f>
        <v>924.42615679468986</v>
      </c>
      <c r="C34" s="88">
        <f>'Transmission Calculations'!L36*'Spectral Functions'!H34*'Spectral Functions'!D34</f>
        <v>67.613184963778096</v>
      </c>
      <c r="D34" s="88">
        <f>'Transmission Calculations'!L36*'Spectral Functions'!H34*'Spectral Functions'!E34</f>
        <v>4671.9971579522016</v>
      </c>
      <c r="J34" s="13">
        <v>442</v>
      </c>
      <c r="K34" s="47">
        <f>'Transmission Calculations'!L36*'Spectral Functions'!J34*'Spectral Functions'!N34*'Spectral Functions'!C34</f>
        <v>125.76857746210031</v>
      </c>
      <c r="L34" s="47">
        <f>'Transmission Calculations'!L36*'Spectral Functions'!J34*'Spectral Functions'!N34*'Spectral Functions'!D34</f>
        <v>9.1988029850445372</v>
      </c>
      <c r="M34" s="47">
        <f>'Transmission Calculations'!L36*'Spectral Functions'!J34*'Spectral Functions'!N34*'Spectral Functions'!E34</f>
        <v>635.62722900443055</v>
      </c>
      <c r="N34" s="47">
        <f>'Spectral Functions'!D34*'Spectral Functions'!J34*'Spectral Functions'!N34</f>
        <v>0.37383580145340006</v>
      </c>
      <c r="R34" s="13">
        <v>442</v>
      </c>
      <c r="S34" s="47">
        <f>'Transmission Calculations'!L36*'Spectral Functions'!J34*'Spectral Functions'!M34*'Spectral Functions'!C34</f>
        <v>0</v>
      </c>
      <c r="T34" s="47">
        <f>'Transmission Calculations'!L36*'Spectral Functions'!J34*'Spectral Functions'!M34*'Spectral Functions'!D34</f>
        <v>0</v>
      </c>
      <c r="U34" s="47">
        <f>'Transmission Calculations'!L36*'Spectral Functions'!J34*'Spectral Functions'!M34*'Spectral Functions'!E34</f>
        <v>0</v>
      </c>
      <c r="V34" s="47">
        <f>'Spectral Functions'!D34*'Spectral Functions'!J34*'Spectral Functions'!M34</f>
        <v>0</v>
      </c>
      <c r="Z34" s="13">
        <v>442</v>
      </c>
      <c r="AA34" s="47">
        <f>'Transmission Calculations'!L36*'Spectral Functions'!J34*'Spectral Functions'!L34*'Spectral Functions'!D34</f>
        <v>0</v>
      </c>
      <c r="AB34" s="47">
        <f>'Spectral Functions'!D34*'Spectral Functions'!J34*'Spectral Functions'!L34</f>
        <v>0</v>
      </c>
      <c r="AD34" s="42">
        <v>442</v>
      </c>
      <c r="AE34" s="152">
        <f>AF34*'Transmission Calculations'!L36</f>
        <v>0</v>
      </c>
      <c r="AF34" s="92"/>
      <c r="AO34" s="42">
        <v>442</v>
      </c>
      <c r="AP34" s="113">
        <f>'Transmission Calculations'!L36*'Spectral Functions'!K34*'Spectral Functions'!C34</f>
        <v>1053.5527057017202</v>
      </c>
      <c r="AQ34" s="113">
        <f>'Transmission Calculations'!L36*'Spectral Functions'!K34*'Spectral Functions'!D34</f>
        <v>77.057592362696397</v>
      </c>
      <c r="AR34" s="47">
        <f>'Transmission Calculations'!L36*'Spectral Functions'!K34*'Spectral Functions'!E34</f>
        <v>5324.5953834303746</v>
      </c>
      <c r="AX34" s="116">
        <v>678</v>
      </c>
      <c r="AY34" s="47">
        <f>'Transmission Calculations'!L154*'Spectral Functions'!H152*'Spectral Functions'!D152</f>
        <v>142.53145200334251</v>
      </c>
      <c r="AZ34" s="47">
        <f>'Spectral Functions'!H152*'Spectral Functions'!D152</f>
        <v>1.5247973948999998</v>
      </c>
    </row>
    <row r="35" spans="1:52">
      <c r="A35" s="42">
        <v>444</v>
      </c>
      <c r="B35" s="88">
        <f>'Transmission Calculations'!L37*'Spectral Functions'!H35*'Spectral Functions'!C35</f>
        <v>960.19621150062767</v>
      </c>
      <c r="C35" s="88">
        <f>'Transmission Calculations'!L37*'Spectral Functions'!H35*'Spectral Functions'!D35</f>
        <v>77.937406179600998</v>
      </c>
      <c r="D35" s="88">
        <f>'Transmission Calculations'!L37*'Spectral Functions'!H35*'Spectral Functions'!E35</f>
        <v>4894.4421677036271</v>
      </c>
      <c r="J35" s="13">
        <v>444</v>
      </c>
      <c r="K35" s="47">
        <f>'Transmission Calculations'!L37*'Spectral Functions'!J35*'Spectral Functions'!N35*'Spectral Functions'!C35</f>
        <v>134.73547873281211</v>
      </c>
      <c r="L35" s="47">
        <f>'Transmission Calculations'!L37*'Spectral Functions'!J35*'Spectral Functions'!N35*'Spectral Functions'!D35</f>
        <v>10.936237413799988</v>
      </c>
      <c r="M35" s="47">
        <f>'Transmission Calculations'!L37*'Spectral Functions'!J35*'Spectral Functions'!N35*'Spectral Functions'!E35</f>
        <v>686.79192929223484</v>
      </c>
      <c r="N35" s="47">
        <f>'Spectral Functions'!D35*'Spectral Functions'!J35*'Spectral Functions'!N35</f>
        <v>0.43649983006172405</v>
      </c>
      <c r="R35" s="13">
        <v>444</v>
      </c>
      <c r="S35" s="47">
        <f>'Transmission Calculations'!L37*'Spectral Functions'!J35*'Spectral Functions'!M35*'Spectral Functions'!C35</f>
        <v>0</v>
      </c>
      <c r="T35" s="47">
        <f>'Transmission Calculations'!L37*'Spectral Functions'!J35*'Spectral Functions'!M35*'Spectral Functions'!D35</f>
        <v>0</v>
      </c>
      <c r="U35" s="47">
        <f>'Transmission Calculations'!L37*'Spectral Functions'!J35*'Spectral Functions'!M35*'Spectral Functions'!E35</f>
        <v>0</v>
      </c>
      <c r="V35" s="47">
        <f>'Spectral Functions'!D35*'Spectral Functions'!J35*'Spectral Functions'!M35</f>
        <v>0</v>
      </c>
      <c r="Z35" s="13">
        <v>444</v>
      </c>
      <c r="AA35" s="47">
        <f>'Transmission Calculations'!L37*'Spectral Functions'!J35*'Spectral Functions'!L35*'Spectral Functions'!D35</f>
        <v>0</v>
      </c>
      <c r="AB35" s="47">
        <f>'Spectral Functions'!D35*'Spectral Functions'!J35*'Spectral Functions'!L35</f>
        <v>0</v>
      </c>
      <c r="AD35" s="42">
        <v>444</v>
      </c>
      <c r="AE35" s="152">
        <f>AF35*'Transmission Calculations'!L37</f>
        <v>0</v>
      </c>
      <c r="AF35" s="92"/>
      <c r="AO35" s="42">
        <v>444</v>
      </c>
      <c r="AP35" s="113">
        <f>'Transmission Calculations'!L37*'Spectral Functions'!K35*'Spectral Functions'!C35</f>
        <v>1076.9193578978441</v>
      </c>
      <c r="AQ35" s="113">
        <f>'Transmission Calculations'!L37*'Spectral Functions'!K35*'Spectral Functions'!D35</f>
        <v>87.411614848997459</v>
      </c>
      <c r="AR35" s="47">
        <f>'Transmission Calculations'!L37*'Spectral Functions'!K35*'Spectral Functions'!E35</f>
        <v>5489.419197222147</v>
      </c>
      <c r="AX35" s="116">
        <v>680</v>
      </c>
      <c r="AY35" s="47">
        <f>'Transmission Calculations'!L155*'Spectral Functions'!H153*'Spectral Functions'!D153</f>
        <v>124.7078027804032</v>
      </c>
      <c r="AZ35" s="47">
        <f>'Spectral Functions'!H153*'Spectral Functions'!D153</f>
        <v>1.3308314000000001</v>
      </c>
    </row>
    <row r="36" spans="1:52">
      <c r="A36" s="42">
        <v>446</v>
      </c>
      <c r="B36" s="88">
        <f>'Transmission Calculations'!L38*'Spectral Functions'!H36*'Spectral Functions'!C36</f>
        <v>983.44060418385448</v>
      </c>
      <c r="C36" s="88">
        <f>'Transmission Calculations'!L38*'Spectral Functions'!H36*'Spectral Functions'!D36</f>
        <v>88.897013673111019</v>
      </c>
      <c r="D36" s="88">
        <f>'Transmission Calculations'!L38*'Spectral Functions'!H36*'Spectral Functions'!E36</f>
        <v>5062.2973706393941</v>
      </c>
      <c r="J36" s="13">
        <v>446</v>
      </c>
      <c r="K36" s="47">
        <f>'Transmission Calculations'!L38*'Spectral Functions'!J36*'Spectral Functions'!N36*'Spectral Functions'!C36</f>
        <v>142.26401071344176</v>
      </c>
      <c r="L36" s="47">
        <f>'Transmission Calculations'!L38*'Spectral Functions'!J36*'Spectral Functions'!N36*'Spectral Functions'!D36</f>
        <v>12.859796160318099</v>
      </c>
      <c r="M36" s="47">
        <f>'Transmission Calculations'!L38*'Spectral Functions'!J36*'Spectral Functions'!N36*'Spectral Functions'!E36</f>
        <v>732.30932738326555</v>
      </c>
      <c r="N36" s="47">
        <f>'Spectral Functions'!D36*'Spectral Functions'!J36*'Spectral Functions'!N36</f>
        <v>0.50796422959992005</v>
      </c>
      <c r="R36" s="13">
        <v>446</v>
      </c>
      <c r="S36" s="47">
        <f>'Transmission Calculations'!L38*'Spectral Functions'!J36*'Spectral Functions'!M36*'Spectral Functions'!C36</f>
        <v>0</v>
      </c>
      <c r="T36" s="47">
        <f>'Transmission Calculations'!L38*'Spectral Functions'!J36*'Spectral Functions'!M36*'Spectral Functions'!D36</f>
        <v>0</v>
      </c>
      <c r="U36" s="47">
        <f>'Transmission Calculations'!L38*'Spectral Functions'!J36*'Spectral Functions'!M36*'Spectral Functions'!E36</f>
        <v>0</v>
      </c>
      <c r="V36" s="47">
        <f>'Spectral Functions'!D36*'Spectral Functions'!J36*'Spectral Functions'!M36</f>
        <v>0</v>
      </c>
      <c r="Z36" s="13">
        <v>446</v>
      </c>
      <c r="AA36" s="47">
        <f>'Transmission Calculations'!L38*'Spectral Functions'!J36*'Spectral Functions'!L36*'Spectral Functions'!D36</f>
        <v>0</v>
      </c>
      <c r="AB36" s="47">
        <f>'Spectral Functions'!D36*'Spectral Functions'!J36*'Spectral Functions'!L36</f>
        <v>0</v>
      </c>
      <c r="AD36" s="42">
        <v>446</v>
      </c>
      <c r="AE36" s="152">
        <f>AF36*'Transmission Calculations'!L38</f>
        <v>0</v>
      </c>
      <c r="AF36" s="92"/>
      <c r="AO36" s="42">
        <v>446</v>
      </c>
      <c r="AP36" s="113">
        <f>'Transmission Calculations'!L38*'Spectral Functions'!K36*'Spectral Functions'!C36</f>
        <v>1083.4849537940549</v>
      </c>
      <c r="AQ36" s="113">
        <f>'Transmission Calculations'!L38*'Spectral Functions'!K36*'Spectral Functions'!D36</f>
        <v>97.940410780551204</v>
      </c>
      <c r="AR36" s="47">
        <f>'Transmission Calculations'!L38*'Spectral Functions'!K36*'Spectral Functions'!E36</f>
        <v>5577.2794100472001</v>
      </c>
      <c r="AX36" s="116">
        <v>682</v>
      </c>
      <c r="AY36" s="47">
        <f>'Transmission Calculations'!L156*'Spectral Functions'!H154*'Spectral Functions'!D154</f>
        <v>106.44192320099963</v>
      </c>
      <c r="AZ36" s="47">
        <f>'Spectral Functions'!H154*'Spectral Functions'!D154</f>
        <v>1.1360928292000001</v>
      </c>
    </row>
    <row r="37" spans="1:52">
      <c r="A37" s="42">
        <v>448</v>
      </c>
      <c r="B37" s="88">
        <f>'Transmission Calculations'!L39*'Spectral Functions'!H37*'Spectral Functions'!C37</f>
        <v>998.20513221248075</v>
      </c>
      <c r="C37" s="88">
        <f>'Transmission Calculations'!L39*'Spectral Functions'!H37*'Spectral Functions'!D37</f>
        <v>100.81372745921568</v>
      </c>
      <c r="D37" s="88">
        <f>'Transmission Calculations'!L39*'Spectral Functions'!H37*'Spectral Functions'!E37</f>
        <v>5195.8976352939262</v>
      </c>
      <c r="J37" s="13">
        <v>448</v>
      </c>
      <c r="K37" s="47">
        <f>'Transmission Calculations'!L39*'Spectral Functions'!J37*'Spectral Functions'!N37*'Spectral Functions'!C37</f>
        <v>148.79998037580145</v>
      </c>
      <c r="L37" s="47">
        <f>'Transmission Calculations'!L39*'Spectral Functions'!J37*'Spectral Functions'!N37*'Spectral Functions'!D37</f>
        <v>15.028054037643956</v>
      </c>
      <c r="M37" s="47">
        <f>'Transmission Calculations'!L39*'Spectral Functions'!J37*'Spectral Functions'!N37*'Spectral Functions'!E37</f>
        <v>774.53966245670892</v>
      </c>
      <c r="N37" s="47">
        <f>'Spectral Functions'!D37*'Spectral Functions'!J37*'Spectral Functions'!N37</f>
        <v>0.58961900139051016</v>
      </c>
      <c r="R37" s="13">
        <v>448</v>
      </c>
      <c r="S37" s="47">
        <f>'Transmission Calculations'!L39*'Spectral Functions'!J37*'Spectral Functions'!M37*'Spectral Functions'!C37</f>
        <v>0</v>
      </c>
      <c r="T37" s="47">
        <f>'Transmission Calculations'!L39*'Spectral Functions'!J37*'Spectral Functions'!M37*'Spectral Functions'!D37</f>
        <v>0</v>
      </c>
      <c r="U37" s="47">
        <f>'Transmission Calculations'!L39*'Spectral Functions'!J37*'Spectral Functions'!M37*'Spectral Functions'!E37</f>
        <v>0</v>
      </c>
      <c r="V37" s="47">
        <f>'Spectral Functions'!D37*'Spectral Functions'!J37*'Spectral Functions'!M37</f>
        <v>0</v>
      </c>
      <c r="Z37" s="13">
        <v>448</v>
      </c>
      <c r="AA37" s="47">
        <f>'Transmission Calculations'!L39*'Spectral Functions'!J37*'Spectral Functions'!L37*'Spectral Functions'!D37</f>
        <v>0</v>
      </c>
      <c r="AB37" s="47">
        <f>'Spectral Functions'!D37*'Spectral Functions'!J37*'Spectral Functions'!L37</f>
        <v>0</v>
      </c>
      <c r="AD37" s="42">
        <v>448</v>
      </c>
      <c r="AE37" s="152">
        <f>AF37*'Transmission Calculations'!L39</f>
        <v>0</v>
      </c>
      <c r="AF37" s="92"/>
      <c r="AO37" s="42">
        <v>448</v>
      </c>
      <c r="AP37" s="113">
        <f>'Transmission Calculations'!L39*'Spectral Functions'!K37*'Spectral Functions'!C37</f>
        <v>1078.3636727957207</v>
      </c>
      <c r="AQ37" s="113">
        <f>'Transmission Calculations'!L39*'Spectral Functions'!K37*'Spectral Functions'!D37</f>
        <v>108.90933927597307</v>
      </c>
      <c r="AR37" s="47">
        <f>'Transmission Calculations'!L39*'Spectral Functions'!K37*'Spectral Functions'!E37</f>
        <v>5613.14210541794</v>
      </c>
      <c r="AX37" s="116">
        <v>684</v>
      </c>
      <c r="AY37" s="47">
        <f>'Transmission Calculations'!L157*'Spectral Functions'!H155*'Spectral Functions'!D155</f>
        <v>90.670718394718847</v>
      </c>
      <c r="AZ37" s="47">
        <f>'Spectral Functions'!H155*'Spectral Functions'!D155</f>
        <v>0.96081526499999992</v>
      </c>
    </row>
    <row r="38" spans="1:52">
      <c r="A38" s="42">
        <v>450</v>
      </c>
      <c r="B38" s="88">
        <f>'Transmission Calculations'!L40*'Spectral Functions'!H38*'Spectral Functions'!C38</f>
        <v>1006.032382106579</v>
      </c>
      <c r="C38" s="88">
        <f>'Transmission Calculations'!L40*'Spectral Functions'!H38*'Spectral Functions'!D38</f>
        <v>113.70978738860798</v>
      </c>
      <c r="D38" s="88">
        <f>'Transmission Calculations'!L40*'Spectral Functions'!H38*'Spectral Functions'!E38</f>
        <v>5302.7960876112129</v>
      </c>
      <c r="J38" s="13">
        <v>450</v>
      </c>
      <c r="K38" s="47">
        <f>'Transmission Calculations'!L40*'Spectral Functions'!J38*'Spectral Functions'!N38*'Spectral Functions'!C38</f>
        <v>154.46823574105238</v>
      </c>
      <c r="L38" s="47">
        <f>'Transmission Calculations'!L40*'Spectral Functions'!J38*'Spectral Functions'!N38*'Spectral Functions'!D38</f>
        <v>17.459229500773318</v>
      </c>
      <c r="M38" s="47">
        <f>'Transmission Calculations'!L40*'Spectral Functions'!J38*'Spectral Functions'!N38*'Spectral Functions'!E38</f>
        <v>814.20197870040556</v>
      </c>
      <c r="N38" s="47">
        <f>'Spectral Functions'!D38*'Spectral Functions'!J38*'Spectral Functions'!N38</f>
        <v>0.68269446060000005</v>
      </c>
      <c r="R38" s="13">
        <v>450</v>
      </c>
      <c r="S38" s="47">
        <f>'Transmission Calculations'!L40*'Spectral Functions'!J38*'Spectral Functions'!M38*'Spectral Functions'!C38</f>
        <v>0</v>
      </c>
      <c r="T38" s="47">
        <f>'Transmission Calculations'!L40*'Spectral Functions'!J38*'Spectral Functions'!M38*'Spectral Functions'!D38</f>
        <v>0</v>
      </c>
      <c r="U38" s="47">
        <f>'Transmission Calculations'!L40*'Spectral Functions'!J38*'Spectral Functions'!M38*'Spectral Functions'!E38</f>
        <v>0</v>
      </c>
      <c r="V38" s="47">
        <f>'Spectral Functions'!D38*'Spectral Functions'!J38*'Spectral Functions'!M38</f>
        <v>0</v>
      </c>
      <c r="Z38" s="13">
        <v>450</v>
      </c>
      <c r="AA38" s="47">
        <f>'Transmission Calculations'!L40*'Spectral Functions'!J38*'Spectral Functions'!L38*'Spectral Functions'!D38</f>
        <v>0</v>
      </c>
      <c r="AB38" s="47">
        <f>'Spectral Functions'!D38*'Spectral Functions'!J38*'Spectral Functions'!L38</f>
        <v>0</v>
      </c>
      <c r="AD38" s="42">
        <v>450</v>
      </c>
      <c r="AE38" s="152">
        <f>AF38*'Transmission Calculations'!L40</f>
        <v>40.818664592199994</v>
      </c>
      <c r="AF38" s="92">
        <v>1.5961000000000001</v>
      </c>
      <c r="AO38" s="42">
        <v>450</v>
      </c>
      <c r="AP38" s="113">
        <f>'Transmission Calculations'!L40*'Spectral Functions'!K38*'Spectral Functions'!C38</f>
        <v>1066.1494545776</v>
      </c>
      <c r="AQ38" s="113">
        <f>'Transmission Calculations'!L40*'Spectral Functions'!K38*'Spectral Functions'!D38</f>
        <v>120.50469742399999</v>
      </c>
      <c r="AR38" s="47">
        <f>'Transmission Calculations'!L40*'Spectral Functions'!K38*'Spectral Functions'!E38</f>
        <v>5619.6731408432797</v>
      </c>
      <c r="AX38" s="116">
        <v>686</v>
      </c>
      <c r="AY38" s="47">
        <f>'Transmission Calculations'!L158*'Spectral Functions'!H156*'Spectral Functions'!D156</f>
        <v>75.96735467651456</v>
      </c>
      <c r="AZ38" s="47">
        <f>'Spectral Functions'!H156*'Spectral Functions'!D156</f>
        <v>0.80958546200000003</v>
      </c>
    </row>
    <row r="39" spans="1:52">
      <c r="A39" s="42">
        <v>452</v>
      </c>
      <c r="B39" s="88">
        <f>'Transmission Calculations'!L41*'Spectral Functions'!H39*'Spectral Functions'!C39</f>
        <v>993.32936967954379</v>
      </c>
      <c r="C39" s="88">
        <f>'Transmission Calculations'!L41*'Spectral Functions'!H39*'Spectral Functions'!D39</f>
        <v>125.70977882376792</v>
      </c>
      <c r="D39" s="88">
        <f>'Transmission Calculations'!L41*'Spectral Functions'!H39*'Spectral Functions'!E39</f>
        <v>5309.2547530765351</v>
      </c>
      <c r="J39" s="13">
        <v>452</v>
      </c>
      <c r="K39" s="47">
        <f>'Transmission Calculations'!L41*'Spectral Functions'!J39*'Spectral Functions'!N39*'Spectral Functions'!C39</f>
        <v>159.44621675075464</v>
      </c>
      <c r="L39" s="47">
        <f>'Transmission Calculations'!L41*'Spectral Functions'!J39*'Spectral Functions'!N39*'Spectral Functions'!D39</f>
        <v>20.178552304851582</v>
      </c>
      <c r="M39" s="47">
        <f>'Transmission Calculations'!L41*'Spectral Functions'!J39*'Spectral Functions'!N39*'Spectral Functions'!E39</f>
        <v>852.22546517185583</v>
      </c>
      <c r="N39" s="47">
        <f>'Spectral Functions'!D39*'Spectral Functions'!J39*'Spectral Functions'!N39</f>
        <v>0.78555635472319996</v>
      </c>
      <c r="R39" s="13">
        <v>452</v>
      </c>
      <c r="S39" s="47">
        <f>'Transmission Calculations'!L41*'Spectral Functions'!J39*'Spectral Functions'!M39*'Spectral Functions'!C39</f>
        <v>0</v>
      </c>
      <c r="T39" s="47">
        <f>'Transmission Calculations'!L41*'Spectral Functions'!J39*'Spectral Functions'!M39*'Spectral Functions'!D39</f>
        <v>0</v>
      </c>
      <c r="U39" s="47">
        <f>'Transmission Calculations'!L41*'Spectral Functions'!J39*'Spectral Functions'!M39*'Spectral Functions'!E39</f>
        <v>0</v>
      </c>
      <c r="V39" s="47">
        <f>'Spectral Functions'!D39*'Spectral Functions'!J39*'Spectral Functions'!M39</f>
        <v>0</v>
      </c>
      <c r="Z39" s="13">
        <v>452</v>
      </c>
      <c r="AA39" s="47">
        <f>'Transmission Calculations'!L41*'Spectral Functions'!J39*'Spectral Functions'!L39*'Spectral Functions'!D39</f>
        <v>0</v>
      </c>
      <c r="AB39" s="47">
        <f>'Spectral Functions'!D39*'Spectral Functions'!J39*'Spectral Functions'!L39</f>
        <v>0</v>
      </c>
      <c r="AD39" s="42">
        <v>452</v>
      </c>
      <c r="AE39" s="152">
        <f>AF39*'Transmission Calculations'!L41</f>
        <v>0</v>
      </c>
      <c r="AF39" s="92"/>
      <c r="AO39" s="42">
        <v>452</v>
      </c>
      <c r="AP39" s="113">
        <f>'Transmission Calculations'!L41*'Spectral Functions'!K39*'Spectral Functions'!C39</f>
        <v>1049.8844330933498</v>
      </c>
      <c r="AQ39" s="113">
        <f>'Transmission Calculations'!L41*'Spectral Functions'!K39*'Spectral Functions'!D39</f>
        <v>132.86704682582783</v>
      </c>
      <c r="AR39" s="47">
        <f>'Transmission Calculations'!L41*'Spectral Functions'!K39*'Spectral Functions'!E39</f>
        <v>5611.5364014457591</v>
      </c>
      <c r="AX39" s="116">
        <v>688</v>
      </c>
      <c r="AY39" s="47">
        <f>'Transmission Calculations'!L159*'Spectral Functions'!H157*'Spectral Functions'!D157</f>
        <v>64.557537389757329</v>
      </c>
      <c r="AZ39" s="47">
        <f>'Spectral Functions'!H157*'Spectral Functions'!D157</f>
        <v>0.68097936869999998</v>
      </c>
    </row>
    <row r="40" spans="1:52">
      <c r="A40" s="42">
        <v>454</v>
      </c>
      <c r="B40" s="88">
        <f>'Transmission Calculations'!L42*'Spectral Functions'!H40*'Spectral Functions'!C40</f>
        <v>977.09477090858366</v>
      </c>
      <c r="C40" s="88">
        <f>'Transmission Calculations'!L42*'Spectral Functions'!H40*'Spectral Functions'!D40</f>
        <v>138.7264138313472</v>
      </c>
      <c r="D40" s="88">
        <f>'Transmission Calculations'!L42*'Spectral Functions'!H40*'Spectral Functions'!E40</f>
        <v>5303.1722082186097</v>
      </c>
      <c r="J40" s="13">
        <v>454</v>
      </c>
      <c r="K40" s="47">
        <f>'Transmission Calculations'!L42*'Spectral Functions'!J40*'Spectral Functions'!N40*'Spectral Functions'!C40</f>
        <v>163.85687152022572</v>
      </c>
      <c r="L40" s="47">
        <f>'Transmission Calculations'!L42*'Spectral Functions'!J40*'Spectral Functions'!N40*'Spectral Functions'!D40</f>
        <v>23.264146779219075</v>
      </c>
      <c r="M40" s="47">
        <f>'Transmission Calculations'!L42*'Spectral Functions'!J40*'Spectral Functions'!N40*'Spectral Functions'!E40</f>
        <v>889.33155006415234</v>
      </c>
      <c r="N40" s="47">
        <f>'Spectral Functions'!D40*'Spectral Functions'!J40*'Spectral Functions'!N40</f>
        <v>0.90199965047808017</v>
      </c>
      <c r="R40" s="13">
        <v>454</v>
      </c>
      <c r="S40" s="47">
        <f>'Transmission Calculations'!L42*'Spectral Functions'!J40*'Spectral Functions'!M40*'Spectral Functions'!C40</f>
        <v>0</v>
      </c>
      <c r="T40" s="47">
        <f>'Transmission Calculations'!L42*'Spectral Functions'!J40*'Spectral Functions'!M40*'Spectral Functions'!D40</f>
        <v>0</v>
      </c>
      <c r="U40" s="47">
        <f>'Transmission Calculations'!L42*'Spectral Functions'!J40*'Spectral Functions'!M40*'Spectral Functions'!E40</f>
        <v>0</v>
      </c>
      <c r="V40" s="47">
        <f>'Spectral Functions'!D40*'Spectral Functions'!J40*'Spectral Functions'!M40</f>
        <v>0</v>
      </c>
      <c r="Z40" s="13">
        <v>454</v>
      </c>
      <c r="AA40" s="47">
        <f>'Transmission Calculations'!L42*'Spectral Functions'!J40*'Spectral Functions'!L40*'Spectral Functions'!D40</f>
        <v>0</v>
      </c>
      <c r="AB40" s="47">
        <f>'Spectral Functions'!D40*'Spectral Functions'!J40*'Spectral Functions'!L40</f>
        <v>0</v>
      </c>
      <c r="AD40" s="42">
        <v>454</v>
      </c>
      <c r="AE40" s="152">
        <f>AF40*'Transmission Calculations'!L42</f>
        <v>0</v>
      </c>
      <c r="AF40" s="92"/>
      <c r="AO40" s="42">
        <v>454</v>
      </c>
      <c r="AP40" s="113">
        <f>'Transmission Calculations'!L42*'Spectral Functions'!K40*'Spectral Functions'!C40</f>
        <v>1029.9847545446876</v>
      </c>
      <c r="AQ40" s="113">
        <f>'Transmission Calculations'!L42*'Spectral Functions'!K40*'Spectral Functions'!D40</f>
        <v>146.23565241893331</v>
      </c>
      <c r="AR40" s="47">
        <f>'Transmission Calculations'!L42*'Spectral Functions'!K40*'Spectral Functions'!E40</f>
        <v>5590.2320714612561</v>
      </c>
      <c r="AX40" s="116">
        <v>690</v>
      </c>
      <c r="AY40" s="47">
        <f>'Transmission Calculations'!L160*'Spectral Functions'!H158*'Spectral Functions'!D158</f>
        <v>54.228198951622346</v>
      </c>
      <c r="AZ40" s="47">
        <f>'Spectral Functions'!H158*'Spectral Functions'!D158</f>
        <v>0.57241187299999996</v>
      </c>
    </row>
    <row r="41" spans="1:52">
      <c r="A41" s="42">
        <v>456</v>
      </c>
      <c r="B41" s="88">
        <f>'Transmission Calculations'!L43*'Spectral Functions'!H41*'Spectral Functions'!C41</f>
        <v>942.50607853472695</v>
      </c>
      <c r="C41" s="88">
        <f>'Transmission Calculations'!L43*'Spectral Functions'!H41*'Spectral Functions'!D41</f>
        <v>150.80097256555632</v>
      </c>
      <c r="D41" s="88">
        <f>'Transmission Calculations'!L43*'Spectral Functions'!H41*'Spectral Functions'!E41</f>
        <v>5201.6791169764683</v>
      </c>
      <c r="J41" s="13">
        <v>456</v>
      </c>
      <c r="K41" s="47">
        <f>'Transmission Calculations'!L43*'Spectral Functions'!J41*'Spectral Functions'!N41*'Spectral Functions'!C41</f>
        <v>165.01785835468513</v>
      </c>
      <c r="L41" s="47">
        <f>'Transmission Calculations'!L43*'Spectral Functions'!J41*'Spectral Functions'!N41*'Spectral Functions'!D41</f>
        <v>26.402857336749623</v>
      </c>
      <c r="M41" s="47">
        <f>'Transmission Calculations'!L43*'Spectral Functions'!J41*'Spectral Functions'!N41*'Spectral Functions'!E41</f>
        <v>910.73147142585731</v>
      </c>
      <c r="N41" s="47">
        <f>'Spectral Functions'!D41*'Spectral Functions'!J41*'Spectral Functions'!N41</f>
        <v>1.0335509663497202</v>
      </c>
      <c r="R41" s="13">
        <v>456</v>
      </c>
      <c r="S41" s="47">
        <f>'Transmission Calculations'!L43*'Spectral Functions'!J41*'Spectral Functions'!M41*'Spectral Functions'!C41</f>
        <v>0</v>
      </c>
      <c r="T41" s="47">
        <f>'Transmission Calculations'!L43*'Spectral Functions'!J41*'Spectral Functions'!M41*'Spectral Functions'!D41</f>
        <v>0</v>
      </c>
      <c r="U41" s="47">
        <f>'Transmission Calculations'!L43*'Spectral Functions'!J41*'Spectral Functions'!M41*'Spectral Functions'!E41</f>
        <v>0</v>
      </c>
      <c r="V41" s="47">
        <f>'Spectral Functions'!D41*'Spectral Functions'!J41*'Spectral Functions'!M41</f>
        <v>0</v>
      </c>
      <c r="Z41" s="13">
        <v>456</v>
      </c>
      <c r="AA41" s="47">
        <f>'Transmission Calculations'!L43*'Spectral Functions'!J41*'Spectral Functions'!L41*'Spectral Functions'!D41</f>
        <v>0</v>
      </c>
      <c r="AB41" s="47">
        <f>'Spectral Functions'!D41*'Spectral Functions'!J41*'Spectral Functions'!L41</f>
        <v>0</v>
      </c>
      <c r="AD41" s="42">
        <v>456</v>
      </c>
      <c r="AE41" s="152">
        <f>AF41*'Transmission Calculations'!L43</f>
        <v>0</v>
      </c>
      <c r="AF41" s="92"/>
      <c r="AO41" s="42">
        <v>456</v>
      </c>
      <c r="AP41" s="113">
        <f>'Transmission Calculations'!L43*'Spectral Functions'!K41*'Spectral Functions'!C41</f>
        <v>990.71836495904995</v>
      </c>
      <c r="AQ41" s="113">
        <f>'Transmission Calculations'!L43*'Spectral Functions'!K41*'Spectral Functions'!D41</f>
        <v>158.51493839344798</v>
      </c>
      <c r="AR41" s="47">
        <f>'Transmission Calculations'!L43*'Spectral Functions'!K41*'Spectral Functions'!E41</f>
        <v>5467.7621154702001</v>
      </c>
      <c r="AX41" s="116">
        <v>692</v>
      </c>
      <c r="AY41" s="47">
        <f>'Transmission Calculations'!L161*'Spectral Functions'!H159*'Spectral Functions'!D159</f>
        <v>46.932032107823588</v>
      </c>
      <c r="AZ41" s="47">
        <f>'Spectral Functions'!H159*'Spectral Functions'!D159</f>
        <v>0.49665070650000004</v>
      </c>
    </row>
    <row r="42" spans="1:52">
      <c r="A42" s="42">
        <v>458</v>
      </c>
      <c r="B42" s="88">
        <f>'Transmission Calculations'!L44*'Spectral Functions'!H42*'Spectral Functions'!C42</f>
        <v>899.15237934390336</v>
      </c>
      <c r="C42" s="88">
        <f>'Transmission Calculations'!L44*'Spectral Functions'!H42*'Spectral Functions'!D42</f>
        <v>163.0000889205287</v>
      </c>
      <c r="D42" s="88">
        <f>'Transmission Calculations'!L44*'Spectral Functions'!H42*'Spectral Functions'!E42</f>
        <v>5057.5268309565117</v>
      </c>
      <c r="J42" s="13">
        <v>458</v>
      </c>
      <c r="K42" s="47">
        <f>'Transmission Calculations'!L44*'Spectral Functions'!J42*'Spectral Functions'!N42*'Spectral Functions'!C42</f>
        <v>164.25649160478318</v>
      </c>
      <c r="L42" s="47">
        <f>'Transmission Calculations'!L44*'Spectral Functions'!J42*'Spectral Functions'!N42*'Spectral Functions'!D42</f>
        <v>29.776735681765253</v>
      </c>
      <c r="M42" s="47">
        <f>'Transmission Calculations'!L44*'Spectral Functions'!J42*'Spectral Functions'!N42*'Spectral Functions'!E42</f>
        <v>923.90526070358067</v>
      </c>
      <c r="N42" s="47">
        <f>'Spectral Functions'!D42*'Spectral Functions'!J42*'Spectral Functions'!N42</f>
        <v>1.1816735157444602</v>
      </c>
      <c r="R42" s="13">
        <v>458</v>
      </c>
      <c r="S42" s="47">
        <f>'Transmission Calculations'!L44*'Spectral Functions'!J42*'Spectral Functions'!M42*'Spectral Functions'!C42</f>
        <v>0</v>
      </c>
      <c r="T42" s="47">
        <f>'Transmission Calculations'!L44*'Spectral Functions'!J42*'Spectral Functions'!M42*'Spectral Functions'!D42</f>
        <v>0</v>
      </c>
      <c r="U42" s="47">
        <f>'Transmission Calculations'!L44*'Spectral Functions'!J42*'Spectral Functions'!M42*'Spectral Functions'!E42</f>
        <v>0</v>
      </c>
      <c r="V42" s="47">
        <f>'Spectral Functions'!D42*'Spectral Functions'!J42*'Spectral Functions'!M42</f>
        <v>0</v>
      </c>
      <c r="Z42" s="13">
        <v>458</v>
      </c>
      <c r="AA42" s="47">
        <f>'Transmission Calculations'!L44*'Spectral Functions'!J42*'Spectral Functions'!L42*'Spectral Functions'!D42</f>
        <v>0</v>
      </c>
      <c r="AB42" s="47">
        <f>'Spectral Functions'!D42*'Spectral Functions'!J42*'Spectral Functions'!L42</f>
        <v>0</v>
      </c>
      <c r="AD42" s="42">
        <v>458</v>
      </c>
      <c r="AE42" s="152">
        <f>AF42*'Transmission Calculations'!L44</f>
        <v>0</v>
      </c>
      <c r="AF42" s="92"/>
      <c r="AO42" s="42">
        <v>458</v>
      </c>
      <c r="AP42" s="113">
        <f>'Transmission Calculations'!L44*'Spectral Functions'!K42*'Spectral Functions'!C42</f>
        <v>942.32508328108793</v>
      </c>
      <c r="AQ42" s="113">
        <f>'Transmission Calculations'!L44*'Spectral Functions'!K42*'Spectral Functions'!D42</f>
        <v>170.82652050472319</v>
      </c>
      <c r="AR42" s="47">
        <f>'Transmission Calculations'!L44*'Spectral Functions'!K42*'Spectral Functions'!E42</f>
        <v>5300.3634330089662</v>
      </c>
      <c r="AX42" s="116">
        <v>694</v>
      </c>
      <c r="AY42" s="47">
        <f>'Transmission Calculations'!L162*'Spectral Functions'!H160*'Spectral Functions'!D160</f>
        <v>40.614985626495589</v>
      </c>
      <c r="AZ42" s="47">
        <f>'Spectral Functions'!H160*'Spectral Functions'!D160</f>
        <v>0.43258414319999999</v>
      </c>
    </row>
    <row r="43" spans="1:52">
      <c r="A43" s="42">
        <v>460</v>
      </c>
      <c r="B43" s="88">
        <f>'Transmission Calculations'!L45*'Spectral Functions'!H43*'Spectral Functions'!C43</f>
        <v>858.98659460082877</v>
      </c>
      <c r="C43" s="88">
        <f>'Transmission Calculations'!L45*'Spectral Functions'!H43*'Spectral Functions'!D43</f>
        <v>177.23244730415999</v>
      </c>
      <c r="D43" s="88">
        <f>'Transmission Calculations'!L45*'Spectral Functions'!H43*'Spectral Functions'!E43</f>
        <v>4930.6066840017311</v>
      </c>
      <c r="J43" s="13">
        <v>460</v>
      </c>
      <c r="K43" s="47">
        <f>'Transmission Calculations'!L45*'Spectral Functions'!J43*'Spectral Functions'!N43*'Spectral Functions'!C43</f>
        <v>163.62451738901396</v>
      </c>
      <c r="L43" s="47">
        <f>'Transmission Calculations'!L45*'Spectral Functions'!J43*'Spectral Functions'!N43*'Spectral Functions'!D43</f>
        <v>33.760216792781421</v>
      </c>
      <c r="M43" s="47">
        <f>'Transmission Calculations'!L45*'Spectral Functions'!J43*'Spectral Functions'!N43*'Spectral Functions'!E43</f>
        <v>939.20923117517918</v>
      </c>
      <c r="N43" s="47">
        <f>'Spectral Functions'!D43*'Spectral Functions'!J43*'Spectral Functions'!N43</f>
        <v>1.346488881</v>
      </c>
      <c r="R43" s="13">
        <v>460</v>
      </c>
      <c r="S43" s="47">
        <f>'Transmission Calculations'!L45*'Spectral Functions'!J43*'Spectral Functions'!M43*'Spectral Functions'!C43</f>
        <v>0</v>
      </c>
      <c r="T43" s="47">
        <f>'Transmission Calculations'!L45*'Spectral Functions'!J43*'Spectral Functions'!M43*'Spectral Functions'!D43</f>
        <v>0</v>
      </c>
      <c r="U43" s="47">
        <f>'Transmission Calculations'!L45*'Spectral Functions'!J43*'Spectral Functions'!M43*'Spectral Functions'!E43</f>
        <v>0</v>
      </c>
      <c r="V43" s="47">
        <f>'Spectral Functions'!D43*'Spectral Functions'!J43*'Spectral Functions'!M43</f>
        <v>0</v>
      </c>
      <c r="Z43" s="13">
        <v>460</v>
      </c>
      <c r="AA43" s="47">
        <f>'Transmission Calculations'!L45*'Spectral Functions'!J43*'Spectral Functions'!L43*'Spectral Functions'!D43</f>
        <v>0</v>
      </c>
      <c r="AB43" s="47">
        <f>'Spectral Functions'!D43*'Spectral Functions'!J43*'Spectral Functions'!L43</f>
        <v>0</v>
      </c>
      <c r="AD43" s="42">
        <v>460</v>
      </c>
      <c r="AE43" s="152">
        <f>AF43*'Transmission Calculations'!L45</f>
        <v>66.141988363999999</v>
      </c>
      <c r="AF43" s="92">
        <v>2.6379999999999999</v>
      </c>
      <c r="AO43" s="42">
        <v>460</v>
      </c>
      <c r="AP43" s="113">
        <f>'Transmission Calculations'!L45*'Spectral Functions'!K43*'Spectral Functions'!C43</f>
        <v>897.5422689994399</v>
      </c>
      <c r="AQ43" s="113">
        <f>'Transmission Calculations'!L45*'Spectral Functions'!K43*'Spectral Functions'!D43</f>
        <v>185.18753830799997</v>
      </c>
      <c r="AR43" s="47">
        <f>'Transmission Calculations'!L45*'Spectral Functions'!K43*'Spectral Functions'!E43</f>
        <v>5151.9173157285595</v>
      </c>
      <c r="AX43" s="116">
        <v>696</v>
      </c>
      <c r="AY43" s="47">
        <f>'Transmission Calculations'!L163*'Spectral Functions'!H161*'Spectral Functions'!D161</f>
        <v>35.589714597512703</v>
      </c>
      <c r="AZ43" s="47">
        <f>'Spectral Functions'!H161*'Spectral Functions'!D161</f>
        <v>0.37857292199999998</v>
      </c>
    </row>
    <row r="44" spans="1:52">
      <c r="A44" s="42">
        <v>462</v>
      </c>
      <c r="B44" s="88">
        <f>'Transmission Calculations'!L46*'Spectral Functions'!H44*'Spectral Functions'!C44</f>
        <v>812.00771289756165</v>
      </c>
      <c r="C44" s="88">
        <f>'Transmission Calculations'!L46*'Spectral Functions'!H44*'Spectral Functions'!D44</f>
        <v>191.5511995205533</v>
      </c>
      <c r="D44" s="88">
        <f>'Transmission Calculations'!L46*'Spectral Functions'!H44*'Spectral Functions'!E44</f>
        <v>4763.7290889313399</v>
      </c>
      <c r="J44" s="13">
        <v>462</v>
      </c>
      <c r="K44" s="47">
        <f>'Transmission Calculations'!L46*'Spectral Functions'!J44*'Spectral Functions'!N44*'Spectral Functions'!C44</f>
        <v>161.34908922909267</v>
      </c>
      <c r="L44" s="47">
        <f>'Transmission Calculations'!L46*'Spectral Functions'!J44*'Spectral Functions'!N44*'Spectral Functions'!D44</f>
        <v>38.061967999164182</v>
      </c>
      <c r="M44" s="47">
        <f>'Transmission Calculations'!L46*'Spectral Functions'!J44*'Spectral Functions'!N44*'Spectral Functions'!E44</f>
        <v>946.57148894615523</v>
      </c>
      <c r="N44" s="47">
        <f>'Spectral Functions'!D44*'Spectral Functions'!J44*'Spectral Functions'!N44</f>
        <v>1.5204856673538001</v>
      </c>
      <c r="R44" s="13">
        <v>462</v>
      </c>
      <c r="S44" s="47">
        <f>'Transmission Calculations'!L46*'Spectral Functions'!J44*'Spectral Functions'!M44*'Spectral Functions'!C44</f>
        <v>0</v>
      </c>
      <c r="T44" s="47">
        <f>'Transmission Calculations'!L46*'Spectral Functions'!J44*'Spectral Functions'!M44*'Spectral Functions'!D44</f>
        <v>0</v>
      </c>
      <c r="U44" s="47">
        <f>'Transmission Calculations'!L46*'Spectral Functions'!J44*'Spectral Functions'!M44*'Spectral Functions'!E44</f>
        <v>0</v>
      </c>
      <c r="V44" s="47">
        <f>'Spectral Functions'!D44*'Spectral Functions'!J44*'Spectral Functions'!M44</f>
        <v>0</v>
      </c>
      <c r="Z44" s="13">
        <v>462</v>
      </c>
      <c r="AA44" s="47">
        <f>'Transmission Calculations'!L46*'Spectral Functions'!J44*'Spectral Functions'!L44*'Spectral Functions'!D44</f>
        <v>0</v>
      </c>
      <c r="AB44" s="47">
        <f>'Spectral Functions'!D44*'Spectral Functions'!J44*'Spectral Functions'!L44</f>
        <v>0</v>
      </c>
      <c r="AD44" s="42">
        <v>462</v>
      </c>
      <c r="AE44" s="152">
        <f>AF44*'Transmission Calculations'!L46</f>
        <v>0</v>
      </c>
      <c r="AF44" s="92"/>
      <c r="AO44" s="42">
        <v>462</v>
      </c>
      <c r="AP44" s="113">
        <f>'Transmission Calculations'!L46*'Spectral Functions'!K44*'Spectral Functions'!C44</f>
        <v>853.27933386840061</v>
      </c>
      <c r="AQ44" s="113">
        <f>'Transmission Calculations'!L46*'Spectral Functions'!K44*'Spectral Functions'!D44</f>
        <v>201.2871027361908</v>
      </c>
      <c r="AR44" s="47">
        <f>'Transmission Calculations'!L46*'Spectral Functions'!K44*'Spectral Functions'!E44</f>
        <v>5005.8534163771519</v>
      </c>
      <c r="AX44" s="116">
        <v>698</v>
      </c>
      <c r="AY44" s="47">
        <f>'Transmission Calculations'!L164*'Spectral Functions'!H162*'Spectral Functions'!D162</f>
        <v>31.21670400814341</v>
      </c>
      <c r="AZ44" s="47">
        <f>'Spectral Functions'!H162*'Spectral Functions'!D162</f>
        <v>0.33307849399999995</v>
      </c>
    </row>
    <row r="45" spans="1:52">
      <c r="A45" s="42">
        <v>464</v>
      </c>
      <c r="B45" s="88">
        <f>'Transmission Calculations'!L47*'Spectral Functions'!H45*'Spectral Functions'!C45</f>
        <v>756.14294637215323</v>
      </c>
      <c r="C45" s="88">
        <f>'Transmission Calculations'!L47*'Spectral Functions'!H45*'Spectral Functions'!D45</f>
        <v>205.89138620703915</v>
      </c>
      <c r="D45" s="88">
        <f>'Transmission Calculations'!L47*'Spectral Functions'!H45*'Spectral Functions'!E45</f>
        <v>4542.6356796509217</v>
      </c>
      <c r="J45" s="13">
        <v>464</v>
      </c>
      <c r="K45" s="47">
        <f>'Transmission Calculations'!L47*'Spectral Functions'!J45*'Spectral Functions'!N45*'Spectral Functions'!C45</f>
        <v>156.66488777852689</v>
      </c>
      <c r="L45" s="47">
        <f>'Transmission Calculations'!L47*'Spectral Functions'!J45*'Spectral Functions'!N45*'Spectral Functions'!D45</f>
        <v>42.658535756300786</v>
      </c>
      <c r="M45" s="47">
        <f>'Transmission Calculations'!L47*'Spectral Functions'!J45*'Spectral Functions'!N45*'Spectral Functions'!E45</f>
        <v>941.1864679631334</v>
      </c>
      <c r="N45" s="47">
        <f>'Spectral Functions'!D45*'Spectral Functions'!J45*'Spectral Functions'!N45</f>
        <v>1.7135591470063201</v>
      </c>
      <c r="R45" s="13">
        <v>464</v>
      </c>
      <c r="S45" s="47">
        <f>'Transmission Calculations'!L47*'Spectral Functions'!J45*'Spectral Functions'!M45*'Spectral Functions'!C45</f>
        <v>0</v>
      </c>
      <c r="T45" s="47">
        <f>'Transmission Calculations'!L47*'Spectral Functions'!J45*'Spectral Functions'!M45*'Spectral Functions'!D45</f>
        <v>0</v>
      </c>
      <c r="U45" s="47">
        <f>'Transmission Calculations'!L47*'Spectral Functions'!J45*'Spectral Functions'!M45*'Spectral Functions'!E45</f>
        <v>0</v>
      </c>
      <c r="V45" s="47">
        <f>'Spectral Functions'!D45*'Spectral Functions'!J45*'Spectral Functions'!M45</f>
        <v>0</v>
      </c>
      <c r="Z45" s="13">
        <v>464</v>
      </c>
      <c r="AA45" s="47">
        <f>'Transmission Calculations'!L47*'Spectral Functions'!J45*'Spectral Functions'!L45*'Spectral Functions'!D45</f>
        <v>0</v>
      </c>
      <c r="AB45" s="47">
        <f>'Spectral Functions'!D45*'Spectral Functions'!J45*'Spectral Functions'!L45</f>
        <v>0</v>
      </c>
      <c r="AD45" s="42">
        <v>464</v>
      </c>
      <c r="AE45" s="152">
        <f>AF45*'Transmission Calculations'!L47</f>
        <v>0</v>
      </c>
      <c r="AF45" s="92"/>
      <c r="AO45" s="42">
        <v>464</v>
      </c>
      <c r="AP45" s="113">
        <f>'Transmission Calculations'!L47*'Spectral Functions'!K45*'Spectral Functions'!C45</f>
        <v>799.11327568618913</v>
      </c>
      <c r="AQ45" s="113">
        <f>'Transmission Calculations'!L47*'Spectral Functions'!K45*'Spectral Functions'!D45</f>
        <v>217.59184669627243</v>
      </c>
      <c r="AR45" s="47">
        <f>'Transmission Calculations'!L47*'Spectral Functions'!K45*'Spectral Functions'!E45</f>
        <v>4800.786009618052</v>
      </c>
      <c r="AX45" s="116">
        <v>700</v>
      </c>
      <c r="AY45" s="47">
        <f>'Transmission Calculations'!L165*'Spectral Functions'!H163*'Spectral Functions'!D163</f>
        <v>27.442049105858658</v>
      </c>
      <c r="AZ45" s="47">
        <f>'Spectral Functions'!H163*'Spectral Functions'!D163</f>
        <v>0.29374052819999996</v>
      </c>
    </row>
    <row r="46" spans="1:52">
      <c r="A46" s="42">
        <v>466</v>
      </c>
      <c r="B46" s="88">
        <f>'Transmission Calculations'!L48*'Spectral Functions'!H46*'Spectral Functions'!C46</f>
        <v>687.13001883846539</v>
      </c>
      <c r="C46" s="88">
        <f>'Transmission Calculations'!L48*'Spectral Functions'!H46*'Spectral Functions'!D46</f>
        <v>219.7236660917394</v>
      </c>
      <c r="D46" s="88">
        <f>'Transmission Calculations'!L48*'Spectral Functions'!H46*'Spectral Functions'!E46</f>
        <v>4239.8171437008014</v>
      </c>
      <c r="J46" s="13">
        <v>466</v>
      </c>
      <c r="K46" s="47">
        <f>'Transmission Calculations'!L48*'Spectral Functions'!J46*'Spectral Functions'!N46*'Spectral Functions'!C46</f>
        <v>148.3861838626228</v>
      </c>
      <c r="L46" s="47">
        <f>'Transmission Calculations'!L48*'Spectral Functions'!J46*'Spectral Functions'!N46*'Spectral Functions'!D46</f>
        <v>47.44947160185577</v>
      </c>
      <c r="M46" s="47">
        <f>'Transmission Calculations'!L48*'Spectral Functions'!J46*'Spectral Functions'!N46*'Spectral Functions'!E46</f>
        <v>915.59132766834784</v>
      </c>
      <c r="N46" s="47">
        <f>'Spectral Functions'!D46*'Spectral Functions'!J46*'Spectral Functions'!N46</f>
        <v>1.9299540337121279</v>
      </c>
      <c r="R46" s="13">
        <v>466</v>
      </c>
      <c r="S46" s="47">
        <f>'Transmission Calculations'!L48*'Spectral Functions'!J46*'Spectral Functions'!M46*'Spectral Functions'!C46</f>
        <v>0</v>
      </c>
      <c r="T46" s="47">
        <f>'Transmission Calculations'!L48*'Spectral Functions'!J46*'Spectral Functions'!M46*'Spectral Functions'!D46</f>
        <v>0</v>
      </c>
      <c r="U46" s="47">
        <f>'Transmission Calculations'!L48*'Spectral Functions'!J46*'Spectral Functions'!M46*'Spectral Functions'!E46</f>
        <v>0</v>
      </c>
      <c r="V46" s="47">
        <f>'Spectral Functions'!D46*'Spectral Functions'!J46*'Spectral Functions'!M46</f>
        <v>0</v>
      </c>
      <c r="Z46" s="13">
        <v>466</v>
      </c>
      <c r="AA46" s="47">
        <f>'Transmission Calculations'!L48*'Spectral Functions'!J46*'Spectral Functions'!L46*'Spectral Functions'!D46</f>
        <v>0</v>
      </c>
      <c r="AB46" s="47">
        <f>'Spectral Functions'!D46*'Spectral Functions'!J46*'Spectral Functions'!L46</f>
        <v>0</v>
      </c>
      <c r="AD46" s="42">
        <v>466</v>
      </c>
      <c r="AE46" s="152">
        <f>AF46*'Transmission Calculations'!L48</f>
        <v>0</v>
      </c>
      <c r="AF46" s="92"/>
      <c r="AO46" s="42">
        <v>466</v>
      </c>
      <c r="AP46" s="113">
        <f>'Transmission Calculations'!L48*'Spectral Functions'!K46*'Spectral Functions'!C46</f>
        <v>730.70590846913285</v>
      </c>
      <c r="AQ46" s="113">
        <f>'Transmission Calculations'!L48*'Spectral Functions'!K46*'Spectral Functions'!D46</f>
        <v>233.65793465861762</v>
      </c>
      <c r="AR46" s="47">
        <f>'Transmission Calculations'!L48*'Spectral Functions'!K46*'Spectral Functions'!E46</f>
        <v>4508.6946470013099</v>
      </c>
      <c r="AX46" s="116">
        <v>702</v>
      </c>
      <c r="AY46" s="47">
        <f>'Transmission Calculations'!L166*'Spectral Functions'!H164*'Spectral Functions'!D164</f>
        <v>22.895312166859036</v>
      </c>
      <c r="AZ46" s="47">
        <f>'Spectral Functions'!H164*'Spectral Functions'!D164</f>
        <v>0.2420149134</v>
      </c>
    </row>
    <row r="47" spans="1:52">
      <c r="A47" s="42">
        <v>468</v>
      </c>
      <c r="B47" s="88">
        <f>'Transmission Calculations'!L49*'Spectral Functions'!H47*'Spectral Functions'!C47</f>
        <v>614.85873436665008</v>
      </c>
      <c r="C47" s="88">
        <f>'Transmission Calculations'!L49*'Spectral Functions'!H47*'Spectral Functions'!D47</f>
        <v>234.41300981428185</v>
      </c>
      <c r="D47" s="88">
        <f>'Transmission Calculations'!L49*'Spectral Functions'!H47*'Spectral Functions'!E47</f>
        <v>3912.7860266452985</v>
      </c>
      <c r="J47" s="13">
        <v>468</v>
      </c>
      <c r="K47" s="47">
        <f>'Transmission Calculations'!L49*'Spectral Functions'!J47*'Spectral Functions'!N47*'Spectral Functions'!C47</f>
        <v>138.33622299917195</v>
      </c>
      <c r="L47" s="47">
        <f>'Transmission Calculations'!L49*'Spectral Functions'!J47*'Spectral Functions'!N47*'Spectral Functions'!D47</f>
        <v>52.740261440668341</v>
      </c>
      <c r="M47" s="47">
        <f>'Transmission Calculations'!L49*'Spectral Functions'!J47*'Spectral Functions'!N47*'Spectral Functions'!E47</f>
        <v>880.3323594119654</v>
      </c>
      <c r="N47" s="47">
        <f>'Spectral Functions'!D47*'Spectral Functions'!J47*'Spectral Functions'!N47</f>
        <v>2.16287382091536</v>
      </c>
      <c r="R47" s="13">
        <v>468</v>
      </c>
      <c r="S47" s="47">
        <f>'Transmission Calculations'!L49*'Spectral Functions'!J47*'Spectral Functions'!M47*'Spectral Functions'!C47</f>
        <v>0</v>
      </c>
      <c r="T47" s="47">
        <f>'Transmission Calculations'!L49*'Spectral Functions'!J47*'Spectral Functions'!M47*'Spectral Functions'!D47</f>
        <v>0</v>
      </c>
      <c r="U47" s="47">
        <f>'Transmission Calculations'!L49*'Spectral Functions'!J47*'Spectral Functions'!M47*'Spectral Functions'!E47</f>
        <v>0</v>
      </c>
      <c r="V47" s="47">
        <f>'Spectral Functions'!D47*'Spectral Functions'!J47*'Spectral Functions'!M47</f>
        <v>0</v>
      </c>
      <c r="Z47" s="13">
        <v>468</v>
      </c>
      <c r="AA47" s="47">
        <f>'Transmission Calculations'!L49*'Spectral Functions'!J47*'Spectral Functions'!L47*'Spectral Functions'!D47</f>
        <v>0</v>
      </c>
      <c r="AB47" s="47">
        <f>'Spectral Functions'!D47*'Spectral Functions'!J47*'Spectral Functions'!L47</f>
        <v>0</v>
      </c>
      <c r="AD47" s="42">
        <v>468</v>
      </c>
      <c r="AE47" s="152">
        <f>AF47*'Transmission Calculations'!L49</f>
        <v>0</v>
      </c>
      <c r="AF47" s="92"/>
      <c r="AO47" s="42">
        <v>468</v>
      </c>
      <c r="AP47" s="113">
        <f>'Transmission Calculations'!L49*'Spectral Functions'!K47*'Spectral Functions'!C47</f>
        <v>658.25795850809391</v>
      </c>
      <c r="AQ47" s="113">
        <f>'Transmission Calculations'!L49*'Spectral Functions'!K47*'Spectral Functions'!D47</f>
        <v>250.95883113221396</v>
      </c>
      <c r="AR47" s="47">
        <f>'Transmission Calculations'!L49*'Spectral Functions'!K47*'Spectral Functions'!E47</f>
        <v>4188.96633977496</v>
      </c>
      <c r="AX47" s="116">
        <v>704</v>
      </c>
      <c r="AY47" s="47">
        <f>'Transmission Calculations'!L167*'Spectral Functions'!H165*'Spectral Functions'!D165</f>
        <v>20.033775392626413</v>
      </c>
      <c r="AZ47" s="47">
        <f>'Spectral Functions'!H165*'Spectral Functions'!D165</f>
        <v>0.21295323790000001</v>
      </c>
    </row>
    <row r="48" spans="1:52">
      <c r="A48" s="42">
        <v>470</v>
      </c>
      <c r="B48" s="88">
        <f>'Transmission Calculations'!L50*'Spectral Functions'!H48*'Spectral Functions'!C48</f>
        <v>542.88311000543149</v>
      </c>
      <c r="C48" s="88">
        <f>'Transmission Calculations'!L50*'Spectral Functions'!H48*'Spectral Functions'!D48</f>
        <v>252.82302082460154</v>
      </c>
      <c r="D48" s="88">
        <f>'Transmission Calculations'!L50*'Spectral Functions'!H48*'Spectral Functions'!E48</f>
        <v>3578.2043804637269</v>
      </c>
      <c r="J48" s="13">
        <v>470</v>
      </c>
      <c r="K48" s="47">
        <f>'Transmission Calculations'!L50*'Spectral Functions'!J48*'Spectral Functions'!N48*'Spectral Functions'!C48</f>
        <v>127.20419698843921</v>
      </c>
      <c r="L48" s="47">
        <f>'Transmission Calculations'!L50*'Spectral Functions'!J48*'Spectral Functions'!N48*'Spectral Functions'!D48</f>
        <v>59.239546693326169</v>
      </c>
      <c r="M48" s="47">
        <f>'Transmission Calculations'!L50*'Spectral Functions'!J48*'Spectral Functions'!N48*'Spectral Functions'!E48</f>
        <v>838.41734341827316</v>
      </c>
      <c r="N48" s="47">
        <f>'Spectral Functions'!D48*'Spectral Functions'!J48*'Spectral Functions'!N48</f>
        <v>2.4485762682092003</v>
      </c>
      <c r="R48" s="13">
        <v>470</v>
      </c>
      <c r="S48" s="47">
        <f>'Transmission Calculations'!L50*'Spectral Functions'!J48*'Spectral Functions'!M48*'Spectral Functions'!C48</f>
        <v>0</v>
      </c>
      <c r="T48" s="47">
        <f>'Transmission Calculations'!L50*'Spectral Functions'!J48*'Spectral Functions'!M48*'Spectral Functions'!D48</f>
        <v>0</v>
      </c>
      <c r="U48" s="47">
        <f>'Transmission Calculations'!L50*'Spectral Functions'!J48*'Spectral Functions'!M48*'Spectral Functions'!E48</f>
        <v>0</v>
      </c>
      <c r="V48" s="47">
        <f>'Spectral Functions'!D48*'Spectral Functions'!J48*'Spectral Functions'!M48</f>
        <v>0</v>
      </c>
      <c r="Z48" s="13">
        <v>470</v>
      </c>
      <c r="AA48" s="47">
        <f>'Transmission Calculations'!L50*'Spectral Functions'!J48*'Spectral Functions'!L48*'Spectral Functions'!D48</f>
        <v>0</v>
      </c>
      <c r="AB48" s="47">
        <f>'Spectral Functions'!D48*'Spectral Functions'!J48*'Spectral Functions'!L48</f>
        <v>0</v>
      </c>
      <c r="AD48" s="42">
        <v>470</v>
      </c>
      <c r="AE48" s="152">
        <f>AF48*'Transmission Calculations'!L50</f>
        <v>97.753699373000003</v>
      </c>
      <c r="AF48" s="92">
        <v>4.0404999999999998</v>
      </c>
      <c r="AO48" s="42">
        <v>470</v>
      </c>
      <c r="AP48" s="113">
        <f>'Transmission Calculations'!L50*'Spectral Functions'!K48*'Spectral Functions'!C48</f>
        <v>585.13271709868798</v>
      </c>
      <c r="AQ48" s="113">
        <f>'Transmission Calculations'!L50*'Spectral Functions'!K48*'Spectral Functions'!D48</f>
        <v>272.49884624098399</v>
      </c>
      <c r="AR48" s="47">
        <f>'Transmission Calculations'!L50*'Spectral Functions'!K48*'Spectral Functions'!E48</f>
        <v>3856.6763505577119</v>
      </c>
      <c r="AX48" s="116">
        <v>706</v>
      </c>
      <c r="AY48" s="47">
        <f>'Transmission Calculations'!L168*'Spectral Functions'!H166*'Spectral Functions'!D166</f>
        <v>19.160266751683675</v>
      </c>
      <c r="AZ48" s="47">
        <f>'Spectral Functions'!H166*'Spectral Functions'!D166</f>
        <v>0.20056671400000001</v>
      </c>
    </row>
    <row r="49" spans="1:52">
      <c r="A49" s="42">
        <v>472</v>
      </c>
      <c r="B49" s="88">
        <f>'Transmission Calculations'!L51*'Spectral Functions'!H49*'Spectral Functions'!C49</f>
        <v>481.65990718101887</v>
      </c>
      <c r="C49" s="88">
        <f>'Transmission Calculations'!L51*'Spectral Functions'!H49*'Spectral Functions'!D49</f>
        <v>275.23979049225562</v>
      </c>
      <c r="D49" s="88">
        <f>'Transmission Calculations'!L51*'Spectral Functions'!H49*'Spectral Functions'!E49</f>
        <v>3300.854440377936</v>
      </c>
      <c r="J49" s="13">
        <v>472</v>
      </c>
      <c r="K49" s="47">
        <f>'Transmission Calculations'!L51*'Spectral Functions'!J49*'Spectral Functions'!N49*'Spectral Functions'!C49</f>
        <v>115.89146837761068</v>
      </c>
      <c r="L49" s="47">
        <f>'Transmission Calculations'!L51*'Spectral Functions'!J49*'Spectral Functions'!N49*'Spectral Functions'!D49</f>
        <v>66.225033473889397</v>
      </c>
      <c r="M49" s="47">
        <f>'Transmission Calculations'!L51*'Spectral Functions'!J49*'Spectral Functions'!N49*'Spectral Functions'!E49</f>
        <v>794.21363973395387</v>
      </c>
      <c r="N49" s="47">
        <f>'Spectral Functions'!D49*'Spectral Functions'!J49*'Spectral Functions'!N49</f>
        <v>2.7423402912709438</v>
      </c>
      <c r="R49" s="13">
        <v>472</v>
      </c>
      <c r="S49" s="47">
        <f>'Transmission Calculations'!L51*'Spectral Functions'!J49*'Spectral Functions'!M49*'Spectral Functions'!C49</f>
        <v>0</v>
      </c>
      <c r="T49" s="47">
        <f>'Transmission Calculations'!L51*'Spectral Functions'!J49*'Spectral Functions'!M49*'Spectral Functions'!D49</f>
        <v>0</v>
      </c>
      <c r="U49" s="47">
        <f>'Transmission Calculations'!L51*'Spectral Functions'!J49*'Spectral Functions'!M49*'Spectral Functions'!E49</f>
        <v>0</v>
      </c>
      <c r="V49" s="47">
        <f>'Spectral Functions'!D49*'Spectral Functions'!J49*'Spectral Functions'!M49</f>
        <v>0</v>
      </c>
      <c r="Z49" s="13">
        <v>472</v>
      </c>
      <c r="AA49" s="47">
        <f>'Transmission Calculations'!L51*'Spectral Functions'!J49*'Spectral Functions'!L49*'Spectral Functions'!D49</f>
        <v>0</v>
      </c>
      <c r="AB49" s="47">
        <f>'Spectral Functions'!D49*'Spectral Functions'!J49*'Spectral Functions'!L49</f>
        <v>0</v>
      </c>
      <c r="AD49" s="42">
        <v>472</v>
      </c>
      <c r="AE49" s="152">
        <f>AF49*'Transmission Calculations'!L51</f>
        <v>0</v>
      </c>
      <c r="AF49" s="92"/>
      <c r="AO49" s="42">
        <v>472</v>
      </c>
      <c r="AP49" s="113">
        <f>'Transmission Calculations'!L51*'Spectral Functions'!K49*'Spectral Functions'!C49</f>
        <v>518.52327914962348</v>
      </c>
      <c r="AQ49" s="113">
        <f>'Transmission Calculations'!L51*'Spectral Functions'!K49*'Spectral Functions'!D49</f>
        <v>296.30499983645711</v>
      </c>
      <c r="AR49" s="47">
        <f>'Transmission Calculations'!L51*'Spectral Functions'!K49*'Spectral Functions'!E49</f>
        <v>3553.4821206887691</v>
      </c>
      <c r="AX49" s="116">
        <v>708</v>
      </c>
      <c r="AY49" s="47">
        <f>'Transmission Calculations'!L169*'Spectral Functions'!H167*'Spectral Functions'!D167</f>
        <v>16.592879661856863</v>
      </c>
      <c r="AZ49" s="47">
        <f>'Spectral Functions'!H167*'Spectral Functions'!D167</f>
        <v>0.17660579300000001</v>
      </c>
    </row>
    <row r="50" spans="1:52">
      <c r="A50" s="42">
        <v>474</v>
      </c>
      <c r="B50" s="88">
        <f>'Transmission Calculations'!L52*'Spectral Functions'!H50*'Spectral Functions'!C50</f>
        <v>420.71817577168042</v>
      </c>
      <c r="C50" s="88">
        <f>'Transmission Calculations'!L52*'Spectral Functions'!H50*'Spectral Functions'!D50</f>
        <v>298.05809179703408</v>
      </c>
      <c r="D50" s="88">
        <f>'Transmission Calculations'!L52*'Spectral Functions'!H50*'Spectral Functions'!E50</f>
        <v>3011.7943426459015</v>
      </c>
      <c r="J50" s="13">
        <v>474</v>
      </c>
      <c r="K50" s="47">
        <f>'Transmission Calculations'!L52*'Spectral Functions'!J50*'Spectral Functions'!N50*'Spectral Functions'!C50</f>
        <v>103.91560147101366</v>
      </c>
      <c r="L50" s="47">
        <f>'Transmission Calculations'!L52*'Spectral Functions'!J50*'Spectral Functions'!N50*'Spectral Functions'!D50</f>
        <v>73.619082003245978</v>
      </c>
      <c r="M50" s="47">
        <f>'Transmission Calculations'!L52*'Spectral Functions'!J50*'Spectral Functions'!N50*'Spectral Functions'!E50</f>
        <v>743.90040327825557</v>
      </c>
      <c r="N50" s="47">
        <f>'Spectral Functions'!D50*'Spectral Functions'!J50*'Spectral Functions'!N50</f>
        <v>3.0720417804246396</v>
      </c>
      <c r="R50" s="13">
        <v>474</v>
      </c>
      <c r="S50" s="47">
        <f>'Transmission Calculations'!L52*'Spectral Functions'!J50*'Spectral Functions'!M50*'Spectral Functions'!C50</f>
        <v>0</v>
      </c>
      <c r="T50" s="47">
        <f>'Transmission Calculations'!L52*'Spectral Functions'!J50*'Spectral Functions'!M50*'Spectral Functions'!D50</f>
        <v>0</v>
      </c>
      <c r="U50" s="47">
        <f>'Transmission Calculations'!L52*'Spectral Functions'!J50*'Spectral Functions'!M50*'Spectral Functions'!E50</f>
        <v>0</v>
      </c>
      <c r="V50" s="47">
        <f>'Spectral Functions'!D50*'Spectral Functions'!J50*'Spectral Functions'!M50</f>
        <v>0</v>
      </c>
      <c r="Z50" s="13">
        <v>474</v>
      </c>
      <c r="AA50" s="47">
        <f>'Transmission Calculations'!L52*'Spectral Functions'!J50*'Spectral Functions'!L50*'Spectral Functions'!D50</f>
        <v>0</v>
      </c>
      <c r="AB50" s="47">
        <f>'Spectral Functions'!D50*'Spectral Functions'!J50*'Spectral Functions'!L50</f>
        <v>0</v>
      </c>
      <c r="AD50" s="42">
        <v>474</v>
      </c>
      <c r="AE50" s="152">
        <f>AF50*'Transmission Calculations'!L52</f>
        <v>0</v>
      </c>
      <c r="AF50" s="92"/>
      <c r="AO50" s="42">
        <v>474</v>
      </c>
      <c r="AP50" s="113">
        <f>'Transmission Calculations'!L52*'Spectral Functions'!K50*'Spectral Functions'!C50</f>
        <v>452.37257835866893</v>
      </c>
      <c r="AQ50" s="113">
        <f>'Transmission Calculations'!L52*'Spectral Functions'!K50*'Spectral Functions'!D50</f>
        <v>320.48367589438737</v>
      </c>
      <c r="AR50" s="47">
        <f>'Transmission Calculations'!L52*'Spectral Functions'!K50*'Spectral Functions'!E50</f>
        <v>3238.3986495705112</v>
      </c>
      <c r="AX50" s="116">
        <v>710</v>
      </c>
      <c r="AY50" s="47">
        <f>'Transmission Calculations'!L170*'Spectral Functions'!H168*'Spectral Functions'!D168</f>
        <v>14.891944677011622</v>
      </c>
      <c r="AZ50" s="47">
        <f>'Spectral Functions'!H168*'Spectral Functions'!D168</f>
        <v>0.15546375900000001</v>
      </c>
    </row>
    <row r="51" spans="1:52">
      <c r="A51" s="42">
        <v>476</v>
      </c>
      <c r="B51" s="88">
        <f>'Transmission Calculations'!L53*'Spectral Functions'!H51*'Spectral Functions'!C51</f>
        <v>363.67178141404082</v>
      </c>
      <c r="C51" s="88">
        <f>'Transmission Calculations'!L53*'Spectral Functions'!H51*'Spectral Functions'!D51</f>
        <v>323.37263720526744</v>
      </c>
      <c r="D51" s="88">
        <f>'Transmission Calculations'!L53*'Spectral Functions'!H51*'Spectral Functions'!E51</f>
        <v>2735.3948640727845</v>
      </c>
      <c r="J51" s="13">
        <v>476</v>
      </c>
      <c r="K51" s="47">
        <f>'Transmission Calculations'!L53*'Spectral Functions'!J51*'Spectral Functions'!N51*'Spectral Functions'!C51</f>
        <v>92.182624562549634</v>
      </c>
      <c r="L51" s="47">
        <f>'Transmission Calculations'!L53*'Spectral Functions'!J51*'Spectral Functions'!N51*'Spectral Functions'!D51</f>
        <v>81.96769706296449</v>
      </c>
      <c r="M51" s="47">
        <f>'Transmission Calculations'!L53*'Spectral Functions'!J51*'Spectral Functions'!N51*'Spectral Functions'!E51</f>
        <v>693.36113130556089</v>
      </c>
      <c r="N51" s="47">
        <f>'Spectral Functions'!D51*'Spectral Functions'!J51*'Spectral Functions'!N51</f>
        <v>3.4408841865400555</v>
      </c>
      <c r="R51" s="13">
        <v>476</v>
      </c>
      <c r="S51" s="47">
        <f>'Transmission Calculations'!L53*'Spectral Functions'!J51*'Spectral Functions'!M51*'Spectral Functions'!C51</f>
        <v>0</v>
      </c>
      <c r="T51" s="47">
        <f>'Transmission Calculations'!L53*'Spectral Functions'!J51*'Spectral Functions'!M51*'Spectral Functions'!D51</f>
        <v>0</v>
      </c>
      <c r="U51" s="47">
        <f>'Transmission Calculations'!L53*'Spectral Functions'!J51*'Spectral Functions'!M51*'Spectral Functions'!E51</f>
        <v>0</v>
      </c>
      <c r="V51" s="47">
        <f>'Spectral Functions'!D51*'Spectral Functions'!J51*'Spectral Functions'!M51</f>
        <v>0</v>
      </c>
      <c r="Z51" s="13">
        <v>476</v>
      </c>
      <c r="AA51" s="47">
        <f>'Transmission Calculations'!L53*'Spectral Functions'!J51*'Spectral Functions'!L51*'Spectral Functions'!D51</f>
        <v>0</v>
      </c>
      <c r="AB51" s="47">
        <f>'Spectral Functions'!D51*'Spectral Functions'!J51*'Spectral Functions'!L51</f>
        <v>0</v>
      </c>
      <c r="AD51" s="42">
        <v>476</v>
      </c>
      <c r="AE51" s="152">
        <f>AF51*'Transmission Calculations'!L53</f>
        <v>0</v>
      </c>
      <c r="AF51" s="92"/>
      <c r="AO51" s="42">
        <v>476</v>
      </c>
      <c r="AP51" s="113">
        <f>'Transmission Calculations'!L53*'Spectral Functions'!K51*'Spectral Functions'!C51</f>
        <v>390.37929193330427</v>
      </c>
      <c r="AQ51" s="113">
        <f>'Transmission Calculations'!L53*'Spectral Functions'!K51*'Spectral Functions'!D51</f>
        <v>347.12063897824254</v>
      </c>
      <c r="AR51" s="47">
        <f>'Transmission Calculations'!L53*'Spectral Functions'!K51*'Spectral Functions'!E51</f>
        <v>2936.278162805796</v>
      </c>
      <c r="AX51" s="116">
        <v>712</v>
      </c>
      <c r="AY51" s="47">
        <f>'Transmission Calculations'!L171*'Spectral Functions'!H169*'Spectral Functions'!D169</f>
        <v>12.482449265734999</v>
      </c>
      <c r="AZ51" s="47">
        <f>'Spectral Functions'!H169*'Spectral Functions'!D169</f>
        <v>0.13103499999999998</v>
      </c>
    </row>
    <row r="52" spans="1:52">
      <c r="A52" s="42">
        <v>478</v>
      </c>
      <c r="B52" s="88">
        <f>'Transmission Calculations'!L54*'Spectral Functions'!H52*'Spectral Functions'!C52</f>
        <v>311.61002726505745</v>
      </c>
      <c r="C52" s="88">
        <f>'Transmission Calculations'!L54*'Spectral Functions'!H52*'Spectral Functions'!D52</f>
        <v>352.09801120932684</v>
      </c>
      <c r="D52" s="88">
        <f>'Transmission Calculations'!L54*'Spectral Functions'!H52*'Spectral Functions'!E52</f>
        <v>2479.8216191407446</v>
      </c>
      <c r="J52" s="13">
        <v>478</v>
      </c>
      <c r="K52" s="47">
        <f>'Transmission Calculations'!L54*'Spectral Functions'!J52*'Spectral Functions'!N52*'Spectral Functions'!C52</f>
        <v>81.034833981127591</v>
      </c>
      <c r="L52" s="47">
        <f>'Transmission Calculations'!L54*'Spectral Functions'!J52*'Spectral Functions'!N52*'Spectral Functions'!D52</f>
        <v>91.563818192420769</v>
      </c>
      <c r="M52" s="47">
        <f>'Transmission Calculations'!L54*'Spectral Functions'!J52*'Spectral Functions'!N52*'Spectral Functions'!E52</f>
        <v>644.88275609613243</v>
      </c>
      <c r="N52" s="47">
        <f>'Spectral Functions'!D52*'Spectral Functions'!J52*'Spectral Functions'!N52</f>
        <v>3.8513894326933316</v>
      </c>
      <c r="R52" s="13">
        <v>478</v>
      </c>
      <c r="S52" s="47">
        <f>'Transmission Calculations'!L54*'Spectral Functions'!J52*'Spectral Functions'!M52*'Spectral Functions'!C52</f>
        <v>0</v>
      </c>
      <c r="T52" s="47">
        <f>'Transmission Calculations'!L54*'Spectral Functions'!J52*'Spectral Functions'!M52*'Spectral Functions'!D52</f>
        <v>0</v>
      </c>
      <c r="U52" s="47">
        <f>'Transmission Calculations'!L54*'Spectral Functions'!J52*'Spectral Functions'!M52*'Spectral Functions'!E52</f>
        <v>0</v>
      </c>
      <c r="V52" s="47">
        <f>'Spectral Functions'!D52*'Spectral Functions'!J52*'Spectral Functions'!M52</f>
        <v>0</v>
      </c>
      <c r="Z52" s="13">
        <v>478</v>
      </c>
      <c r="AA52" s="47">
        <f>'Transmission Calculations'!L54*'Spectral Functions'!J52*'Spectral Functions'!L52*'Spectral Functions'!D52</f>
        <v>0</v>
      </c>
      <c r="AB52" s="47">
        <f>'Spectral Functions'!D52*'Spectral Functions'!J52*'Spectral Functions'!L52</f>
        <v>0</v>
      </c>
      <c r="AD52" s="42">
        <v>478</v>
      </c>
      <c r="AE52" s="152">
        <f>AF52*'Transmission Calculations'!L54</f>
        <v>0</v>
      </c>
      <c r="AF52" s="92"/>
      <c r="AO52" s="42">
        <v>478</v>
      </c>
      <c r="AP52" s="113">
        <f>'Transmission Calculations'!L54*'Spectral Functions'!K52*'Spectral Functions'!C52</f>
        <v>333.77363044880497</v>
      </c>
      <c r="AQ52" s="113">
        <f>'Transmission Calculations'!L54*'Spectral Functions'!K52*'Spectral Functions'!D52</f>
        <v>377.14136642713657</v>
      </c>
      <c r="AR52" s="47">
        <f>'Transmission Calculations'!L54*'Spectral Functions'!K52*'Spectral Functions'!E52</f>
        <v>2656.201637510188</v>
      </c>
      <c r="AX52" s="116">
        <v>714</v>
      </c>
      <c r="AY52" s="47">
        <f>'Transmission Calculations'!L172*'Spectral Functions'!H170*'Spectral Functions'!D170</f>
        <v>10.471105682711311</v>
      </c>
      <c r="AZ52" s="47">
        <f>'Spectral Functions'!H170*'Spectral Functions'!D170</f>
        <v>0.11010909000000001</v>
      </c>
    </row>
    <row r="53" spans="1:52">
      <c r="A53" s="42">
        <v>480</v>
      </c>
      <c r="B53" s="88">
        <f>'Transmission Calculations'!L55*'Spectral Functions'!H53*'Spectral Functions'!C53</f>
        <v>265.24914445884207</v>
      </c>
      <c r="C53" s="88">
        <f>'Transmission Calculations'!L55*'Spectral Functions'!H53*'Spectral Functions'!D53</f>
        <v>385.55976644362426</v>
      </c>
      <c r="D53" s="88">
        <f>'Transmission Calculations'!L55*'Spectral Functions'!H53*'Spectral Functions'!E53</f>
        <v>2254.6454620223299</v>
      </c>
      <c r="J53" s="13">
        <v>480</v>
      </c>
      <c r="K53" s="47">
        <f>'Transmission Calculations'!L55*'Spectral Functions'!J53*'Spectral Functions'!N53*'Spectral Functions'!C53</f>
        <v>70.746124919357712</v>
      </c>
      <c r="L53" s="47">
        <f>'Transmission Calculations'!L55*'Spectral Functions'!J53*'Spectral Functions'!N53*'Spectral Functions'!D53</f>
        <v>102.83486288466237</v>
      </c>
      <c r="M53" s="47">
        <f>'Transmission Calculations'!L55*'Spectral Functions'!J53*'Spectral Functions'!N53*'Spectral Functions'!E53</f>
        <v>601.34945894178009</v>
      </c>
      <c r="N53" s="47">
        <f>'Spectral Functions'!D53*'Spectral Functions'!J53*'Spectral Functions'!N53</f>
        <v>4.2982884895314006</v>
      </c>
      <c r="R53" s="13">
        <v>480</v>
      </c>
      <c r="S53" s="47">
        <f>'Transmission Calculations'!L55*'Spectral Functions'!J53*'Spectral Functions'!M53*'Spectral Functions'!C53</f>
        <v>0</v>
      </c>
      <c r="T53" s="47">
        <f>'Transmission Calculations'!L55*'Spectral Functions'!J53*'Spectral Functions'!M53*'Spectral Functions'!D53</f>
        <v>0</v>
      </c>
      <c r="U53" s="47">
        <f>'Transmission Calculations'!L55*'Spectral Functions'!J53*'Spectral Functions'!M53*'Spectral Functions'!E53</f>
        <v>0</v>
      </c>
      <c r="V53" s="47">
        <f>'Spectral Functions'!D53*'Spectral Functions'!J53*'Spectral Functions'!M53</f>
        <v>0</v>
      </c>
      <c r="Z53" s="13">
        <v>480</v>
      </c>
      <c r="AA53" s="47">
        <f>'Transmission Calculations'!L55*'Spectral Functions'!J53*'Spectral Functions'!L53*'Spectral Functions'!D53</f>
        <v>0</v>
      </c>
      <c r="AB53" s="47">
        <f>'Spectral Functions'!D53*'Spectral Functions'!J53*'Spectral Functions'!L53</f>
        <v>0</v>
      </c>
      <c r="AD53" s="42">
        <v>480</v>
      </c>
      <c r="AE53" s="152">
        <f>AF53*'Transmission Calculations'!L55</f>
        <v>141.21499281749999</v>
      </c>
      <c r="AF53" s="92">
        <v>5.9024999999999999</v>
      </c>
      <c r="AO53" s="42">
        <v>480</v>
      </c>
      <c r="AP53" s="113">
        <f>'Transmission Calculations'!L55*'Spectral Functions'!K53*'Spectral Functions'!C53</f>
        <v>283.50171233017198</v>
      </c>
      <c r="AQ53" s="113">
        <f>'Transmission Calculations'!L55*'Spectral Functions'!K53*'Spectral Functions'!D53</f>
        <v>412.09125939084595</v>
      </c>
      <c r="AR53" s="47">
        <f>'Transmission Calculations'!L55*'Spectral Functions'!K53*'Spectral Functions'!E53</f>
        <v>2409.7941973945344</v>
      </c>
      <c r="AX53" s="116">
        <v>716</v>
      </c>
      <c r="AY53" s="47">
        <f>'Transmission Calculations'!L173*'Spectral Functions'!H171*'Spectral Functions'!D171</f>
        <v>8.7333767604436794</v>
      </c>
      <c r="AZ53" s="47">
        <f>'Spectral Functions'!H171*'Spectral Functions'!D171</f>
        <v>9.2315568000000001E-2</v>
      </c>
    </row>
    <row r="54" spans="1:52">
      <c r="A54" s="42">
        <v>482</v>
      </c>
      <c r="B54" s="88">
        <f>'Transmission Calculations'!L56*'Spectral Functions'!H54*'Spectral Functions'!C54</f>
        <v>219.90614058837002</v>
      </c>
      <c r="C54" s="88">
        <f>'Transmission Calculations'!L56*'Spectral Functions'!H54*'Spectral Functions'!D54</f>
        <v>417.22218525484749</v>
      </c>
      <c r="D54" s="88">
        <f>'Transmission Calculations'!L56*'Spectral Functions'!H54*'Spectral Functions'!E54</f>
        <v>2022.6135411494877</v>
      </c>
      <c r="J54" s="13">
        <v>482</v>
      </c>
      <c r="K54" s="47">
        <f>'Transmission Calculations'!L56*'Spectral Functions'!J54*'Spectral Functions'!N54*'Spectral Functions'!C54</f>
        <v>60.690120981274461</v>
      </c>
      <c r="L54" s="47">
        <f>'Transmission Calculations'!L56*'Spectral Functions'!J54*'Spectral Functions'!N54*'Spectral Functions'!D54</f>
        <v>115.14578370317479</v>
      </c>
      <c r="M54" s="47">
        <f>'Transmission Calculations'!L56*'Spectral Functions'!J54*'Spectral Functions'!N54*'Spectral Functions'!E54</f>
        <v>558.2047876530205</v>
      </c>
      <c r="N54" s="47">
        <f>'Spectral Functions'!D54*'Spectral Functions'!J54*'Spectral Functions'!N54</f>
        <v>4.754810006203356</v>
      </c>
      <c r="R54" s="13">
        <v>482</v>
      </c>
      <c r="S54" s="47">
        <f>'Transmission Calculations'!L56*'Spectral Functions'!J54*'Spectral Functions'!M54*'Spectral Functions'!C54</f>
        <v>0</v>
      </c>
      <c r="T54" s="47">
        <f>'Transmission Calculations'!L56*'Spectral Functions'!J54*'Spectral Functions'!M54*'Spectral Functions'!D54</f>
        <v>0</v>
      </c>
      <c r="U54" s="47">
        <f>'Transmission Calculations'!L56*'Spectral Functions'!J54*'Spectral Functions'!M54*'Spectral Functions'!E54</f>
        <v>0</v>
      </c>
      <c r="V54" s="47">
        <f>'Spectral Functions'!D54*'Spectral Functions'!J54*'Spectral Functions'!M54</f>
        <v>0</v>
      </c>
      <c r="Z54" s="13">
        <v>482</v>
      </c>
      <c r="AA54" s="47">
        <f>'Transmission Calculations'!L56*'Spectral Functions'!J54*'Spectral Functions'!L54*'Spectral Functions'!D54</f>
        <v>0</v>
      </c>
      <c r="AB54" s="47">
        <f>'Spectral Functions'!D54*'Spectral Functions'!J54*'Spectral Functions'!L54</f>
        <v>0</v>
      </c>
      <c r="AD54" s="42">
        <v>482</v>
      </c>
      <c r="AE54" s="152">
        <f>AF54*'Transmission Calculations'!L56</f>
        <v>0</v>
      </c>
      <c r="AF54" s="92"/>
      <c r="AO54" s="42">
        <v>482</v>
      </c>
      <c r="AP54" s="113">
        <f>'Transmission Calculations'!L56*'Spectral Functions'!K54*'Spectral Functions'!C54</f>
        <v>237.21054518838062</v>
      </c>
      <c r="AQ54" s="113">
        <f>'Transmission Calculations'!L56*'Spectral Functions'!K54*'Spectral Functions'!D54</f>
        <v>450.05338079324207</v>
      </c>
      <c r="AR54" s="47">
        <f>'Transmission Calculations'!L56*'Spectral Functions'!K54*'Spectral Functions'!E54</f>
        <v>2181.7729123788054</v>
      </c>
      <c r="AX54" s="116">
        <v>718</v>
      </c>
      <c r="AY54" s="47">
        <f>'Transmission Calculations'!L174*'Spectral Functions'!H172*'Spectral Functions'!D172</f>
        <v>7.3563357001793692</v>
      </c>
      <c r="AZ54" s="47">
        <f>'Spectral Functions'!H172*'Spectral Functions'!D172</f>
        <v>7.7240212000000003E-2</v>
      </c>
    </row>
    <row r="55" spans="1:52">
      <c r="A55" s="42">
        <v>484</v>
      </c>
      <c r="B55" s="88">
        <f>'Transmission Calculations'!L57*'Spectral Functions'!H55*'Spectral Functions'!C55</f>
        <v>178.38596385731304</v>
      </c>
      <c r="C55" s="88">
        <f>'Transmission Calculations'!L57*'Spectral Functions'!H55*'Spectral Functions'!D55</f>
        <v>449.46048012471573</v>
      </c>
      <c r="D55" s="88">
        <f>'Transmission Calculations'!L57*'Spectral Functions'!H55*'Spectral Functions'!E55</f>
        <v>1801.2477193164109</v>
      </c>
      <c r="J55" s="13">
        <v>484</v>
      </c>
      <c r="K55" s="47">
        <f>'Transmission Calculations'!L57*'Spectral Functions'!J55*'Spectral Functions'!N55*'Spectral Functions'!C55</f>
        <v>50.93504405891106</v>
      </c>
      <c r="L55" s="47">
        <f>'Transmission Calculations'!L57*'Spectral Functions'!J55*'Spectral Functions'!N55*'Spectral Functions'!D55</f>
        <v>128.33571018067065</v>
      </c>
      <c r="M55" s="47">
        <f>'Transmission Calculations'!L57*'Spectral Functions'!J55*'Spectral Functions'!N55*'Spectral Functions'!E55</f>
        <v>514.31530800136568</v>
      </c>
      <c r="N55" s="47">
        <f>'Spectral Functions'!D55*'Spectral Functions'!J55*'Spectral Functions'!N55</f>
        <v>5.2537538712388807</v>
      </c>
      <c r="R55" s="13">
        <v>484</v>
      </c>
      <c r="S55" s="47">
        <f>'Transmission Calculations'!L57*'Spectral Functions'!J55*'Spectral Functions'!M55*'Spectral Functions'!C55</f>
        <v>0</v>
      </c>
      <c r="T55" s="47">
        <f>'Transmission Calculations'!L57*'Spectral Functions'!J55*'Spectral Functions'!M55*'Spectral Functions'!D55</f>
        <v>0</v>
      </c>
      <c r="U55" s="47">
        <f>'Transmission Calculations'!L57*'Spectral Functions'!J55*'Spectral Functions'!M55*'Spectral Functions'!E55</f>
        <v>0</v>
      </c>
      <c r="V55" s="47">
        <f>'Spectral Functions'!D55*'Spectral Functions'!J55*'Spectral Functions'!M55</f>
        <v>0</v>
      </c>
      <c r="Z55" s="13">
        <v>484</v>
      </c>
      <c r="AA55" s="47">
        <f>'Transmission Calculations'!L57*'Spectral Functions'!J55*'Spectral Functions'!L55*'Spectral Functions'!D55</f>
        <v>0</v>
      </c>
      <c r="AB55" s="47">
        <f>'Spectral Functions'!D55*'Spectral Functions'!J55*'Spectral Functions'!L55</f>
        <v>0</v>
      </c>
      <c r="AD55" s="42">
        <v>484</v>
      </c>
      <c r="AE55" s="152">
        <f>AF55*'Transmission Calculations'!L57</f>
        <v>0</v>
      </c>
      <c r="AF55" s="92"/>
      <c r="AO55" s="42">
        <v>484</v>
      </c>
      <c r="AP55" s="113">
        <f>'Transmission Calculations'!L57*'Spectral Functions'!K55*'Spectral Functions'!C55</f>
        <v>194.22770008412232</v>
      </c>
      <c r="AQ55" s="113">
        <f>'Transmission Calculations'!L57*'Spectral Functions'!K55*'Spectral Functions'!D55</f>
        <v>489.37524817342893</v>
      </c>
      <c r="AR55" s="47">
        <f>'Transmission Calculations'!L57*'Spectral Functions'!K55*'Spectral Functions'!E55</f>
        <v>1961.2092467344357</v>
      </c>
      <c r="AX55" s="116">
        <v>720</v>
      </c>
      <c r="AY55" s="47">
        <f>'Transmission Calculations'!L175*'Spectral Functions'!H173*'Spectral Functions'!D173</f>
        <v>6.1378653480971277</v>
      </c>
      <c r="AZ55" s="47">
        <f>'Spectral Functions'!H173*'Spectral Functions'!D173</f>
        <v>6.4499387999999991E-2</v>
      </c>
    </row>
    <row r="56" spans="1:52">
      <c r="A56" s="42">
        <v>486</v>
      </c>
      <c r="B56" s="88">
        <f>'Transmission Calculations'!L58*'Spectral Functions'!H56*'Spectral Functions'!C56</f>
        <v>142.31445371604624</v>
      </c>
      <c r="C56" s="88">
        <f>'Transmission Calculations'!L58*'Spectral Functions'!H56*'Spectral Functions'!D56</f>
        <v>483.62821075695382</v>
      </c>
      <c r="D56" s="88">
        <f>'Transmission Calculations'!L58*'Spectral Functions'!H56*'Spectral Functions'!E56</f>
        <v>1597.9683297599686</v>
      </c>
      <c r="J56" s="13">
        <v>486</v>
      </c>
      <c r="K56" s="47">
        <f>'Transmission Calculations'!L58*'Spectral Functions'!J56*'Spectral Functions'!N56*'Spectral Functions'!C56</f>
        <v>42.037048209463549</v>
      </c>
      <c r="L56" s="47">
        <f>'Transmission Calculations'!L58*'Spectral Functions'!J56*'Spectral Functions'!N56*'Spectral Functions'!D56</f>
        <v>142.85479710733262</v>
      </c>
      <c r="M56" s="47">
        <f>'Transmission Calculations'!L58*'Spectral Functions'!J56*'Spectral Functions'!N56*'Spectral Functions'!E56</f>
        <v>472.01018562278153</v>
      </c>
      <c r="N56" s="47">
        <f>'Spectral Functions'!D56*'Spectral Functions'!J56*'Spectral Functions'!N56</f>
        <v>5.8126897725498896</v>
      </c>
      <c r="R56" s="13">
        <v>486</v>
      </c>
      <c r="S56" s="47">
        <f>'Transmission Calculations'!L58*'Spectral Functions'!J56*'Spectral Functions'!M56*'Spectral Functions'!C56</f>
        <v>0</v>
      </c>
      <c r="T56" s="47">
        <f>'Transmission Calculations'!L58*'Spectral Functions'!J56*'Spectral Functions'!M56*'Spectral Functions'!D56</f>
        <v>0</v>
      </c>
      <c r="U56" s="47">
        <f>'Transmission Calculations'!L58*'Spectral Functions'!J56*'Spectral Functions'!M56*'Spectral Functions'!E56</f>
        <v>0</v>
      </c>
      <c r="V56" s="47">
        <f>'Spectral Functions'!D56*'Spectral Functions'!J56*'Spectral Functions'!M56</f>
        <v>0</v>
      </c>
      <c r="Z56" s="13">
        <v>486</v>
      </c>
      <c r="AA56" s="47">
        <f>'Transmission Calculations'!L58*'Spectral Functions'!J56*'Spectral Functions'!L56*'Spectral Functions'!D56</f>
        <v>0</v>
      </c>
      <c r="AB56" s="47">
        <f>'Spectral Functions'!D56*'Spectral Functions'!J56*'Spectral Functions'!L56</f>
        <v>0</v>
      </c>
      <c r="AD56" s="42">
        <v>486</v>
      </c>
      <c r="AE56" s="152">
        <f>AF56*'Transmission Calculations'!L58</f>
        <v>0</v>
      </c>
      <c r="AF56" s="92"/>
      <c r="AO56" s="42">
        <v>486</v>
      </c>
      <c r="AP56" s="113">
        <f>'Transmission Calculations'!L58*'Spectral Functions'!K56*'Spectral Functions'!C56</f>
        <v>156.11050271495793</v>
      </c>
      <c r="AQ56" s="113">
        <f>'Transmission Calculations'!L58*'Spectral Functions'!K56*'Spectral Functions'!D56</f>
        <v>530.51142127168896</v>
      </c>
      <c r="AR56" s="47">
        <f>'Transmission Calculations'!L58*'Spectral Functions'!K56*'Spectral Functions'!E56</f>
        <v>1752.8763436716429</v>
      </c>
      <c r="AX56" s="116">
        <v>722</v>
      </c>
      <c r="AY56" s="47">
        <f>'Transmission Calculations'!L176*'Spectral Functions'!H174*'Spectral Functions'!D174</f>
        <v>5.4740179210060891</v>
      </c>
      <c r="AZ56" s="47">
        <f>'Spectral Functions'!H174*'Spectral Functions'!D174</f>
        <v>5.7630133300000004E-2</v>
      </c>
    </row>
    <row r="57" spans="1:52">
      <c r="A57" s="42">
        <v>488</v>
      </c>
      <c r="B57" s="88">
        <f>'Transmission Calculations'!L59*'Spectral Functions'!H57*'Spectral Functions'!C57</f>
        <v>111.93464573034058</v>
      </c>
      <c r="C57" s="88">
        <f>'Transmission Calculations'!L59*'Spectral Functions'!H57*'Spectral Functions'!D57</f>
        <v>520.2835271907162</v>
      </c>
      <c r="D57" s="88">
        <f>'Transmission Calculations'!L59*'Spectral Functions'!H57*'Spectral Functions'!E57</f>
        <v>1415.3689992961033</v>
      </c>
      <c r="J57" s="13">
        <v>488</v>
      </c>
      <c r="K57" s="47">
        <f>'Transmission Calculations'!L59*'Spectral Functions'!J57*'Spectral Functions'!N57*'Spectral Functions'!C57</f>
        <v>34.200469558469059</v>
      </c>
      <c r="L57" s="47">
        <f>'Transmission Calculations'!L59*'Spectral Functions'!J57*'Spectral Functions'!N57*'Spectral Functions'!D57</f>
        <v>158.96723322219657</v>
      </c>
      <c r="M57" s="47">
        <f>'Transmission Calculations'!L59*'Spectral Functions'!J57*'Spectral Functions'!N57*'Spectral Functions'!E57</f>
        <v>432.45131173275672</v>
      </c>
      <c r="N57" s="47">
        <f>'Spectral Functions'!D57*'Spectral Functions'!J57*'Spectral Functions'!N57</f>
        <v>6.4422133986671906</v>
      </c>
      <c r="R57" s="13">
        <v>488</v>
      </c>
      <c r="S57" s="47">
        <f>'Transmission Calculations'!L59*'Spectral Functions'!J57*'Spectral Functions'!M57*'Spectral Functions'!C57</f>
        <v>0</v>
      </c>
      <c r="T57" s="47">
        <f>'Transmission Calculations'!L59*'Spectral Functions'!J57*'Spectral Functions'!M57*'Spectral Functions'!D57</f>
        <v>0</v>
      </c>
      <c r="U57" s="47">
        <f>'Transmission Calculations'!L59*'Spectral Functions'!J57*'Spectral Functions'!M57*'Spectral Functions'!E57</f>
        <v>0</v>
      </c>
      <c r="V57" s="47">
        <f>'Spectral Functions'!D57*'Spectral Functions'!J57*'Spectral Functions'!M57</f>
        <v>0</v>
      </c>
      <c r="Z57" s="13">
        <v>488</v>
      </c>
      <c r="AA57" s="47">
        <f>'Transmission Calculations'!L59*'Spectral Functions'!J57*'Spectral Functions'!L57*'Spectral Functions'!D57</f>
        <v>0</v>
      </c>
      <c r="AB57" s="47">
        <f>'Spectral Functions'!D57*'Spectral Functions'!J57*'Spectral Functions'!L57</f>
        <v>0</v>
      </c>
      <c r="AD57" s="42">
        <v>488</v>
      </c>
      <c r="AE57" s="152">
        <f>AF57*'Transmission Calculations'!L59</f>
        <v>0</v>
      </c>
      <c r="AF57" s="92"/>
      <c r="AO57" s="42">
        <v>488</v>
      </c>
      <c r="AP57" s="113">
        <f>'Transmission Calculations'!L59*'Spectral Functions'!K57*'Spectral Functions'!C57</f>
        <v>123.46696156642848</v>
      </c>
      <c r="AQ57" s="113">
        <f>'Transmission Calculations'!L59*'Spectral Functions'!K57*'Spectral Functions'!D57</f>
        <v>573.88689476943557</v>
      </c>
      <c r="AR57" s="47">
        <f>'Transmission Calculations'!L59*'Spectral Functions'!K57*'Spectral Functions'!E57</f>
        <v>1561.1905384450502</v>
      </c>
      <c r="AX57" s="116">
        <v>724</v>
      </c>
      <c r="AY57" s="47">
        <f>'Transmission Calculations'!L177*'Spectral Functions'!H175*'Spectral Functions'!D175</f>
        <v>4.8659708764118266</v>
      </c>
      <c r="AZ57" s="47">
        <f>'Spectral Functions'!H175*'Spectral Functions'!D175</f>
        <v>5.1478863800000003E-2</v>
      </c>
    </row>
    <row r="58" spans="1:52">
      <c r="A58" s="42">
        <v>490</v>
      </c>
      <c r="B58" s="88">
        <f>'Transmission Calculations'!L60*'Spectral Functions'!H58*'Spectral Functions'!C58</f>
        <v>86.108435105682645</v>
      </c>
      <c r="C58" s="88">
        <f>'Transmission Calculations'!L60*'Spectral Functions'!H58*'Spectral Functions'!D58</f>
        <v>559.58377602886935</v>
      </c>
      <c r="D58" s="88">
        <f>'Transmission Calculations'!L60*'Spectral Functions'!H58*'Spectral Functions'!E58</f>
        <v>1251.3565086679619</v>
      </c>
      <c r="J58" s="13">
        <v>490</v>
      </c>
      <c r="K58" s="47">
        <f>'Transmission Calculations'!L60*'Spectral Functions'!J58*'Spectral Functions'!N58*'Spectral Functions'!C58</f>
        <v>27.211502354004782</v>
      </c>
      <c r="L58" s="47">
        <f>'Transmission Calculations'!L60*'Spectral Functions'!J58*'Spectral Functions'!N58*'Spectral Functions'!D58</f>
        <v>176.8365110802898</v>
      </c>
      <c r="M58" s="47">
        <f>'Transmission Calculations'!L60*'Spectral Functions'!J58*'Spectral Functions'!N58*'Spectral Functions'!E58</f>
        <v>395.44663121012013</v>
      </c>
      <c r="N58" s="47">
        <f>'Spectral Functions'!D58*'Spectral Functions'!J58*'Spectral Functions'!N58</f>
        <v>7.1529422204592006</v>
      </c>
      <c r="R58" s="13">
        <v>490</v>
      </c>
      <c r="S58" s="47">
        <f>'Transmission Calculations'!L60*'Spectral Functions'!J58*'Spectral Functions'!M58*'Spectral Functions'!C58</f>
        <v>0</v>
      </c>
      <c r="T58" s="47">
        <f>'Transmission Calculations'!L60*'Spectral Functions'!J58*'Spectral Functions'!M58*'Spectral Functions'!D58</f>
        <v>0</v>
      </c>
      <c r="U58" s="47">
        <f>'Transmission Calculations'!L60*'Spectral Functions'!J58*'Spectral Functions'!M58*'Spectral Functions'!E58</f>
        <v>0</v>
      </c>
      <c r="V58" s="47">
        <f>'Spectral Functions'!D58*'Spectral Functions'!J58*'Spectral Functions'!M58</f>
        <v>0</v>
      </c>
      <c r="Z58" s="13">
        <v>490</v>
      </c>
      <c r="AA58" s="47">
        <f>'Transmission Calculations'!L60*'Spectral Functions'!J58*'Spectral Functions'!L58*'Spectral Functions'!D58</f>
        <v>0</v>
      </c>
      <c r="AB58" s="47">
        <f>'Spectral Functions'!D58*'Spectral Functions'!J58*'Spectral Functions'!L58</f>
        <v>0</v>
      </c>
      <c r="AD58" s="42">
        <v>490</v>
      </c>
      <c r="AE58" s="152">
        <f>AF58*'Transmission Calculations'!L60</f>
        <v>194.9642609572</v>
      </c>
      <c r="AF58" s="92">
        <v>7.8861999999999997</v>
      </c>
      <c r="AO58" s="42">
        <v>490</v>
      </c>
      <c r="AP58" s="113">
        <f>'Transmission Calculations'!L60*'Spectral Functions'!K58*'Spectral Functions'!C58</f>
        <v>95.51688815704199</v>
      </c>
      <c r="AQ58" s="113">
        <f>'Transmission Calculations'!L60*'Spectral Functions'!K58*'Spectral Functions'!D58</f>
        <v>620.72549435888402</v>
      </c>
      <c r="AR58" s="47">
        <f>'Transmission Calculations'!L60*'Spectral Functions'!K58*'Spectral Functions'!E58</f>
        <v>1388.083287500556</v>
      </c>
      <c r="AX58" s="116">
        <v>726</v>
      </c>
      <c r="AY58" s="47">
        <f>'Transmission Calculations'!L178*'Spectral Functions'!H176*'Spectral Functions'!D176</f>
        <v>4.3475706868967094</v>
      </c>
      <c r="AZ58" s="47">
        <f>'Spectral Functions'!H176*'Spectral Functions'!D176</f>
        <v>4.5935369999999996E-2</v>
      </c>
    </row>
    <row r="59" spans="1:52">
      <c r="A59" s="42">
        <v>492</v>
      </c>
      <c r="B59" s="88">
        <f>'Transmission Calculations'!L61*'Spectral Functions'!H59*'Spectral Functions'!C59</f>
        <v>65.521474163950828</v>
      </c>
      <c r="C59" s="88">
        <f>'Transmission Calculations'!L61*'Spectral Functions'!H59*'Spectral Functions'!D59</f>
        <v>615.30862510617101</v>
      </c>
      <c r="D59" s="88">
        <f>'Transmission Calculations'!L61*'Spectral Functions'!H59*'Spectral Functions'!E59</f>
        <v>1129.4312957028542</v>
      </c>
      <c r="J59" s="13">
        <v>492</v>
      </c>
      <c r="K59" s="47">
        <f>'Transmission Calculations'!L61*'Spectral Functions'!J59*'Spectral Functions'!N59*'Spectral Functions'!C59</f>
        <v>21.01474524940587</v>
      </c>
      <c r="L59" s="47">
        <f>'Transmission Calculations'!L61*'Spectral Functions'!J59*'Spectral Functions'!N59*'Spectral Functions'!D59</f>
        <v>197.34833764595925</v>
      </c>
      <c r="M59" s="47">
        <f>'Transmission Calculations'!L61*'Spectral Functions'!J59*'Spectral Functions'!N59*'Spectral Functions'!E59</f>
        <v>362.24323794229343</v>
      </c>
      <c r="N59" s="47">
        <f>'Spectral Functions'!D59*'Spectral Functions'!J59*'Spectral Functions'!N59</f>
        <v>7.9206838730692093</v>
      </c>
      <c r="R59" s="13">
        <v>492</v>
      </c>
      <c r="S59" s="47">
        <f>'Transmission Calculations'!L61*'Spectral Functions'!J59*'Spectral Functions'!M59*'Spectral Functions'!C59</f>
        <v>0</v>
      </c>
      <c r="T59" s="47">
        <f>'Transmission Calculations'!L61*'Spectral Functions'!J59*'Spectral Functions'!M59*'Spectral Functions'!D59</f>
        <v>0</v>
      </c>
      <c r="U59" s="47">
        <f>'Transmission Calculations'!L61*'Spectral Functions'!J59*'Spectral Functions'!M59*'Spectral Functions'!E59</f>
        <v>0</v>
      </c>
      <c r="V59" s="47">
        <f>'Spectral Functions'!D59*'Spectral Functions'!J59*'Spectral Functions'!M59</f>
        <v>0</v>
      </c>
      <c r="Z59" s="13">
        <v>492</v>
      </c>
      <c r="AA59" s="47">
        <f>'Transmission Calculations'!L61*'Spectral Functions'!J59*'Spectral Functions'!L59*'Spectral Functions'!D59</f>
        <v>0</v>
      </c>
      <c r="AB59" s="47">
        <f>'Spectral Functions'!D59*'Spectral Functions'!J59*'Spectral Functions'!L59</f>
        <v>0</v>
      </c>
      <c r="AD59" s="42">
        <v>492</v>
      </c>
      <c r="AE59" s="152">
        <f>AF59*'Transmission Calculations'!L61</f>
        <v>0</v>
      </c>
      <c r="AF59" s="92"/>
      <c r="AO59" s="42">
        <v>492</v>
      </c>
      <c r="AP59" s="113">
        <f>'Transmission Calculations'!L61*'Spectral Functions'!K59*'Spectral Functions'!C59</f>
        <v>71.694096446530551</v>
      </c>
      <c r="AQ59" s="113">
        <f>'Transmission Calculations'!L61*'Spectral Functions'!K59*'Spectral Functions'!D59</f>
        <v>673.27538758300636</v>
      </c>
      <c r="AR59" s="47">
        <f>'Transmission Calculations'!L61*'Spectral Functions'!K59*'Spectral Functions'!E59</f>
        <v>1235.83233248438</v>
      </c>
      <c r="AX59" s="116">
        <v>728</v>
      </c>
      <c r="AY59" s="47">
        <f>'Transmission Calculations'!L179*'Spectral Functions'!H177*'Spectral Functions'!D177</f>
        <v>3.8821143955092827</v>
      </c>
      <c r="AZ59" s="47">
        <f>'Spectral Functions'!H177*'Spectral Functions'!D177</f>
        <v>4.0869350700000001E-2</v>
      </c>
    </row>
    <row r="60" spans="1:52">
      <c r="A60" s="42">
        <v>494</v>
      </c>
      <c r="B60" s="88">
        <f>'Transmission Calculations'!L62*'Spectral Functions'!H60*'Spectral Functions'!C60</f>
        <v>48.040030971537128</v>
      </c>
      <c r="C60" s="88">
        <f>'Transmission Calculations'!L62*'Spectral Functions'!H60*'Spectral Functions'!D60</f>
        <v>677.82183038010146</v>
      </c>
      <c r="D60" s="88">
        <f>'Transmission Calculations'!L62*'Spectral Functions'!H60*'Spectral Functions'!E60</f>
        <v>1021.455951579868</v>
      </c>
      <c r="J60" s="13">
        <v>494</v>
      </c>
      <c r="K60" s="47">
        <f>'Transmission Calculations'!L62*'Spectral Functions'!J60*'Spectral Functions'!N60*'Spectral Functions'!C60</f>
        <v>15.633232629321645</v>
      </c>
      <c r="L60" s="47">
        <f>'Transmission Calculations'!L62*'Spectral Functions'!J60*'Spectral Functions'!N60*'Spectral Functions'!D60</f>
        <v>220.57742556084094</v>
      </c>
      <c r="M60" s="47">
        <f>'Transmission Calculations'!L62*'Spectral Functions'!J60*'Spectral Functions'!N60*'Spectral Functions'!E60</f>
        <v>332.40316853905301</v>
      </c>
      <c r="N60" s="47">
        <f>'Spectral Functions'!D60*'Spectral Functions'!J60*'Spectral Functions'!N60</f>
        <v>8.7806247891037525</v>
      </c>
      <c r="R60" s="13">
        <v>494</v>
      </c>
      <c r="S60" s="47">
        <f>'Transmission Calculations'!L62*'Spectral Functions'!J60*'Spectral Functions'!M60*'Spectral Functions'!C60</f>
        <v>0</v>
      </c>
      <c r="T60" s="47">
        <f>'Transmission Calculations'!L62*'Spectral Functions'!J60*'Spectral Functions'!M60*'Spectral Functions'!D60</f>
        <v>0</v>
      </c>
      <c r="U60" s="47">
        <f>'Transmission Calculations'!L62*'Spectral Functions'!J60*'Spectral Functions'!M60*'Spectral Functions'!E60</f>
        <v>0</v>
      </c>
      <c r="V60" s="47">
        <f>'Spectral Functions'!D60*'Spectral Functions'!J60*'Spectral Functions'!M60</f>
        <v>0</v>
      </c>
      <c r="Z60" s="13">
        <v>494</v>
      </c>
      <c r="AA60" s="47">
        <f>'Transmission Calculations'!L62*'Spectral Functions'!J60*'Spectral Functions'!L60*'Spectral Functions'!D60</f>
        <v>0</v>
      </c>
      <c r="AB60" s="47">
        <f>'Spectral Functions'!D60*'Spectral Functions'!J60*'Spectral Functions'!L60</f>
        <v>0</v>
      </c>
      <c r="AD60" s="42">
        <v>494</v>
      </c>
      <c r="AE60" s="152">
        <f>AF60*'Transmission Calculations'!L62</f>
        <v>0</v>
      </c>
      <c r="AF60" s="92"/>
      <c r="AO60" s="42">
        <v>494</v>
      </c>
      <c r="AP60" s="113">
        <f>'Transmission Calculations'!L62*'Spectral Functions'!K60*'Spectral Functions'!C60</f>
        <v>51.8434718064264</v>
      </c>
      <c r="AQ60" s="113">
        <f>'Transmission Calculations'!L62*'Spectral Functions'!K60*'Spectral Functions'!D60</f>
        <v>731.48655907219006</v>
      </c>
      <c r="AR60" s="47">
        <f>'Transmission Calculations'!L62*'Spectral Functions'!K60*'Spectral Functions'!E60</f>
        <v>1102.3269918084095</v>
      </c>
      <c r="AX60" s="116">
        <v>730</v>
      </c>
      <c r="AY60" s="47">
        <f>'Transmission Calculations'!L180*'Spectral Functions'!H178*'Spectral Functions'!D178</f>
        <v>3.3843843600740162</v>
      </c>
      <c r="AZ60" s="47">
        <f>'Spectral Functions'!H178*'Spectral Functions'!D178</f>
        <v>3.6340511999999998E-2</v>
      </c>
    </row>
    <row r="61" spans="1:52">
      <c r="A61" s="42">
        <v>496</v>
      </c>
      <c r="B61" s="88">
        <f>'Transmission Calculations'!L63*'Spectral Functions'!H61*'Spectral Functions'!C61</f>
        <v>33.286521987251319</v>
      </c>
      <c r="C61" s="88">
        <f>'Transmission Calculations'!L63*'Spectral Functions'!H61*'Spectral Functions'!D61</f>
        <v>739.47697279440047</v>
      </c>
      <c r="D61" s="88">
        <f>'Transmission Calculations'!L63*'Spectral Functions'!H61*'Spectral Functions'!E61</f>
        <v>916.48233675439917</v>
      </c>
      <c r="J61" s="13">
        <v>496</v>
      </c>
      <c r="K61" s="47">
        <f>'Transmission Calculations'!L63*'Spectral Functions'!J61*'Spectral Functions'!N61*'Spectral Functions'!C61</f>
        <v>10.987434393349785</v>
      </c>
      <c r="L61" s="47">
        <f>'Transmission Calculations'!L63*'Spectral Functions'!J61*'Spectral Functions'!N61*'Spectral Functions'!D61</f>
        <v>244.09142917013747</v>
      </c>
      <c r="M61" s="47">
        <f>'Transmission Calculations'!L63*'Spectral Functions'!J61*'Spectral Functions'!N61*'Spectral Functions'!E61</f>
        <v>302.51852541426763</v>
      </c>
      <c r="N61" s="47">
        <f>'Spectral Functions'!D61*'Spectral Functions'!J61*'Spectral Functions'!N61</f>
        <v>9.7333226826656087</v>
      </c>
      <c r="R61" s="13">
        <v>496</v>
      </c>
      <c r="S61" s="47">
        <f>'Transmission Calculations'!L63*'Spectral Functions'!J61*'Spectral Functions'!M61*'Spectral Functions'!C61</f>
        <v>0</v>
      </c>
      <c r="T61" s="47">
        <f>'Transmission Calculations'!L63*'Spectral Functions'!J61*'Spectral Functions'!M61*'Spectral Functions'!D61</f>
        <v>0</v>
      </c>
      <c r="U61" s="47">
        <f>'Transmission Calculations'!L63*'Spectral Functions'!J61*'Spectral Functions'!M61*'Spectral Functions'!E61</f>
        <v>0</v>
      </c>
      <c r="V61" s="47">
        <f>'Spectral Functions'!D61*'Spectral Functions'!J61*'Spectral Functions'!M61</f>
        <v>0</v>
      </c>
      <c r="Z61" s="13">
        <v>496</v>
      </c>
      <c r="AA61" s="47">
        <f>'Transmission Calculations'!L63*'Spectral Functions'!J61*'Spectral Functions'!L61*'Spectral Functions'!D61</f>
        <v>0</v>
      </c>
      <c r="AB61" s="47">
        <f>'Spectral Functions'!D61*'Spectral Functions'!J61*'Spectral Functions'!L61</f>
        <v>0</v>
      </c>
      <c r="AD61" s="42">
        <v>496</v>
      </c>
      <c r="AE61" s="152">
        <f>AF61*'Transmission Calculations'!L63</f>
        <v>0</v>
      </c>
      <c r="AF61" s="92"/>
      <c r="AO61" s="42">
        <v>496</v>
      </c>
      <c r="AP61" s="113">
        <f>'Transmission Calculations'!L63*'Spectral Functions'!K61*'Spectral Functions'!C61</f>
        <v>35.361420592483924</v>
      </c>
      <c r="AQ61" s="113">
        <f>'Transmission Calculations'!L63*'Spectral Functions'!K61*'Spectral Functions'!D61</f>
        <v>785.57189794279475</v>
      </c>
      <c r="AR61" s="47">
        <f>'Transmission Calculations'!L63*'Spectral Functions'!K61*'Spectral Functions'!E61</f>
        <v>973.6108022330194</v>
      </c>
      <c r="AX61" s="116">
        <v>732</v>
      </c>
      <c r="AY61" s="47">
        <f>'Transmission Calculations'!L181*'Spectral Functions'!H179*'Spectral Functions'!D179</f>
        <v>3.0168929931355351</v>
      </c>
      <c r="AZ61" s="47">
        <f>'Spectral Functions'!H179*'Spectral Functions'!D179</f>
        <v>3.1916654999999995E-2</v>
      </c>
    </row>
    <row r="62" spans="1:52">
      <c r="A62" s="42">
        <v>498</v>
      </c>
      <c r="B62" s="88">
        <f>'Transmission Calculations'!L64*'Spectral Functions'!H62*'Spectral Functions'!C62</f>
        <v>21.83156544480466</v>
      </c>
      <c r="C62" s="88">
        <f>'Transmission Calculations'!L64*'Spectral Functions'!H62*'Spectral Functions'!D62</f>
        <v>808.51326924250793</v>
      </c>
      <c r="D62" s="88">
        <f>'Transmission Calculations'!L64*'Spectral Functions'!H62*'Spectral Functions'!E62</f>
        <v>825.74121601688807</v>
      </c>
      <c r="J62" s="13">
        <v>498</v>
      </c>
      <c r="K62" s="47">
        <f>'Transmission Calculations'!L64*'Spectral Functions'!J62*'Spectral Functions'!N62*'Spectral Functions'!C62</f>
        <v>7.3075675544881893</v>
      </c>
      <c r="L62" s="47">
        <f>'Transmission Calculations'!L64*'Spectral Functions'!J62*'Spectral Functions'!N62*'Spectral Functions'!D62</f>
        <v>270.62948594443264</v>
      </c>
      <c r="M62" s="47">
        <f>'Transmission Calculations'!L64*'Spectral Functions'!J62*'Spectral Functions'!N62*'Spectral Functions'!E62</f>
        <v>276.39610791193195</v>
      </c>
      <c r="N62" s="47">
        <f>'Spectral Functions'!D62*'Spectral Functions'!J62*'Spectral Functions'!N62</f>
        <v>10.78923359556099</v>
      </c>
      <c r="R62" s="13">
        <v>498</v>
      </c>
      <c r="S62" s="47">
        <f>'Transmission Calculations'!L64*'Spectral Functions'!J62*'Spectral Functions'!M62*'Spectral Functions'!C62</f>
        <v>0</v>
      </c>
      <c r="T62" s="47">
        <f>'Transmission Calculations'!L64*'Spectral Functions'!J62*'Spectral Functions'!M62*'Spectral Functions'!D62</f>
        <v>0</v>
      </c>
      <c r="U62" s="47">
        <f>'Transmission Calculations'!L64*'Spectral Functions'!J62*'Spectral Functions'!M62*'Spectral Functions'!E62</f>
        <v>0</v>
      </c>
      <c r="V62" s="47">
        <f>'Spectral Functions'!D62*'Spectral Functions'!J62*'Spectral Functions'!M62</f>
        <v>0</v>
      </c>
      <c r="Z62" s="13">
        <v>498</v>
      </c>
      <c r="AA62" s="47">
        <f>'Transmission Calculations'!L64*'Spectral Functions'!J62*'Spectral Functions'!L62*'Spectral Functions'!D62</f>
        <v>0</v>
      </c>
      <c r="AB62" s="47">
        <f>'Spectral Functions'!D62*'Spectral Functions'!J62*'Spectral Functions'!L62</f>
        <v>0</v>
      </c>
      <c r="AD62" s="42">
        <v>498</v>
      </c>
      <c r="AE62" s="152">
        <f>AF62*'Transmission Calculations'!L64</f>
        <v>0</v>
      </c>
      <c r="AF62" s="92"/>
      <c r="AO62" s="42">
        <v>498</v>
      </c>
      <c r="AP62" s="113">
        <f>'Transmission Calculations'!L64*'Spectral Functions'!K62*'Spectral Functions'!C62</f>
        <v>22.78559482284594</v>
      </c>
      <c r="AQ62" s="113">
        <f>'Transmission Calculations'!L64*'Spectral Functions'!K62*'Spectral Functions'!D62</f>
        <v>843.84492758573083</v>
      </c>
      <c r="AR62" s="47">
        <f>'Transmission Calculations'!L64*'Spectral Functions'!K62*'Spectral Functions'!E62</f>
        <v>861.82572771767911</v>
      </c>
      <c r="AX62" s="116">
        <v>734</v>
      </c>
      <c r="AY62" s="47">
        <f>'Transmission Calculations'!L182*'Spectral Functions'!H180*'Spectral Functions'!D180</f>
        <v>2.6390301673716383</v>
      </c>
      <c r="AZ62" s="47">
        <f>'Spectral Functions'!H180*'Spectral Functions'!D180</f>
        <v>2.7994851800000001E-2</v>
      </c>
    </row>
    <row r="63" spans="1:52">
      <c r="A63" s="42">
        <v>500</v>
      </c>
      <c r="B63" s="88">
        <f>'Transmission Calculations'!L65*'Spectral Functions'!H63*'Spectral Functions'!C63</f>
        <v>13.3850984753822</v>
      </c>
      <c r="C63" s="88">
        <f>'Transmission Calculations'!L65*'Spectral Functions'!H63*'Spectral Functions'!D63</f>
        <v>882.32383827519413</v>
      </c>
      <c r="D63" s="88">
        <f>'Transmission Calculations'!L65*'Spectral Functions'!H63*'Spectral Functions'!E63</f>
        <v>743.00954802121612</v>
      </c>
      <c r="J63" s="13">
        <v>500</v>
      </c>
      <c r="K63" s="47">
        <f>'Transmission Calculations'!L65*'Spectral Functions'!J63*'Spectral Functions'!N63*'Spectral Functions'!C63</f>
        <v>4.5420637626596223</v>
      </c>
      <c r="L63" s="47">
        <f>'Transmission Calculations'!L65*'Spectral Functions'!J63*'Spectral Functions'!N63*'Spectral Functions'!D63</f>
        <v>299.40542762021596</v>
      </c>
      <c r="M63" s="47">
        <f>'Transmission Calculations'!L65*'Spectral Functions'!J63*'Spectral Functions'!N63*'Spectral Functions'!E63</f>
        <v>252.13088641702399</v>
      </c>
      <c r="N63" s="47">
        <f>'Spectral Functions'!D63*'Spectral Functions'!J63*'Spectral Functions'!N63</f>
        <v>11.985850372470001</v>
      </c>
      <c r="R63" s="13">
        <v>500</v>
      </c>
      <c r="S63" s="47">
        <f>'Transmission Calculations'!L65*'Spectral Functions'!J63*'Spectral Functions'!M63*'Spectral Functions'!C63</f>
        <v>0</v>
      </c>
      <c r="T63" s="47">
        <f>'Transmission Calculations'!L65*'Spectral Functions'!J63*'Spectral Functions'!M63*'Spectral Functions'!D63</f>
        <v>0</v>
      </c>
      <c r="U63" s="47">
        <f>'Transmission Calculations'!L65*'Spectral Functions'!J63*'Spectral Functions'!M63*'Spectral Functions'!E63</f>
        <v>0</v>
      </c>
      <c r="V63" s="47">
        <f>'Spectral Functions'!D63*'Spectral Functions'!J63*'Spectral Functions'!M63</f>
        <v>0</v>
      </c>
      <c r="Z63" s="13">
        <v>500</v>
      </c>
      <c r="AA63" s="47">
        <f>'Transmission Calculations'!L65*'Spectral Functions'!J63*'Spectral Functions'!L63*'Spectral Functions'!D63</f>
        <v>0</v>
      </c>
      <c r="AB63" s="47">
        <f>'Spectral Functions'!D63*'Spectral Functions'!J63*'Spectral Functions'!L63</f>
        <v>0</v>
      </c>
      <c r="AD63" s="42">
        <v>500</v>
      </c>
      <c r="AE63" s="152">
        <f>AF63*'Transmission Calculations'!L65</f>
        <v>253.71092343619998</v>
      </c>
      <c r="AF63" s="92">
        <v>10.156599999999999</v>
      </c>
      <c r="AO63" s="42">
        <v>500</v>
      </c>
      <c r="AP63" s="113">
        <f>'Transmission Calculations'!L65*'Spectral Functions'!K63*'Spectral Functions'!C63</f>
        <v>13.721213116029999</v>
      </c>
      <c r="AQ63" s="113">
        <f>'Transmission Calculations'!L65*'Spectral Functions'!K63*'Spectral Functions'!D63</f>
        <v>904.47996662809999</v>
      </c>
      <c r="AR63" s="47">
        <f>'Transmission Calculations'!L65*'Spectral Functions'!K63*'Spectral Functions'!E63</f>
        <v>761.66734031839997</v>
      </c>
      <c r="AX63" s="116">
        <v>736</v>
      </c>
      <c r="AY63" s="47">
        <f>'Transmission Calculations'!L183*'Spectral Functions'!H181*'Spectral Functions'!D181</f>
        <v>2.3329902004468006</v>
      </c>
      <c r="AZ63" s="47">
        <f>'Spectral Functions'!H181*'Spectral Functions'!D181</f>
        <v>2.4457144E-2</v>
      </c>
    </row>
    <row r="64" spans="1:52">
      <c r="A64" s="42">
        <v>502</v>
      </c>
      <c r="B64" s="88">
        <f>'Transmission Calculations'!L66*'Spectral Functions'!H64*'Spectral Functions'!C64</f>
        <v>7.9744781174760009</v>
      </c>
      <c r="C64" s="88">
        <f>'Transmission Calculations'!L66*'Spectral Functions'!H64*'Spectral Functions'!D64</f>
        <v>939.29874915408493</v>
      </c>
      <c r="D64" s="88">
        <f>'Transmission Calculations'!L66*'Spectral Functions'!H64*'Spectral Functions'!E64</f>
        <v>667.42997090253129</v>
      </c>
      <c r="J64" s="13">
        <v>502</v>
      </c>
      <c r="K64" s="47">
        <f>'Transmission Calculations'!L66*'Spectral Functions'!J64*'Spectral Functions'!N64*'Spectral Functions'!C64</f>
        <v>2.7376317062259372</v>
      </c>
      <c r="L64" s="47">
        <f>'Transmission Calculations'!L66*'Spectral Functions'!J64*'Spectral Functions'!N64*'Spectral Functions'!D64</f>
        <v>322.4604794722888</v>
      </c>
      <c r="M64" s="47">
        <f>'Transmission Calculations'!L66*'Spectral Functions'!J64*'Spectral Functions'!N64*'Spectral Functions'!E64</f>
        <v>229.12815398213715</v>
      </c>
      <c r="N64" s="47">
        <f>'Spectral Functions'!D64*'Spectral Functions'!J64*'Spectral Functions'!N64</f>
        <v>12.985578380984721</v>
      </c>
      <c r="R64" s="13">
        <v>502</v>
      </c>
      <c r="S64" s="47">
        <f>'Transmission Calculations'!L66*'Spectral Functions'!J64*'Spectral Functions'!M64*'Spectral Functions'!C64</f>
        <v>8.9339545939560018E-5</v>
      </c>
      <c r="T64" s="47">
        <f>'Transmission Calculations'!L66*'Spectral Functions'!J64*'Spectral Functions'!M64*'Spectral Functions'!D64</f>
        <v>1.0523136751371891E-2</v>
      </c>
      <c r="U64" s="47">
        <f>'Transmission Calculations'!L66*'Spectral Functions'!J64*'Spectral Functions'!M64*'Spectral Functions'!E64</f>
        <v>7.4773407950310738E-3</v>
      </c>
      <c r="V64" s="47">
        <f>'Spectral Functions'!D64*'Spectral Functions'!J64*'Spectral Functions'!M64</f>
        <v>4.2376981304000007E-4</v>
      </c>
      <c r="Z64" s="13">
        <v>502</v>
      </c>
      <c r="AA64" s="47">
        <f>'Transmission Calculations'!L66*'Spectral Functions'!J64*'Spectral Functions'!L64*'Spectral Functions'!D64</f>
        <v>0</v>
      </c>
      <c r="AB64" s="47">
        <f>'Spectral Functions'!D64*'Spectral Functions'!J64*'Spectral Functions'!L64</f>
        <v>0</v>
      </c>
      <c r="AD64" s="42">
        <v>502</v>
      </c>
      <c r="AE64" s="152">
        <f>AF64*'Transmission Calculations'!L66</f>
        <v>0</v>
      </c>
      <c r="AF64" s="92"/>
      <c r="AO64" s="42">
        <v>502</v>
      </c>
      <c r="AP64" s="113">
        <f>'Transmission Calculations'!L66*'Spectral Functions'!K64*'Spectral Functions'!C64</f>
        <v>8.0480477314499996</v>
      </c>
      <c r="AQ64" s="113">
        <f>'Transmission Calculations'!L66*'Spectral Functions'!K64*'Spectral Functions'!D64</f>
        <v>947.96437533846006</v>
      </c>
      <c r="AR64" s="47">
        <f>'Transmission Calculations'!L66*'Spectral Functions'!K64*'Spectral Functions'!E64</f>
        <v>673.58743532723997</v>
      </c>
      <c r="AX64" s="116">
        <v>738</v>
      </c>
      <c r="AY64" s="47">
        <f>'Transmission Calculations'!L184*'Spectral Functions'!H182*'Spectral Functions'!D182</f>
        <v>2.0209737376470822</v>
      </c>
      <c r="AZ64" s="47">
        <f>'Spectral Functions'!H182*'Spectral Functions'!D182</f>
        <v>2.1399496299999998E-2</v>
      </c>
    </row>
    <row r="65" spans="1:52">
      <c r="A65" s="42">
        <v>504</v>
      </c>
      <c r="B65" s="88">
        <f>'Transmission Calculations'!L67*'Spectral Functions'!H65*'Spectral Functions'!C65</f>
        <v>6.0981840511124004</v>
      </c>
      <c r="C65" s="88">
        <f>'Transmission Calculations'!L67*'Spectral Functions'!H65*'Spectral Functions'!D65</f>
        <v>1061.6949342081593</v>
      </c>
      <c r="D65" s="88">
        <f>'Transmission Calculations'!L67*'Spectral Functions'!H65*'Spectral Functions'!E65</f>
        <v>609.41749587353274</v>
      </c>
      <c r="J65" s="13">
        <v>504</v>
      </c>
      <c r="K65" s="47">
        <f>'Transmission Calculations'!L67*'Spectral Functions'!J65*'Spectral Functions'!N65*'Spectral Functions'!C65</f>
        <v>2.1171909570854273</v>
      </c>
      <c r="L65" s="47">
        <f>'Transmission Calculations'!L67*'Spectral Functions'!J65*'Spectral Functions'!N65*'Spectral Functions'!D65</f>
        <v>368.60332437471908</v>
      </c>
      <c r="M65" s="47">
        <f>'Transmission Calculations'!L67*'Spectral Functions'!J65*'Spectral Functions'!N65*'Spectral Functions'!E65</f>
        <v>211.5799064998256</v>
      </c>
      <c r="N65" s="47">
        <f>'Spectral Functions'!D65*'Spectral Functions'!J65*'Spectral Functions'!N65</f>
        <v>14.695754551006848</v>
      </c>
      <c r="R65" s="13">
        <v>504</v>
      </c>
      <c r="S65" s="47">
        <f>'Transmission Calculations'!L67*'Spectral Functions'!J65*'Spectral Functions'!M65*'Spectral Functions'!C65</f>
        <v>1.3979009983727364E-4</v>
      </c>
      <c r="T65" s="47">
        <f>'Transmission Calculations'!L67*'Spectral Functions'!J65*'Spectral Functions'!M65*'Spectral Functions'!D65</f>
        <v>2.4337481388842834E-2</v>
      </c>
      <c r="U65" s="47">
        <f>'Transmission Calculations'!L67*'Spectral Functions'!J65*'Spectral Functions'!M65*'Spectral Functions'!E65</f>
        <v>1.3969819847467936E-2</v>
      </c>
      <c r="V65" s="47">
        <f>'Spectral Functions'!D65*'Spectral Functions'!J65*'Spectral Functions'!M65</f>
        <v>9.7030501145600018E-4</v>
      </c>
      <c r="Z65" s="13">
        <v>504</v>
      </c>
      <c r="AA65" s="47">
        <f>'Transmission Calculations'!L67*'Spectral Functions'!J65*'Spectral Functions'!L65*'Spectral Functions'!D65</f>
        <v>0</v>
      </c>
      <c r="AB65" s="47">
        <f>'Spectral Functions'!D65*'Spectral Functions'!J65*'Spectral Functions'!L65</f>
        <v>0</v>
      </c>
      <c r="AD65" s="42">
        <v>504</v>
      </c>
      <c r="AE65" s="152">
        <f>AF65*'Transmission Calculations'!L67</f>
        <v>0</v>
      </c>
      <c r="AF65" s="92"/>
      <c r="AO65" s="42">
        <v>504</v>
      </c>
      <c r="AP65" s="113">
        <f>'Transmission Calculations'!L67*'Spectral Functions'!K65*'Spectral Functions'!C65</f>
        <v>6.0570744624000001</v>
      </c>
      <c r="AQ65" s="113">
        <f>'Transmission Calculations'!L67*'Spectral Functions'!K65*'Spectral Functions'!D65</f>
        <v>1054.5377474592001</v>
      </c>
      <c r="AR65" s="47">
        <f>'Transmission Calculations'!L67*'Spectral Functions'!K65*'Spectral Functions'!E65</f>
        <v>605.30923964520002</v>
      </c>
      <c r="AX65" s="116">
        <v>740</v>
      </c>
      <c r="AY65" s="47">
        <f>'Transmission Calculations'!L185*'Spectral Functions'!H183*'Spectral Functions'!D183</f>
        <v>1.786895107189209</v>
      </c>
      <c r="AZ65" s="47">
        <f>'Spectral Functions'!H183*'Spectral Functions'!D183</f>
        <v>1.8696662999999999E-2</v>
      </c>
    </row>
    <row r="66" spans="1:52">
      <c r="A66" s="42">
        <v>506</v>
      </c>
      <c r="B66" s="88">
        <f>'Transmission Calculations'!L68*'Spectral Functions'!H66*'Spectral Functions'!C66</f>
        <v>8.0087760665230512</v>
      </c>
      <c r="C66" s="88">
        <f>'Transmission Calculations'!L68*'Spectral Functions'!H66*'Spectral Functions'!D66</f>
        <v>1165.3932845108397</v>
      </c>
      <c r="D66" s="88">
        <f>'Transmission Calculations'!L68*'Spectral Functions'!H66*'Spectral Functions'!E66</f>
        <v>550.80939231670959</v>
      </c>
      <c r="J66" s="13">
        <v>506</v>
      </c>
      <c r="K66" s="47">
        <f>'Transmission Calculations'!L68*'Spectral Functions'!J66*'Spectral Functions'!N66*'Spectral Functions'!C66</f>
        <v>2.8109394430293957</v>
      </c>
      <c r="L66" s="47">
        <f>'Transmission Calculations'!L68*'Spectral Functions'!J66*'Spectral Functions'!N66*'Spectral Functions'!D66</f>
        <v>409.03253167063303</v>
      </c>
      <c r="M66" s="47">
        <f>'Transmission Calculations'!L68*'Spectral Functions'!J66*'Spectral Functions'!N66*'Spectral Functions'!E66</f>
        <v>193.32440232983947</v>
      </c>
      <c r="N66" s="47">
        <f>'Spectral Functions'!D66*'Spectral Functions'!J66*'Spectral Functions'!N66</f>
        <v>16.197164386029897</v>
      </c>
      <c r="R66" s="13">
        <v>506</v>
      </c>
      <c r="S66" s="47">
        <f>'Transmission Calculations'!L68*'Spectral Functions'!J66*'Spectral Functions'!M66*'Spectral Functions'!C66</f>
        <v>2.8166666652487357E-4</v>
      </c>
      <c r="T66" s="47">
        <f>'Transmission Calculations'!L68*'Spectral Functions'!J66*'Spectral Functions'!M66*'Spectral Functions'!D66</f>
        <v>4.0986592571959635E-2</v>
      </c>
      <c r="U66" s="47">
        <f>'Transmission Calculations'!L68*'Spectral Functions'!J66*'Spectral Functions'!M66*'Spectral Functions'!E66</f>
        <v>1.9371829619877705E-2</v>
      </c>
      <c r="V66" s="47">
        <f>'Spectral Functions'!D66*'Spectral Functions'!J66*'Spectral Functions'!M66</f>
        <v>1.6230165723000003E-3</v>
      </c>
      <c r="Z66" s="13">
        <v>506</v>
      </c>
      <c r="AA66" s="47">
        <f>'Transmission Calculations'!L68*'Spectral Functions'!J66*'Spectral Functions'!L66*'Spectral Functions'!D66</f>
        <v>0</v>
      </c>
      <c r="AB66" s="47">
        <f>'Spectral Functions'!D66*'Spectral Functions'!J66*'Spectral Functions'!L66</f>
        <v>0</v>
      </c>
      <c r="AD66" s="42">
        <v>506</v>
      </c>
      <c r="AE66" s="152">
        <f>AF66*'Transmission Calculations'!L68</f>
        <v>0</v>
      </c>
      <c r="AF66" s="92"/>
      <c r="AO66" s="42">
        <v>506</v>
      </c>
      <c r="AP66" s="113">
        <f>'Transmission Calculations'!L68*'Spectral Functions'!K66*'Spectral Functions'!C66</f>
        <v>7.8327533281140003</v>
      </c>
      <c r="AQ66" s="113">
        <f>'Transmission Calculations'!L68*'Spectral Functions'!K66*'Spectral Functions'!D66</f>
        <v>1139.7794184769784</v>
      </c>
      <c r="AR66" s="47">
        <f>'Transmission Calculations'!L68*'Spectral Functions'!K66*'Spectral Functions'!E66</f>
        <v>538.70330060285983</v>
      </c>
      <c r="AX66" s="116">
        <v>742</v>
      </c>
      <c r="AY66" s="47">
        <f>'Transmission Calculations'!L186*'Spectral Functions'!H184*'Spectral Functions'!D184</f>
        <v>1.4914902099370351</v>
      </c>
      <c r="AZ66" s="47">
        <f>'Spectral Functions'!H184*'Spectral Functions'!D184</f>
        <v>1.56494415E-2</v>
      </c>
    </row>
    <row r="67" spans="1:52">
      <c r="A67" s="42">
        <v>508</v>
      </c>
      <c r="B67" s="88">
        <f>'Transmission Calculations'!L69*'Spectral Functions'!H67*'Spectral Functions'!C67</f>
        <v>14.123920394181599</v>
      </c>
      <c r="C67" s="88">
        <f>'Transmission Calculations'!L69*'Spectral Functions'!H67*'Spectral Functions'!D67</f>
        <v>1264.7226989645194</v>
      </c>
      <c r="D67" s="88">
        <f>'Transmission Calculations'!L69*'Spectral Functions'!H67*'Spectral Functions'!E67</f>
        <v>489.15161983520721</v>
      </c>
      <c r="J67" s="13">
        <v>508</v>
      </c>
      <c r="K67" s="47">
        <f>'Transmission Calculations'!L69*'Spectral Functions'!J67*'Spectral Functions'!N67*'Spectral Functions'!C67</f>
        <v>5.009712002363484</v>
      </c>
      <c r="L67" s="47">
        <f>'Transmission Calculations'!L69*'Spectral Functions'!J67*'Spectral Functions'!N67*'Spectral Functions'!D67</f>
        <v>448.59333016873899</v>
      </c>
      <c r="M67" s="47">
        <f>'Transmission Calculations'!L69*'Spectral Functions'!J67*'Spectral Functions'!N67*'Spectral Functions'!E67</f>
        <v>173.50060553112954</v>
      </c>
      <c r="N67" s="47">
        <f>'Spectral Functions'!D67*'Spectral Functions'!J67*'Spectral Functions'!N67</f>
        <v>17.76977000159712</v>
      </c>
      <c r="R67" s="13">
        <v>508</v>
      </c>
      <c r="S67" s="47">
        <f>'Transmission Calculations'!L69*'Spectral Functions'!J67*'Spectral Functions'!M67*'Spectral Functions'!C67</f>
        <v>6.7728556492560718E-4</v>
      </c>
      <c r="T67" s="47">
        <f>'Transmission Calculations'!L69*'Spectral Functions'!J67*'Spectral Functions'!M67*'Spectral Functions'!D67</f>
        <v>6.0647355956161698E-2</v>
      </c>
      <c r="U67" s="47">
        <f>'Transmission Calculations'!L69*'Spectral Functions'!J67*'Spectral Functions'!M67*'Spectral Functions'!E67</f>
        <v>2.3456329540829362E-2</v>
      </c>
      <c r="V67" s="47">
        <f>'Spectral Functions'!D67*'Spectral Functions'!J67*'Spectral Functions'!M67</f>
        <v>2.4023753677759998E-3</v>
      </c>
      <c r="Z67" s="13">
        <v>508</v>
      </c>
      <c r="AA67" s="47">
        <f>'Transmission Calculations'!L69*'Spectral Functions'!J67*'Spectral Functions'!L67*'Spectral Functions'!D67</f>
        <v>0</v>
      </c>
      <c r="AB67" s="47">
        <f>'Spectral Functions'!D67*'Spectral Functions'!J67*'Spectral Functions'!L67</f>
        <v>0</v>
      </c>
      <c r="AD67" s="42">
        <v>508</v>
      </c>
      <c r="AE67" s="152">
        <f>AF67*'Transmission Calculations'!L69</f>
        <v>0</v>
      </c>
      <c r="AF67" s="92"/>
      <c r="AO67" s="42">
        <v>508</v>
      </c>
      <c r="AP67" s="113">
        <f>'Transmission Calculations'!L69*'Spectral Functions'!K67*'Spectral Functions'!C67</f>
        <v>13.608931362493502</v>
      </c>
      <c r="AQ67" s="113">
        <f>'Transmission Calculations'!L69*'Spectral Functions'!K67*'Spectral Functions'!D67</f>
        <v>1218.6081429548433</v>
      </c>
      <c r="AR67" s="47">
        <f>'Transmission Calculations'!L69*'Spectral Functions'!K67*'Spectral Functions'!E67</f>
        <v>471.31608182471456</v>
      </c>
      <c r="AX67" s="116">
        <v>744</v>
      </c>
      <c r="AY67" s="47">
        <f>'Transmission Calculations'!L187*'Spectral Functions'!H185*'Spectral Functions'!D185</f>
        <v>1.2403985048491539</v>
      </c>
      <c r="AZ67" s="47">
        <f>'Spectral Functions'!H185*'Spectral Functions'!D185</f>
        <v>1.30405205E-2</v>
      </c>
    </row>
    <row r="68" spans="1:52">
      <c r="A68" s="42">
        <v>510</v>
      </c>
      <c r="B68" s="88">
        <f>'Transmission Calculations'!L70*'Spectral Functions'!H68*'Spectral Functions'!C68</f>
        <v>25.437204533518202</v>
      </c>
      <c r="C68" s="88">
        <f>'Transmission Calculations'!L70*'Spectral Functions'!H68*'Spectral Functions'!D68</f>
        <v>1375.7971914365221</v>
      </c>
      <c r="D68" s="88">
        <f>'Transmission Calculations'!L70*'Spectral Functions'!H68*'Spectral Functions'!E68</f>
        <v>432.70599539812684</v>
      </c>
      <c r="J68" s="13">
        <v>510</v>
      </c>
      <c r="K68" s="47">
        <f>'Transmission Calculations'!L70*'Spectral Functions'!J68*'Spectral Functions'!N68*'Spectral Functions'!C68</f>
        <v>9.1145920703329857</v>
      </c>
      <c r="L68" s="47">
        <f>'Transmission Calculations'!L70*'Spectral Functions'!J68*'Spectral Functions'!N68*'Spectral Functions'!D68</f>
        <v>492.97202272876262</v>
      </c>
      <c r="M68" s="47">
        <f>'Transmission Calculations'!L70*'Spectral Functions'!J68*'Spectral Functions'!N68*'Spectral Functions'!E68</f>
        <v>155.04607156200845</v>
      </c>
      <c r="N68" s="47">
        <f>'Spectral Functions'!D68*'Spectral Functions'!J68*'Spectral Functions'!N68</f>
        <v>19.429546210350004</v>
      </c>
      <c r="R68" s="13">
        <v>510</v>
      </c>
      <c r="S68" s="47">
        <f>'Transmission Calculations'!L70*'Spectral Functions'!J68*'Spectral Functions'!M68*'Spectral Functions'!C68</f>
        <v>1.5588493364687851E-3</v>
      </c>
      <c r="T68" s="47">
        <f>'Transmission Calculations'!L70*'Spectral Functions'!J68*'Spectral Functions'!M68*'Spectral Functions'!D68</f>
        <v>8.4311958735892367E-2</v>
      </c>
      <c r="U68" s="47">
        <f>'Transmission Calculations'!L70*'Spectral Functions'!J68*'Spectral Functions'!M68*'Spectral Functions'!E68</f>
        <v>2.6517200540791593E-2</v>
      </c>
      <c r="V68" s="47">
        <f>'Spectral Functions'!D68*'Spectral Functions'!J68*'Spectral Functions'!M68</f>
        <v>3.3229940500000008E-3</v>
      </c>
      <c r="Z68" s="13">
        <v>510</v>
      </c>
      <c r="AA68" s="47">
        <f>'Transmission Calculations'!L70*'Spectral Functions'!J68*'Spectral Functions'!L68*'Spectral Functions'!D68</f>
        <v>0</v>
      </c>
      <c r="AB68" s="47">
        <f>'Spectral Functions'!D68*'Spectral Functions'!J68*'Spectral Functions'!L68</f>
        <v>0</v>
      </c>
      <c r="AD68" s="42">
        <v>510</v>
      </c>
      <c r="AE68" s="152">
        <f>AF68*'Transmission Calculations'!L70</f>
        <v>331.26057907199998</v>
      </c>
      <c r="AF68" s="92">
        <v>13.055999999999999</v>
      </c>
      <c r="AO68" s="42">
        <v>510</v>
      </c>
      <c r="AP68" s="113">
        <f>'Transmission Calculations'!L70*'Spectral Functions'!K68*'Spectral Functions'!C68</f>
        <v>24.138940128929999</v>
      </c>
      <c r="AQ68" s="113">
        <f>'Transmission Calculations'!L70*'Spectral Functions'!K68*'Spectral Functions'!D68</f>
        <v>1305.5792349302999</v>
      </c>
      <c r="AR68" s="47">
        <f>'Transmission Calculations'!L70*'Spectral Functions'!K68*'Spectral Functions'!E68</f>
        <v>410.62154068782002</v>
      </c>
      <c r="AX68" s="116">
        <v>746</v>
      </c>
      <c r="AY68" s="47">
        <f>'Transmission Calculations'!L188*'Spectral Functions'!H186*'Spectral Functions'!D186</f>
        <v>1.0492479541765123</v>
      </c>
      <c r="AZ68" s="47">
        <f>'Spectral Functions'!H186*'Spectral Functions'!D186</f>
        <v>1.0910464E-2</v>
      </c>
    </row>
    <row r="69" spans="1:52">
      <c r="A69" s="42">
        <v>512</v>
      </c>
      <c r="B69" s="88">
        <f>'Transmission Calculations'!L71*'Spectral Functions'!H69*'Spectral Functions'!C69</f>
        <v>42.911348460623422</v>
      </c>
      <c r="C69" s="88">
        <f>'Transmission Calculations'!L71*'Spectral Functions'!H69*'Spectral Functions'!D69</f>
        <v>1503.9742644819119</v>
      </c>
      <c r="D69" s="88">
        <f>'Transmission Calculations'!L71*'Spectral Functions'!H69*'Spectral Functions'!E69</f>
        <v>382.20267472883796</v>
      </c>
      <c r="J69" s="13">
        <v>512</v>
      </c>
      <c r="K69" s="47">
        <f>'Transmission Calculations'!L71*'Spectral Functions'!J69*'Spectral Functions'!N69*'Spectral Functions'!C69</f>
        <v>15.439700048190394</v>
      </c>
      <c r="L69" s="47">
        <f>'Transmission Calculations'!L71*'Spectral Functions'!J69*'Spectral Functions'!N69*'Spectral Functions'!D69</f>
        <v>541.13684041196245</v>
      </c>
      <c r="M69" s="47">
        <f>'Transmission Calculations'!L71*'Spectral Functions'!J69*'Spectral Functions'!N69*'Spectral Functions'!E69</f>
        <v>137.51827586691516</v>
      </c>
      <c r="N69" s="47">
        <f>'Spectral Functions'!D69*'Spectral Functions'!J69*'Spectral Functions'!N69</f>
        <v>21.002204651016193</v>
      </c>
      <c r="R69" s="13">
        <v>512</v>
      </c>
      <c r="S69" s="47">
        <f>'Transmission Calculations'!L71*'Spectral Functions'!J69*'Spectral Functions'!M69*'Spectral Functions'!C69</f>
        <v>3.77340619849636E-3</v>
      </c>
      <c r="T69" s="47">
        <f>'Transmission Calculations'!L71*'Spectral Functions'!J69*'Spectral Functions'!M69*'Spectral Functions'!D69</f>
        <v>0.13225186379735132</v>
      </c>
      <c r="U69" s="47">
        <f>'Transmission Calculations'!L71*'Spectral Functions'!J69*'Spectral Functions'!M69*'Spectral Functions'!E69</f>
        <v>3.3608963447678449E-2</v>
      </c>
      <c r="V69" s="47">
        <f>'Spectral Functions'!D69*'Spectral Functions'!J69*'Spectral Functions'!M69</f>
        <v>5.1328619704320002E-3</v>
      </c>
      <c r="Z69" s="13">
        <v>512</v>
      </c>
      <c r="AA69" s="47">
        <f>'Transmission Calculations'!L71*'Spectral Functions'!J69*'Spectral Functions'!L69*'Spectral Functions'!D69</f>
        <v>0</v>
      </c>
      <c r="AB69" s="47">
        <f>'Spectral Functions'!D69*'Spectral Functions'!J69*'Spectral Functions'!L69</f>
        <v>0</v>
      </c>
      <c r="AD69" s="42">
        <v>512</v>
      </c>
      <c r="AE69" s="152">
        <f>AF69*'Transmission Calculations'!L71</f>
        <v>0</v>
      </c>
      <c r="AF69" s="92"/>
      <c r="AO69" s="42">
        <v>512</v>
      </c>
      <c r="AP69" s="113">
        <f>'Transmission Calculations'!L71*'Spectral Functions'!K69*'Spectral Functions'!C69</f>
        <v>40.389882924998403</v>
      </c>
      <c r="AQ69" s="113">
        <f>'Transmission Calculations'!L71*'Spectral Functions'!K69*'Spectral Functions'!D69</f>
        <v>1415.6009224547331</v>
      </c>
      <c r="AR69" s="47">
        <f>'Transmission Calculations'!L71*'Spectral Functions'!K69*'Spectral Functions'!E69</f>
        <v>359.74449276709447</v>
      </c>
      <c r="AX69" s="116">
        <v>748</v>
      </c>
      <c r="AY69" s="47">
        <f>'Transmission Calculations'!L189*'Spectral Functions'!H187*'Spectral Functions'!D187</f>
        <v>0.85631804014040136</v>
      </c>
      <c r="AZ69" s="47">
        <f>'Spectral Functions'!H187*'Spectral Functions'!D187</f>
        <v>9.0930407999999987E-3</v>
      </c>
    </row>
    <row r="70" spans="1:52">
      <c r="A70" s="42">
        <v>514</v>
      </c>
      <c r="B70" s="88">
        <f>'Transmission Calculations'!L72*'Spectral Functions'!H70*'Spectral Functions'!C70</f>
        <v>67.197306290807873</v>
      </c>
      <c r="C70" s="88">
        <f>'Transmission Calculations'!L72*'Spectral Functions'!H70*'Spectral Functions'!D70</f>
        <v>1643.9155956730731</v>
      </c>
      <c r="D70" s="88">
        <f>'Transmission Calculations'!L72*'Spectral Functions'!H70*'Spectral Functions'!E70</f>
        <v>336.29460896381261</v>
      </c>
      <c r="J70" s="13">
        <v>514</v>
      </c>
      <c r="K70" s="47">
        <f>'Transmission Calculations'!L72*'Spectral Functions'!J70*'Spectral Functions'!N70*'Spectral Functions'!C70</f>
        <v>24.262913231074055</v>
      </c>
      <c r="L70" s="47">
        <f>'Transmission Calculations'!L72*'Spectral Functions'!J70*'Spectral Functions'!N70*'Spectral Functions'!D70</f>
        <v>593.56816007491284</v>
      </c>
      <c r="M70" s="47">
        <f>'Transmission Calculations'!L72*'Spectral Functions'!J70*'Spectral Functions'!N70*'Spectral Functions'!E70</f>
        <v>121.42580361860615</v>
      </c>
      <c r="N70" s="47">
        <f>'Spectral Functions'!D70*'Spectral Functions'!J70*'Spectral Functions'!N70</f>
        <v>22.59166653440214</v>
      </c>
      <c r="R70" s="13">
        <v>514</v>
      </c>
      <c r="S70" s="47">
        <f>'Transmission Calculations'!L72*'Spectral Functions'!J70*'Spectral Functions'!M70*'Spectral Functions'!C70</f>
        <v>7.7851694919486075E-3</v>
      </c>
      <c r="T70" s="47">
        <f>'Transmission Calculations'!L72*'Spectral Functions'!J70*'Spectral Functions'!M70*'Spectral Functions'!D70</f>
        <v>0.19045646692125259</v>
      </c>
      <c r="U70" s="47">
        <f>'Transmission Calculations'!L72*'Spectral Functions'!J70*'Spectral Functions'!M70*'Spectral Functions'!E70</f>
        <v>3.89615398968753E-2</v>
      </c>
      <c r="V70" s="47">
        <f>'Spectral Functions'!D70*'Spectral Functions'!J70*'Spectral Functions'!M70</f>
        <v>7.2489214877399987E-3</v>
      </c>
      <c r="Z70" s="13">
        <v>514</v>
      </c>
      <c r="AA70" s="47">
        <f>'Transmission Calculations'!L72*'Spectral Functions'!J70*'Spectral Functions'!L70*'Spectral Functions'!D70</f>
        <v>0</v>
      </c>
      <c r="AB70" s="47">
        <f>'Spectral Functions'!D70*'Spectral Functions'!J70*'Spectral Functions'!L70</f>
        <v>0</v>
      </c>
      <c r="AD70" s="42">
        <v>514</v>
      </c>
      <c r="AE70" s="152">
        <f>AF70*'Transmission Calculations'!L72</f>
        <v>0</v>
      </c>
      <c r="AF70" s="92"/>
      <c r="AO70" s="42">
        <v>514</v>
      </c>
      <c r="AP70" s="113">
        <f>'Transmission Calculations'!L72*'Spectral Functions'!K70*'Spectral Functions'!C70</f>
        <v>62.729757394657376</v>
      </c>
      <c r="AQ70" s="113">
        <f>'Transmission Calculations'!L72*'Spectral Functions'!K70*'Spectral Functions'!D70</f>
        <v>1534.6214332995066</v>
      </c>
      <c r="AR70" s="47">
        <f>'Transmission Calculations'!L72*'Spectral Functions'!K70*'Spectral Functions'!E70</f>
        <v>313.93638224329948</v>
      </c>
      <c r="AX70" s="116">
        <v>750</v>
      </c>
      <c r="AY70" s="47">
        <f>'Transmission Calculations'!L190*'Spectral Functions'!H188*'Spectral Functions'!D188</f>
        <v>0.72574567796799616</v>
      </c>
      <c r="AZ70" s="47">
        <f>'Spectral Functions'!H188*'Spectral Functions'!D188</f>
        <v>7.6311240000000004E-3</v>
      </c>
    </row>
    <row r="71" spans="1:52">
      <c r="A71" s="42">
        <v>516</v>
      </c>
      <c r="B71" s="88">
        <f>'Transmission Calculations'!L73*'Spectral Functions'!H71*'Spectral Functions'!C71</f>
        <v>99.805435989128895</v>
      </c>
      <c r="C71" s="88">
        <f>'Transmission Calculations'!L73*'Spectral Functions'!H71*'Spectral Functions'!D71</f>
        <v>1804.1692350427779</v>
      </c>
      <c r="D71" s="88">
        <f>'Transmission Calculations'!L73*'Spectral Functions'!H71*'Spectral Functions'!E71</f>
        <v>297.86827018384139</v>
      </c>
      <c r="J71" s="13">
        <v>516</v>
      </c>
      <c r="K71" s="47">
        <f>'Transmission Calculations'!L73*'Spectral Functions'!J71*'Spectral Functions'!N71*'Spectral Functions'!C71</f>
        <v>36.140486425061241</v>
      </c>
      <c r="L71" s="47">
        <f>'Transmission Calculations'!L73*'Spectral Functions'!J71*'Spectral Functions'!N71*'Spectral Functions'!D71</f>
        <v>653.30663707214103</v>
      </c>
      <c r="M71" s="47">
        <f>'Transmission Calculations'!L73*'Spectral Functions'!J71*'Spectral Functions'!N71*'Spectral Functions'!E71</f>
        <v>107.86090024403241</v>
      </c>
      <c r="N71" s="47">
        <f>'Spectral Functions'!D71*'Spectral Functions'!J71*'Spectral Functions'!N71</f>
        <v>24.155423320773888</v>
      </c>
      <c r="R71" s="13">
        <v>516</v>
      </c>
      <c r="S71" s="47">
        <f>'Transmission Calculations'!L73*'Spectral Functions'!J71*'Spectral Functions'!M71*'Spectral Functions'!C71</f>
        <v>1.4479361548502096E-2</v>
      </c>
      <c r="T71" s="47">
        <f>'Transmission Calculations'!L73*'Spectral Functions'!J71*'Spectral Functions'!M71*'Spectral Functions'!D71</f>
        <v>0.26174144113467185</v>
      </c>
      <c r="U71" s="47">
        <f>'Transmission Calculations'!L73*'Spectral Functions'!J71*'Spectral Functions'!M71*'Spectral Functions'!E71</f>
        <v>4.3213501700333487E-2</v>
      </c>
      <c r="V71" s="47">
        <f>'Spectral Functions'!D71*'Spectral Functions'!J71*'Spectral Functions'!M71</f>
        <v>9.6776535740279983E-3</v>
      </c>
      <c r="Z71" s="13">
        <v>516</v>
      </c>
      <c r="AA71" s="47">
        <f>'Transmission Calculations'!L73*'Spectral Functions'!J71*'Spectral Functions'!L71*'Spectral Functions'!D71</f>
        <v>0</v>
      </c>
      <c r="AB71" s="47">
        <f>'Spectral Functions'!D71*'Spectral Functions'!J71*'Spectral Functions'!L71</f>
        <v>0</v>
      </c>
      <c r="AD71" s="42">
        <v>516</v>
      </c>
      <c r="AE71" s="152">
        <f>AF71*'Transmission Calculations'!L73</f>
        <v>0</v>
      </c>
      <c r="AF71" s="92"/>
      <c r="AO71" s="42">
        <v>516</v>
      </c>
      <c r="AP71" s="113">
        <f>'Transmission Calculations'!L73*'Spectral Functions'!K71*'Spectral Functions'!C71</f>
        <v>92.682193163922449</v>
      </c>
      <c r="AQ71" s="113">
        <f>'Transmission Calculations'!L73*'Spectral Functions'!K71*'Spectral Functions'!D71</f>
        <v>1675.4033473773354</v>
      </c>
      <c r="AR71" s="47">
        <f>'Transmission Calculations'!L73*'Spectral Functions'!K71*'Spectral Functions'!E71</f>
        <v>276.60902716350313</v>
      </c>
      <c r="AX71" s="116">
        <v>752</v>
      </c>
      <c r="AY71" s="47">
        <f>'Transmission Calculations'!L191*'Spectral Functions'!H189*'Spectral Functions'!D189</f>
        <v>0.59887849524572156</v>
      </c>
      <c r="AZ71" s="47">
        <f>'Spectral Functions'!H189*'Spectral Functions'!D189</f>
        <v>6.2564112E-3</v>
      </c>
    </row>
    <row r="72" spans="1:52">
      <c r="A72" s="42">
        <v>518</v>
      </c>
      <c r="B72" s="88">
        <f>'Transmission Calculations'!L74*'Spectral Functions'!H72*'Spectral Functions'!C72</f>
        <v>141.97556456457022</v>
      </c>
      <c r="C72" s="88">
        <f>'Transmission Calculations'!L74*'Spectral Functions'!H72*'Spectral Functions'!D72</f>
        <v>1984.9506486872158</v>
      </c>
      <c r="D72" s="88">
        <f>'Transmission Calculations'!L74*'Spectral Functions'!H72*'Spectral Functions'!E72</f>
        <v>266.23709963975665</v>
      </c>
      <c r="J72" s="13">
        <v>518</v>
      </c>
      <c r="K72" s="47">
        <f>'Transmission Calculations'!L74*'Spectral Functions'!J72*'Spectral Functions'!N72*'Spectral Functions'!C72</f>
        <v>51.525578892730408</v>
      </c>
      <c r="L72" s="47">
        <f>'Transmission Calculations'!L74*'Spectral Functions'!J72*'Spectral Functions'!N72*'Spectral Functions'!D72</f>
        <v>720.37559111515088</v>
      </c>
      <c r="M72" s="47">
        <f>'Transmission Calculations'!L74*'Spectral Functions'!J72*'Spectral Functions'!N72*'Spectral Functions'!E72</f>
        <v>96.622406283308536</v>
      </c>
      <c r="N72" s="47">
        <f>'Spectral Functions'!D72*'Spectral Functions'!J72*'Spectral Functions'!N72</f>
        <v>25.660110950440504</v>
      </c>
      <c r="R72" s="13">
        <v>518</v>
      </c>
      <c r="S72" s="47">
        <f>'Transmission Calculations'!L74*'Spectral Functions'!J72*'Spectral Functions'!M72*'Spectral Functions'!C72</f>
        <v>2.4935134780385483E-2</v>
      </c>
      <c r="T72" s="47">
        <f>'Transmission Calculations'!L74*'Spectral Functions'!J72*'Spectral Functions'!M72*'Spectral Functions'!D72</f>
        <v>0.34861641233283552</v>
      </c>
      <c r="U72" s="47">
        <f>'Transmission Calculations'!L74*'Spectral Functions'!J72*'Spectral Functions'!M72*'Spectral Functions'!E72</f>
        <v>4.6759158756766214E-2</v>
      </c>
      <c r="V72" s="47">
        <f>'Spectral Functions'!D72*'Spectral Functions'!J72*'Spectral Functions'!M72</f>
        <v>1.2417877465499999E-2</v>
      </c>
      <c r="Z72" s="13">
        <v>518</v>
      </c>
      <c r="AA72" s="47">
        <f>'Transmission Calculations'!L74*'Spectral Functions'!J72*'Spectral Functions'!L72*'Spectral Functions'!D72</f>
        <v>0</v>
      </c>
      <c r="AB72" s="47">
        <f>'Spectral Functions'!D72*'Spectral Functions'!J72*'Spectral Functions'!L72</f>
        <v>0</v>
      </c>
      <c r="AD72" s="42">
        <v>518</v>
      </c>
      <c r="AE72" s="152">
        <f>AF72*'Transmission Calculations'!L74</f>
        <v>0</v>
      </c>
      <c r="AF72" s="92"/>
      <c r="AO72" s="42">
        <v>518</v>
      </c>
      <c r="AP72" s="113">
        <f>'Transmission Calculations'!L74*'Spectral Functions'!K72*'Spectral Functions'!C72</f>
        <v>131.55964053605518</v>
      </c>
      <c r="AQ72" s="113">
        <f>'Transmission Calculations'!L74*'Spectral Functions'!K72*'Spectral Functions'!D72</f>
        <v>1839.3263279071798</v>
      </c>
      <c r="AR72" s="47">
        <f>'Transmission Calculations'!L74*'Spectral Functions'!K72*'Spectral Functions'!E72</f>
        <v>246.70482722425453</v>
      </c>
      <c r="AX72" s="116">
        <v>754</v>
      </c>
      <c r="AY72" s="47">
        <f>'Transmission Calculations'!L192*'Spectral Functions'!H190*'Spectral Functions'!D190</f>
        <v>0.49307568023952419</v>
      </c>
      <c r="AZ72" s="47">
        <f>'Spectral Functions'!H190*'Spectral Functions'!D190</f>
        <v>5.1617839000000004E-3</v>
      </c>
    </row>
    <row r="73" spans="1:52">
      <c r="A73" s="42">
        <v>520</v>
      </c>
      <c r="B73" s="88">
        <f>'Transmission Calculations'!L75*'Spectral Functions'!H73*'Spectral Functions'!C73</f>
        <v>192.25473013668605</v>
      </c>
      <c r="C73" s="88">
        <f>'Transmission Calculations'!L75*'Spectral Functions'!H73*'Spectral Functions'!D73</f>
        <v>2157.4341456780003</v>
      </c>
      <c r="D73" s="88">
        <f>'Transmission Calculations'!L75*'Spectral Functions'!H73*'Spectral Functions'!E73</f>
        <v>237.77355197085004</v>
      </c>
      <c r="J73" s="13">
        <v>520</v>
      </c>
      <c r="K73" s="47">
        <f>'Transmission Calculations'!L75*'Spectral Functions'!J73*'Spectral Functions'!N73*'Spectral Functions'!C73</f>
        <v>69.881256888989412</v>
      </c>
      <c r="L73" s="47">
        <f>'Transmission Calculations'!L75*'Spectral Functions'!J73*'Spectral Functions'!N73*'Spectral Functions'!D73</f>
        <v>784.18985919365377</v>
      </c>
      <c r="M73" s="47">
        <f>'Transmission Calculations'!L75*'Spectral Functions'!J73*'Spectral Functions'!N73*'Spectral Functions'!E73</f>
        <v>86.426558425216072</v>
      </c>
      <c r="N73" s="47">
        <f>'Spectral Functions'!D73*'Spectral Functions'!J73*'Spectral Functions'!N73</f>
        <v>27.043435560600003</v>
      </c>
      <c r="R73" s="13">
        <v>520</v>
      </c>
      <c r="S73" s="47">
        <f>'Transmission Calculations'!L75*'Spectral Functions'!J73*'Spectral Functions'!M73*'Spectral Functions'!C73</f>
        <v>3.9901745463831025E-2</v>
      </c>
      <c r="T73" s="47">
        <f>'Transmission Calculations'!L75*'Spectral Functions'!J73*'Spectral Functions'!M73*'Spectral Functions'!D73</f>
        <v>0.44776733490311404</v>
      </c>
      <c r="U73" s="47">
        <f>'Transmission Calculations'!L75*'Spectral Functions'!J73*'Spectral Functions'!M73*'Spectral Functions'!E73</f>
        <v>4.9349005572068554E-2</v>
      </c>
      <c r="V73" s="47">
        <f>'Spectral Functions'!D73*'Spectral Functions'!J73*'Spectral Functions'!M73</f>
        <v>1.5441626700000001E-2</v>
      </c>
      <c r="Z73" s="13">
        <v>520</v>
      </c>
      <c r="AA73" s="47">
        <f>'Transmission Calculations'!L75*'Spectral Functions'!J73*'Spectral Functions'!L73*'Spectral Functions'!D73</f>
        <v>0</v>
      </c>
      <c r="AB73" s="47">
        <f>'Spectral Functions'!D73*'Spectral Functions'!J73*'Spectral Functions'!L73</f>
        <v>0</v>
      </c>
      <c r="AD73" s="42">
        <v>520</v>
      </c>
      <c r="AE73" s="152">
        <f>AF73*'Transmission Calculations'!L75</f>
        <v>372.21958234600004</v>
      </c>
      <c r="AF73" s="92">
        <v>12.8363</v>
      </c>
      <c r="AO73" s="42">
        <v>520</v>
      </c>
      <c r="AP73" s="113">
        <f>'Transmission Calculations'!L75*'Spectral Functions'!K73*'Spectral Functions'!C73</f>
        <v>177.77920937346002</v>
      </c>
      <c r="AQ73" s="113">
        <f>'Transmission Calculations'!L75*'Spectral Functions'!K73*'Spectral Functions'!D73</f>
        <v>1994.9934985800001</v>
      </c>
      <c r="AR73" s="47">
        <f>'Transmission Calculations'!L75*'Spectral Functions'!K73*'Spectral Functions'!E73</f>
        <v>219.87076234350002</v>
      </c>
      <c r="AX73" s="116">
        <v>756</v>
      </c>
      <c r="AY73" s="47">
        <f>'Transmission Calculations'!L193*'Spectral Functions'!H191*'Spectral Functions'!D191</f>
        <v>0.39438705420844794</v>
      </c>
      <c r="AZ73" s="47">
        <f>'Spectral Functions'!H191*'Spectral Functions'!D191</f>
        <v>4.1307519999999997E-3</v>
      </c>
    </row>
    <row r="74" spans="1:52">
      <c r="A74" s="42">
        <v>522</v>
      </c>
      <c r="B74" s="88">
        <f>'Transmission Calculations'!L76*'Spectral Functions'!H74*'Spectral Functions'!C74</f>
        <v>253.85058354320321</v>
      </c>
      <c r="C74" s="88">
        <f>'Transmission Calculations'!L76*'Spectral Functions'!H74*'Spectral Functions'!D74</f>
        <v>2351.8738213125503</v>
      </c>
      <c r="D74" s="88">
        <f>'Transmission Calculations'!L76*'Spectral Functions'!H74*'Spectral Functions'!E74</f>
        <v>216.67309259750081</v>
      </c>
      <c r="J74" s="13">
        <v>522</v>
      </c>
      <c r="K74" s="47">
        <f>'Transmission Calculations'!L76*'Spectral Functions'!J74*'Spectral Functions'!N74*'Spectral Functions'!C74</f>
        <v>90.677381508323577</v>
      </c>
      <c r="L74" s="47">
        <f>'Transmission Calculations'!L76*'Spectral Functions'!J74*'Spectral Functions'!N74*'Spectral Functions'!D74</f>
        <v>840.10742373693074</v>
      </c>
      <c r="M74" s="47">
        <f>'Transmission Calculations'!L76*'Spectral Functions'!J74*'Spectral Functions'!N74*'Spectral Functions'!E74</f>
        <v>77.397295707646421</v>
      </c>
      <c r="N74" s="47">
        <f>'Spectral Functions'!D74*'Spectral Functions'!J74*'Spectral Functions'!N74</f>
        <v>28.058500629797088</v>
      </c>
      <c r="R74" s="13">
        <v>522</v>
      </c>
      <c r="S74" s="47">
        <f>'Transmission Calculations'!L76*'Spectral Functions'!J74*'Spectral Functions'!M74*'Spectral Functions'!C74</f>
        <v>0.49076314409556254</v>
      </c>
      <c r="T74" s="47">
        <f>'Transmission Calculations'!L76*'Spectral Functions'!J74*'Spectral Functions'!M74*'Spectral Functions'!D74</f>
        <v>4.5468203182875699</v>
      </c>
      <c r="U74" s="47">
        <f>'Transmission Calculations'!L76*'Spectral Functions'!J74*'Spectral Functions'!M74*'Spectral Functions'!E74</f>
        <v>0.41888880726547989</v>
      </c>
      <c r="V74" s="47">
        <f>'Spectral Functions'!D74*'Spectral Functions'!J74*'Spectral Functions'!M74</f>
        <v>0.15185791383292799</v>
      </c>
      <c r="Z74" s="13">
        <v>522</v>
      </c>
      <c r="AA74" s="47">
        <f>'Transmission Calculations'!L76*'Spectral Functions'!J74*'Spectral Functions'!L74*'Spectral Functions'!D74</f>
        <v>0</v>
      </c>
      <c r="AB74" s="47">
        <f>'Spectral Functions'!D74*'Spectral Functions'!J74*'Spectral Functions'!L74</f>
        <v>0</v>
      </c>
      <c r="AD74" s="42">
        <v>522</v>
      </c>
      <c r="AE74" s="152">
        <f>AF74*'Transmission Calculations'!L76</f>
        <v>0</v>
      </c>
      <c r="AF74" s="92"/>
      <c r="AO74" s="42">
        <v>522</v>
      </c>
      <c r="AP74" s="113">
        <f>'Transmission Calculations'!L76*'Spectral Functions'!K74*'Spectral Functions'!C74</f>
        <v>233.32475103121595</v>
      </c>
      <c r="AQ74" s="113">
        <f>'Transmission Calculations'!L76*'Spectral Functions'!K74*'Spectral Functions'!D74</f>
        <v>2161.7061743771515</v>
      </c>
      <c r="AR74" s="47">
        <f>'Transmission Calculations'!L76*'Spectral Functions'!K74*'Spectral Functions'!E74</f>
        <v>199.15335501630395</v>
      </c>
      <c r="AX74" s="116">
        <v>758</v>
      </c>
      <c r="AY74" s="47">
        <f>'Transmission Calculations'!L194*'Spectral Functions'!H192*'Spectral Functions'!D192</f>
        <v>0.32668887270524666</v>
      </c>
      <c r="AZ74" s="47">
        <f>'Spectral Functions'!H192*'Spectral Functions'!D192</f>
        <v>3.4398638999999995E-3</v>
      </c>
    </row>
    <row r="75" spans="1:52">
      <c r="A75" s="42">
        <v>524</v>
      </c>
      <c r="B75" s="88">
        <f>'Transmission Calculations'!L77*'Spectral Functions'!H75*'Spectral Functions'!C75</f>
        <v>327.94632540284158</v>
      </c>
      <c r="C75" s="88">
        <f>'Transmission Calculations'!L77*'Spectral Functions'!H75*'Spectral Functions'!D75</f>
        <v>2564.8405919438756</v>
      </c>
      <c r="D75" s="88">
        <f>'Transmission Calculations'!L77*'Spectral Functions'!H75*'Spectral Functions'!E75</f>
        <v>200.44241904548679</v>
      </c>
      <c r="J75" s="13">
        <v>524</v>
      </c>
      <c r="K75" s="47">
        <f>'Transmission Calculations'!L77*'Spectral Functions'!J75*'Spectral Functions'!N75*'Spectral Functions'!C75</f>
        <v>114.99649556406666</v>
      </c>
      <c r="L75" s="47">
        <f>'Transmission Calculations'!L77*'Spectral Functions'!J75*'Spectral Functions'!N75*'Spectral Functions'!D75</f>
        <v>899.37790701482982</v>
      </c>
      <c r="M75" s="47">
        <f>'Transmission Calculations'!L77*'Spectral Functions'!J75*'Spectral Functions'!N75*'Spectral Functions'!E75</f>
        <v>70.286427891213037</v>
      </c>
      <c r="N75" s="47">
        <f>'Spectral Functions'!D75*'Spectral Functions'!J75*'Spectral Functions'!N75</f>
        <v>28.898240127038097</v>
      </c>
      <c r="R75" s="13">
        <v>524</v>
      </c>
      <c r="S75" s="47">
        <f>'Transmission Calculations'!L77*'Spectral Functions'!J75*'Spectral Functions'!M75*'Spectral Functions'!C75</f>
        <v>1.2138674003972094</v>
      </c>
      <c r="T75" s="47">
        <f>'Transmission Calculations'!L77*'Spectral Functions'!J75*'Spectral Functions'!M75*'Spectral Functions'!D75</f>
        <v>9.4935547088437513</v>
      </c>
      <c r="U75" s="47">
        <f>'Transmission Calculations'!L77*'Spectral Functions'!J75*'Spectral Functions'!M75*'Spectral Functions'!E75</f>
        <v>0.74192176978106472</v>
      </c>
      <c r="V75" s="47">
        <f>'Spectral Functions'!D75*'Spectral Functions'!J75*'Spectral Functions'!M75</f>
        <v>0.30504087491534998</v>
      </c>
      <c r="Z75" s="13">
        <v>524</v>
      </c>
      <c r="AA75" s="47">
        <f>'Transmission Calculations'!L77*'Spectral Functions'!J75*'Spectral Functions'!L75*'Spectral Functions'!D75</f>
        <v>0</v>
      </c>
      <c r="AB75" s="47">
        <f>'Spectral Functions'!D75*'Spectral Functions'!J75*'Spectral Functions'!L75</f>
        <v>0</v>
      </c>
      <c r="AD75" s="42">
        <v>524</v>
      </c>
      <c r="AE75" s="152">
        <f>AF75*'Transmission Calculations'!L77</f>
        <v>0</v>
      </c>
      <c r="AF75" s="92"/>
      <c r="AO75" s="42">
        <v>524</v>
      </c>
      <c r="AP75" s="113">
        <f>'Transmission Calculations'!L77*'Spectral Functions'!K75*'Spectral Functions'!C75</f>
        <v>299.62439168471042</v>
      </c>
      <c r="AQ75" s="113">
        <f>'Transmission Calculations'!L77*'Spectral Functions'!K75*'Spectral Functions'!D75</f>
        <v>2343.3371335551406</v>
      </c>
      <c r="AR75" s="47">
        <f>'Transmission Calculations'!L77*'Spectral Functions'!K75*'Spectral Functions'!E75</f>
        <v>183.1319128230592</v>
      </c>
      <c r="AX75" s="116">
        <v>760</v>
      </c>
      <c r="AY75" s="47">
        <f>'Transmission Calculations'!L195*'Spectral Functions'!H193*'Spectral Functions'!D193</f>
        <v>0.26760673734373203</v>
      </c>
      <c r="AZ75" s="47">
        <f>'Spectral Functions'!H193*'Spectral Functions'!D193</f>
        <v>2.7850919999999999E-3</v>
      </c>
    </row>
    <row r="76" spans="1:52">
      <c r="A76" s="42">
        <v>526</v>
      </c>
      <c r="B76" s="88">
        <f>'Transmission Calculations'!L78*'Spectral Functions'!H76*'Spectral Functions'!C76</f>
        <v>414.39071426270658</v>
      </c>
      <c r="C76" s="88">
        <f>'Transmission Calculations'!L78*'Spectral Functions'!H76*'Spectral Functions'!D76</f>
        <v>2786.7324648433914</v>
      </c>
      <c r="D76" s="88">
        <f>'Transmission Calculations'!L78*'Spectral Functions'!H76*'Spectral Functions'!E76</f>
        <v>185.88561802838495</v>
      </c>
      <c r="J76" s="13">
        <v>526</v>
      </c>
      <c r="K76" s="47">
        <f>'Transmission Calculations'!L78*'Spectral Functions'!J76*'Spectral Functions'!N76*'Spectral Functions'!C76</f>
        <v>142.4795679924398</v>
      </c>
      <c r="L76" s="47">
        <f>'Transmission Calculations'!L78*'Spectral Functions'!J76*'Spectral Functions'!N76*'Spectral Functions'!D76</f>
        <v>958.15959198757173</v>
      </c>
      <c r="M76" s="47">
        <f>'Transmission Calculations'!L78*'Spectral Functions'!J76*'Spectral Functions'!N76*'Spectral Functions'!E76</f>
        <v>63.91287652237699</v>
      </c>
      <c r="N76" s="47">
        <f>'Spectral Functions'!D76*'Spectral Functions'!J76*'Spectral Functions'!N76</f>
        <v>29.599541412887877</v>
      </c>
      <c r="R76" s="13">
        <v>526</v>
      </c>
      <c r="S76" s="47">
        <f>'Transmission Calculations'!L78*'Spectral Functions'!J76*'Spectral Functions'!M76*'Spectral Functions'!C76</f>
        <v>2.2840508520120597</v>
      </c>
      <c r="T76" s="47">
        <f>'Transmission Calculations'!L78*'Spectral Functions'!J76*'Spectral Functions'!M76*'Spectral Functions'!D76</f>
        <v>15.359993459264738</v>
      </c>
      <c r="U76" s="47">
        <f>'Transmission Calculations'!L78*'Spectral Functions'!J76*'Spectral Functions'!M76*'Spectral Functions'!E76</f>
        <v>1.0245697831089906</v>
      </c>
      <c r="V76" s="47">
        <f>'Spectral Functions'!D76*'Spectral Functions'!J76*'Spectral Functions'!M76</f>
        <v>0.47450212501247996</v>
      </c>
      <c r="Z76" s="13">
        <v>526</v>
      </c>
      <c r="AA76" s="47">
        <f>'Transmission Calculations'!L78*'Spectral Functions'!J76*'Spectral Functions'!L76*'Spectral Functions'!D76</f>
        <v>0</v>
      </c>
      <c r="AB76" s="47">
        <f>'Spectral Functions'!D76*'Spectral Functions'!J76*'Spectral Functions'!L76</f>
        <v>0</v>
      </c>
      <c r="AD76" s="42">
        <v>526</v>
      </c>
      <c r="AE76" s="152">
        <f>AF76*'Transmission Calculations'!L78</f>
        <v>0</v>
      </c>
      <c r="AF76" s="92"/>
      <c r="AO76" s="42">
        <v>526</v>
      </c>
      <c r="AP76" s="113">
        <f>'Transmission Calculations'!L78*'Spectral Functions'!K76*'Spectral Functions'!C76</f>
        <v>377.39779496637374</v>
      </c>
      <c r="AQ76" s="113">
        <f>'Transmission Calculations'!L78*'Spectral Functions'!K76*'Spectral Functions'!D76</f>
        <v>2537.9591076608076</v>
      </c>
      <c r="AR76" s="47">
        <f>'Transmission Calculations'!L78*'Spectral Functions'!K76*'Spectral Functions'!E76</f>
        <v>169.29149217228866</v>
      </c>
      <c r="AX76" s="116">
        <v>762</v>
      </c>
      <c r="AY76" s="47">
        <f>'Transmission Calculations'!L196*'Spectral Functions'!H194*'Spectral Functions'!D194</f>
        <v>0.25042406622219998</v>
      </c>
      <c r="AZ76" s="47">
        <f>'Spectral Functions'!H194*'Spectral Functions'!D194</f>
        <v>2.6257711999999999E-3</v>
      </c>
    </row>
    <row r="77" spans="1:52">
      <c r="A77" s="42">
        <v>528</v>
      </c>
      <c r="B77" s="88">
        <f>'Transmission Calculations'!L79*'Spectral Functions'!H77*'Spectral Functions'!C77</f>
        <v>512.58371982395806</v>
      </c>
      <c r="C77" s="88">
        <f>'Transmission Calculations'!L79*'Spectral Functions'!H77*'Spectral Functions'!D77</f>
        <v>3011.0513105108935</v>
      </c>
      <c r="D77" s="88">
        <f>'Transmission Calculations'!L79*'Spectral Functions'!H77*'Spectral Functions'!E77</f>
        <v>171.9305628564949</v>
      </c>
      <c r="J77" s="13">
        <v>528</v>
      </c>
      <c r="K77" s="47">
        <f>'Transmission Calculations'!L79*'Spectral Functions'!J77*'Spectral Functions'!N77*'Spectral Functions'!C77</f>
        <v>172.59991374800458</v>
      </c>
      <c r="L77" s="47">
        <f>'Transmission Calculations'!L79*'Spectral Functions'!J77*'Spectral Functions'!N77*'Spectral Functions'!D77</f>
        <v>1013.8971964686762</v>
      </c>
      <c r="M77" s="47">
        <f>'Transmission Calculations'!L79*'Spectral Functions'!J77*'Spectral Functions'!N77*'Spectral Functions'!E77</f>
        <v>57.893372676503589</v>
      </c>
      <c r="N77" s="47">
        <f>'Spectral Functions'!D77*'Spectral Functions'!J77*'Spectral Functions'!N77</f>
        <v>30.162790463244693</v>
      </c>
      <c r="R77" s="13">
        <v>528</v>
      </c>
      <c r="S77" s="47">
        <f>'Transmission Calculations'!L79*'Spectral Functions'!J77*'Spectral Functions'!M77*'Spectral Functions'!C77</f>
        <v>3.774832036504113</v>
      </c>
      <c r="T77" s="47">
        <f>'Transmission Calculations'!L79*'Spectral Functions'!J77*'Spectral Functions'!M77*'Spectral Functions'!D77</f>
        <v>22.174354180382146</v>
      </c>
      <c r="U77" s="47">
        <f>'Transmission Calculations'!L79*'Spectral Functions'!J77*'Spectral Functions'!M77*'Spectral Functions'!E77</f>
        <v>1.2661521847548669</v>
      </c>
      <c r="V77" s="47">
        <f>'Spectral Functions'!D77*'Spectral Functions'!J77*'Spectral Functions'!M77</f>
        <v>0.65967279634479603</v>
      </c>
      <c r="Z77" s="13">
        <v>528</v>
      </c>
      <c r="AA77" s="47">
        <f>'Transmission Calculations'!L79*'Spectral Functions'!J77*'Spectral Functions'!L77*'Spectral Functions'!D77</f>
        <v>0</v>
      </c>
      <c r="AB77" s="47">
        <f>'Spectral Functions'!D77*'Spectral Functions'!J77*'Spectral Functions'!L77</f>
        <v>0</v>
      </c>
      <c r="AD77" s="42">
        <v>528</v>
      </c>
      <c r="AE77" s="152">
        <f>AF77*'Transmission Calculations'!L79</f>
        <v>0</v>
      </c>
      <c r="AF77" s="92"/>
      <c r="AO77" s="42">
        <v>528</v>
      </c>
      <c r="AP77" s="113">
        <f>'Transmission Calculations'!L79*'Spectral Functions'!K77*'Spectral Functions'!C77</f>
        <v>466.64212977344926</v>
      </c>
      <c r="AQ77" s="113">
        <f>'Transmission Calculations'!L79*'Spectral Functions'!K77*'Spectral Functions'!D77</f>
        <v>2741.1783520485228</v>
      </c>
      <c r="AR77" s="47">
        <f>'Transmission Calculations'!L79*'Spectral Functions'!K77*'Spectral Functions'!E77</f>
        <v>156.52085878197013</v>
      </c>
      <c r="AX77" s="116">
        <v>764</v>
      </c>
      <c r="AY77" s="47">
        <f>'Transmission Calculations'!L197*'Spectral Functions'!H195*'Spectral Functions'!D195</f>
        <v>0.23178332900690549</v>
      </c>
      <c r="AZ77" s="47">
        <f>'Spectral Functions'!H195*'Spectral Functions'!D195</f>
        <v>2.4557895000000001E-3</v>
      </c>
    </row>
    <row r="78" spans="1:52">
      <c r="A78" s="42">
        <v>530</v>
      </c>
      <c r="B78" s="88">
        <f>'Transmission Calculations'!L80*'Spectral Functions'!H78*'Spectral Functions'!C78</f>
        <v>619.48948886918697</v>
      </c>
      <c r="C78" s="88">
        <f>'Transmission Calculations'!L80*'Spectral Functions'!H78*'Spectral Functions'!D78</f>
        <v>3226.5857365875477</v>
      </c>
      <c r="D78" s="88">
        <f>'Transmission Calculations'!L80*'Spectral Functions'!H78*'Spectral Functions'!E78</f>
        <v>157.81073625815665</v>
      </c>
      <c r="J78" s="13">
        <v>530</v>
      </c>
      <c r="K78" s="47">
        <f>'Transmission Calculations'!L80*'Spectral Functions'!J78*'Spectral Functions'!N78*'Spectral Functions'!C78</f>
        <v>204.02805302335449</v>
      </c>
      <c r="L78" s="47">
        <f>'Transmission Calculations'!L80*'Spectral Functions'!J78*'Spectral Functions'!N78*'Spectral Functions'!D78</f>
        <v>1062.6717927862933</v>
      </c>
      <c r="M78" s="47">
        <f>'Transmission Calculations'!L80*'Spectral Functions'!J78*'Spectral Functions'!N78*'Spectral Functions'!E78</f>
        <v>51.974759610058157</v>
      </c>
      <c r="N78" s="47">
        <f>'Spectral Functions'!D78*'Spectral Functions'!J78*'Spectral Functions'!N78</f>
        <v>30.57275339784</v>
      </c>
      <c r="R78" s="13">
        <v>530</v>
      </c>
      <c r="S78" s="47">
        <f>'Transmission Calculations'!L80*'Spectral Functions'!J78*'Spectral Functions'!M78*'Spectral Functions'!C78</f>
        <v>5.7357283982469136</v>
      </c>
      <c r="T78" s="47">
        <f>'Transmission Calculations'!L80*'Spectral Functions'!J78*'Spectral Functions'!M78*'Spectral Functions'!D78</f>
        <v>29.874307427727125</v>
      </c>
      <c r="U78" s="47">
        <f>'Transmission Calculations'!L80*'Spectral Functions'!J78*'Spectral Functions'!M78*'Spectral Functions'!E78</f>
        <v>1.4611378203630809</v>
      </c>
      <c r="V78" s="47">
        <f>'Spectral Functions'!D78*'Spectral Functions'!J78*'Spectral Functions'!M78</f>
        <v>0.85947499512000003</v>
      </c>
      <c r="Z78" s="13">
        <v>530</v>
      </c>
      <c r="AA78" s="47">
        <f>'Transmission Calculations'!L80*'Spectral Functions'!J78*'Spectral Functions'!L78*'Spectral Functions'!D78</f>
        <v>0</v>
      </c>
      <c r="AB78" s="47">
        <f>'Spectral Functions'!D78*'Spectral Functions'!J78*'Spectral Functions'!L78</f>
        <v>0</v>
      </c>
      <c r="AD78" s="42">
        <v>530</v>
      </c>
      <c r="AE78" s="152">
        <f>AF78*'Transmission Calculations'!L80</f>
        <v>335.89848026820005</v>
      </c>
      <c r="AF78" s="92">
        <v>9.6637000000000004</v>
      </c>
      <c r="AO78" s="42">
        <v>530</v>
      </c>
      <c r="AP78" s="113">
        <f>'Transmission Calculations'!L80*'Spectral Functions'!K78*'Spectral Functions'!C78</f>
        <v>563.75275013400005</v>
      </c>
      <c r="AQ78" s="113">
        <f>'Transmission Calculations'!L80*'Spectral Functions'!K78*'Spectral Functions'!D78</f>
        <v>2936.283206136</v>
      </c>
      <c r="AR78" s="47">
        <f>'Transmission Calculations'!L80*'Spectral Functions'!K78*'Spectral Functions'!E78</f>
        <v>143.61218094048002</v>
      </c>
      <c r="AX78" s="116">
        <v>766</v>
      </c>
      <c r="AY78" s="47">
        <f>'Transmission Calculations'!L198*'Spectral Functions'!H196*'Spectral Functions'!D196</f>
        <v>0.22350861921208004</v>
      </c>
      <c r="AZ78" s="47">
        <f>'Spectral Functions'!H196*'Spectral Functions'!D196</f>
        <v>2.3460200000000003E-3</v>
      </c>
    </row>
    <row r="79" spans="1:52">
      <c r="A79" s="42">
        <v>532</v>
      </c>
      <c r="B79" s="88">
        <f>'Transmission Calculations'!L81*'Spectral Functions'!H79*'Spectral Functions'!C79</f>
        <v>723.74687536163651</v>
      </c>
      <c r="C79" s="88">
        <f>'Transmission Calculations'!L81*'Spectral Functions'!H79*'Spectral Functions'!D79</f>
        <v>3386.3195638880438</v>
      </c>
      <c r="D79" s="88">
        <f>'Transmission Calculations'!L81*'Spectral Functions'!H79*'Spectral Functions'!E79</f>
        <v>141.33612450225974</v>
      </c>
      <c r="J79" s="13">
        <v>532</v>
      </c>
      <c r="K79" s="47">
        <f>'Transmission Calculations'!L81*'Spectral Functions'!J79*'Spectral Functions'!N79*'Spectral Functions'!C79</f>
        <v>234.70785371326832</v>
      </c>
      <c r="L79" s="47">
        <f>'Transmission Calculations'!L81*'Spectral Functions'!J79*'Spectral Functions'!N79*'Spectral Functions'!D79</f>
        <v>1098.1681909580277</v>
      </c>
      <c r="M79" s="47">
        <f>'Transmission Calculations'!L81*'Spectral Functions'!J79*'Spectral Functions'!N79*'Spectral Functions'!E79</f>
        <v>45.834668947622276</v>
      </c>
      <c r="N79" s="47">
        <f>'Spectral Functions'!D79*'Spectral Functions'!J79*'Spectral Functions'!N79</f>
        <v>30.717314285716661</v>
      </c>
      <c r="R79" s="13">
        <v>532</v>
      </c>
      <c r="S79" s="47">
        <f>'Transmission Calculations'!L81*'Spectral Functions'!J79*'Spectral Functions'!M79*'Spectral Functions'!C79</f>
        <v>36.941126669580441</v>
      </c>
      <c r="T79" s="47">
        <f>'Transmission Calculations'!L81*'Spectral Functions'!J79*'Spectral Functions'!M79*'Spectral Functions'!D79</f>
        <v>172.84283250378158</v>
      </c>
      <c r="U79" s="47">
        <f>'Transmission Calculations'!L81*'Spectral Functions'!J79*'Spectral Functions'!M79*'Spectral Functions'!E79</f>
        <v>7.2140079024406418</v>
      </c>
      <c r="V79" s="47">
        <f>'Spectral Functions'!D79*'Spectral Functions'!J79*'Spectral Functions'!M79</f>
        <v>4.8346579802319765</v>
      </c>
      <c r="Z79" s="13">
        <v>532</v>
      </c>
      <c r="AA79" s="47">
        <f>'Transmission Calculations'!L81*'Spectral Functions'!J79*'Spectral Functions'!L79*'Spectral Functions'!D79</f>
        <v>0</v>
      </c>
      <c r="AB79" s="47">
        <f>'Spectral Functions'!D79*'Spectral Functions'!J79*'Spectral Functions'!L79</f>
        <v>0</v>
      </c>
      <c r="AD79" s="42">
        <v>532</v>
      </c>
      <c r="AE79" s="152">
        <f>AF79*'Transmission Calculations'!L81</f>
        <v>0</v>
      </c>
      <c r="AF79" s="92"/>
      <c r="AO79" s="42">
        <v>532</v>
      </c>
      <c r="AP79" s="113">
        <f>'Transmission Calculations'!L81*'Spectral Functions'!K79*'Spectral Functions'!C79</f>
        <v>667.9408813003696</v>
      </c>
      <c r="AQ79" s="113">
        <f>'Transmission Calculations'!L81*'Spectral Functions'!K79*'Spectral Functions'!D79</f>
        <v>3125.2104166085319</v>
      </c>
      <c r="AR79" s="47">
        <f>'Transmission Calculations'!L81*'Spectral Functions'!K79*'Spectral Functions'!E79</f>
        <v>130.43811140800702</v>
      </c>
      <c r="AX79" s="116">
        <v>768</v>
      </c>
      <c r="AY79" s="47">
        <f>'Transmission Calculations'!L199*'Spectral Functions'!H197*'Spectral Functions'!D197</f>
        <v>0.20262189475030401</v>
      </c>
      <c r="AZ79" s="47">
        <f>'Spectral Functions'!H197*'Spectral Functions'!D197</f>
        <v>2.1327519999999999E-3</v>
      </c>
    </row>
    <row r="80" spans="1:52">
      <c r="A80" s="42">
        <v>534</v>
      </c>
      <c r="B80" s="88">
        <f>'Transmission Calculations'!L82*'Spectral Functions'!H80*'Spectral Functions'!C80</f>
        <v>837.73315457230945</v>
      </c>
      <c r="C80" s="88">
        <f>'Transmission Calculations'!L82*'Spectral Functions'!H80*'Spectral Functions'!D80</f>
        <v>3555.0163600358801</v>
      </c>
      <c r="D80" s="88">
        <f>'Transmission Calculations'!L82*'Spectral Functions'!H80*'Spectral Functions'!E80</f>
        <v>125.99017274106858</v>
      </c>
      <c r="J80" s="13">
        <v>534</v>
      </c>
      <c r="K80" s="47">
        <f>'Transmission Calculations'!L82*'Spectral Functions'!J80*'Spectral Functions'!N80*'Spectral Functions'!C80</f>
        <v>267.05337053659906</v>
      </c>
      <c r="L80" s="47">
        <f>'Transmission Calculations'!L82*'Spectral Functions'!J80*'Spectral Functions'!N80*'Spectral Functions'!D80</f>
        <v>1133.2714911409028</v>
      </c>
      <c r="M80" s="47">
        <f>'Transmission Calculations'!L82*'Spectral Functions'!J80*'Spectral Functions'!N80*'Spectral Functions'!E80</f>
        <v>40.163266908265264</v>
      </c>
      <c r="N80" s="47">
        <f>'Spectral Functions'!D80*'Spectral Functions'!J80*'Spectral Functions'!N80</f>
        <v>30.70415369241713</v>
      </c>
      <c r="R80" s="13">
        <v>534</v>
      </c>
      <c r="S80" s="47">
        <f>'Transmission Calculations'!L82*'Spectral Functions'!J80*'Spectral Functions'!M80*'Spectral Functions'!C80</f>
        <v>79.376129730880237</v>
      </c>
      <c r="T80" s="47">
        <f>'Transmission Calculations'!L82*'Spectral Functions'!J80*'Spectral Functions'!M80*'Spectral Functions'!D80</f>
        <v>336.84167595548212</v>
      </c>
      <c r="U80" s="47">
        <f>'Transmission Calculations'!L82*'Spectral Functions'!J80*'Spectral Functions'!M80*'Spectral Functions'!E80</f>
        <v>11.937706227488052</v>
      </c>
      <c r="V80" s="47">
        <f>'Spectral Functions'!D80*'Spectral Functions'!J80*'Spectral Functions'!M80</f>
        <v>9.1261790924753683</v>
      </c>
      <c r="Z80" s="13">
        <v>534</v>
      </c>
      <c r="AA80" s="47">
        <f>'Transmission Calculations'!L82*'Spectral Functions'!J80*'Spectral Functions'!L80*'Spectral Functions'!D80</f>
        <v>0</v>
      </c>
      <c r="AB80" s="47">
        <f>'Spectral Functions'!D80*'Spectral Functions'!J80*'Spectral Functions'!L80</f>
        <v>0</v>
      </c>
      <c r="AD80" s="42">
        <v>534</v>
      </c>
      <c r="AE80" s="152">
        <f>AF80*'Transmission Calculations'!L82</f>
        <v>0</v>
      </c>
      <c r="AF80" s="92"/>
      <c r="AO80" s="42">
        <v>534</v>
      </c>
      <c r="AP80" s="113">
        <f>'Transmission Calculations'!L82*'Spectral Functions'!K80*'Spectral Functions'!C80</f>
        <v>783.97698294421116</v>
      </c>
      <c r="AQ80" s="113">
        <f>'Transmission Calculations'!L82*'Spectral Functions'!K80*'Spectral Functions'!D80</f>
        <v>3326.8959036020515</v>
      </c>
      <c r="AR80" s="47">
        <f>'Transmission Calculations'!L82*'Spectral Functions'!K80*'Spectral Functions'!E80</f>
        <v>117.90555855055065</v>
      </c>
      <c r="AX80" s="116">
        <v>770</v>
      </c>
      <c r="AY80" s="47">
        <f>'Transmission Calculations'!L200*'Spectral Functions'!H198*'Spectral Functions'!D198</f>
        <v>0.19158292813483199</v>
      </c>
      <c r="AZ80" s="47">
        <f>'Spectral Functions'!H198*'Spectral Functions'!D198</f>
        <v>2.0041620000000003E-3</v>
      </c>
    </row>
    <row r="81" spans="1:52">
      <c r="A81" s="42">
        <v>536</v>
      </c>
      <c r="B81" s="88">
        <f>'Transmission Calculations'!L83*'Spectral Functions'!H81*'Spectral Functions'!C81</f>
        <v>956.63301400450803</v>
      </c>
      <c r="C81" s="88">
        <f>'Transmission Calculations'!L83*'Spectral Functions'!H81*'Spectral Functions'!D81</f>
        <v>3707.9208176847787</v>
      </c>
      <c r="D81" s="88">
        <f>'Transmission Calculations'!L83*'Spectral Functions'!H81*'Spectral Functions'!E81</f>
        <v>111.23742382791666</v>
      </c>
      <c r="J81" s="13">
        <v>536</v>
      </c>
      <c r="K81" s="47">
        <f>'Transmission Calculations'!L83*'Spectral Functions'!J81*'Spectral Functions'!N81*'Spectral Functions'!C81</f>
        <v>299.22377126470957</v>
      </c>
      <c r="L81" s="47">
        <f>'Transmission Calculations'!L83*'Spectral Functions'!J81*'Spectral Functions'!N81*'Spectral Functions'!D81</f>
        <v>1159.7948579823285</v>
      </c>
      <c r="M81" s="47">
        <f>'Transmission Calculations'!L83*'Spectral Functions'!J81*'Spectral Functions'!N81*'Spectral Functions'!E81</f>
        <v>34.793782962003483</v>
      </c>
      <c r="N81" s="47">
        <f>'Spectral Functions'!D81*'Spectral Functions'!J81*'Spectral Functions'!N81</f>
        <v>30.545776754585283</v>
      </c>
      <c r="R81" s="13">
        <v>536</v>
      </c>
      <c r="S81" s="47">
        <f>'Transmission Calculations'!L83*'Spectral Functions'!J81*'Spectral Functions'!M81*'Spectral Functions'!C81</f>
        <v>134.34352290779682</v>
      </c>
      <c r="T81" s="47">
        <f>'Transmission Calculations'!L83*'Spectral Functions'!J81*'Spectral Functions'!M81*'Spectral Functions'!D81</f>
        <v>520.71707542866011</v>
      </c>
      <c r="U81" s="47">
        <f>'Transmission Calculations'!L83*'Spectral Functions'!J81*'Spectral Functions'!M81*'Spectral Functions'!E81</f>
        <v>15.621484077445402</v>
      </c>
      <c r="V81" s="47">
        <f>'Spectral Functions'!D81*'Spectral Functions'!J81*'Spectral Functions'!M81</f>
        <v>13.71424216004478</v>
      </c>
      <c r="Z81" s="13">
        <v>536</v>
      </c>
      <c r="AA81" s="47">
        <f>'Transmission Calculations'!L83*'Spectral Functions'!J81*'Spectral Functions'!L81*'Spectral Functions'!D81</f>
        <v>0</v>
      </c>
      <c r="AB81" s="47">
        <f>'Spectral Functions'!D81*'Spectral Functions'!J81*'Spectral Functions'!L81</f>
        <v>0</v>
      </c>
      <c r="AD81" s="42">
        <v>536</v>
      </c>
      <c r="AE81" s="152">
        <f>AF81*'Transmission Calculations'!L83</f>
        <v>0</v>
      </c>
      <c r="AF81" s="92"/>
      <c r="AO81" s="42">
        <v>536</v>
      </c>
      <c r="AP81" s="113">
        <f>'Transmission Calculations'!L83*'Spectral Functions'!K81*'Spectral Functions'!C81</f>
        <v>908.23083471875907</v>
      </c>
      <c r="AQ81" s="113">
        <f>'Transmission Calculations'!L83*'Spectral Functions'!K81*'Spectral Functions'!D81</f>
        <v>3520.3134012904143</v>
      </c>
      <c r="AR81" s="47">
        <f>'Transmission Calculations'!L83*'Spectral Functions'!K81*'Spectral Functions'!E81</f>
        <v>105.60921149091456</v>
      </c>
      <c r="AX81" s="116">
        <v>772</v>
      </c>
      <c r="AY81" s="47">
        <f>'Transmission Calculations'!L201*'Spectral Functions'!H199*'Spectral Functions'!D199</f>
        <v>0.1638358926193392</v>
      </c>
      <c r="AZ81" s="47">
        <f>'Spectral Functions'!H199*'Spectral Functions'!D199</f>
        <v>1.7191434000000002E-3</v>
      </c>
    </row>
    <row r="82" spans="1:52">
      <c r="A82" s="42">
        <v>538</v>
      </c>
      <c r="B82" s="88">
        <f>'Transmission Calculations'!L84*'Spectral Functions'!H82*'Spectral Functions'!C82</f>
        <v>1078.5014231564307</v>
      </c>
      <c r="C82" s="88">
        <f>'Transmission Calculations'!L84*'Spectral Functions'!H82*'Spectral Functions'!D82</f>
        <v>3839.920501975294</v>
      </c>
      <c r="D82" s="88">
        <f>'Transmission Calculations'!L84*'Spectral Functions'!H82*'Spectral Functions'!E82</f>
        <v>97.178374165209618</v>
      </c>
      <c r="J82" s="13">
        <v>538</v>
      </c>
      <c r="K82" s="47">
        <f>'Transmission Calculations'!L84*'Spectral Functions'!J82*'Spectral Functions'!N82*'Spectral Functions'!C82</f>
        <v>330.35055410165523</v>
      </c>
      <c r="L82" s="47">
        <f>'Transmission Calculations'!L84*'Spectral Functions'!J82*'Spectral Functions'!N82*'Spectral Functions'!D82</f>
        <v>1176.1874748586704</v>
      </c>
      <c r="M82" s="47">
        <f>'Transmission Calculations'!L84*'Spectral Functions'!J82*'Spectral Functions'!N82*'Spectral Functions'!E82</f>
        <v>29.766237728476899</v>
      </c>
      <c r="N82" s="47">
        <f>'Spectral Functions'!D82*'Spectral Functions'!J82*'Spectral Functions'!N82</f>
        <v>30.247693103017152</v>
      </c>
      <c r="R82" s="13">
        <v>538</v>
      </c>
      <c r="S82" s="47">
        <f>'Transmission Calculations'!L84*'Spectral Functions'!J82*'Spectral Functions'!M82*'Spectral Functions'!C82</f>
        <v>202.90531773530657</v>
      </c>
      <c r="T82" s="47">
        <f>'Transmission Calculations'!L84*'Spectral Functions'!J82*'Spectral Functions'!M82*'Spectral Functions'!D82</f>
        <v>722.42861511607373</v>
      </c>
      <c r="U82" s="47">
        <f>'Transmission Calculations'!L84*'Spectral Functions'!J82*'Spectral Functions'!M82*'Spectral Functions'!E82</f>
        <v>18.28278430016719</v>
      </c>
      <c r="V82" s="47">
        <f>'Spectral Functions'!D82*'Spectral Functions'!J82*'Spectral Functions'!M82</f>
        <v>18.578500031633471</v>
      </c>
      <c r="Z82" s="13">
        <v>538</v>
      </c>
      <c r="AA82" s="47">
        <f>'Transmission Calculations'!L84*'Spectral Functions'!J82*'Spectral Functions'!L82*'Spectral Functions'!D82</f>
        <v>0</v>
      </c>
      <c r="AB82" s="47">
        <f>'Spectral Functions'!D82*'Spectral Functions'!J82*'Spectral Functions'!L82</f>
        <v>0</v>
      </c>
      <c r="AD82" s="42">
        <v>538</v>
      </c>
      <c r="AE82" s="152">
        <f>AF82*'Transmission Calculations'!L84</f>
        <v>0</v>
      </c>
      <c r="AF82" s="92"/>
      <c r="AO82" s="42">
        <v>538</v>
      </c>
      <c r="AP82" s="113">
        <f>'Transmission Calculations'!L84*'Spectral Functions'!K82*'Spectral Functions'!C82</f>
        <v>1039.2671382646158</v>
      </c>
      <c r="AQ82" s="113">
        <f>'Transmission Calculations'!L84*'Spectral Functions'!K82*'Spectral Functions'!D82</f>
        <v>3700.2298796898858</v>
      </c>
      <c r="AR82" s="47">
        <f>'Transmission Calculations'!L84*'Spectral Functions'!K82*'Spectral Functions'!E82</f>
        <v>93.643168800192484</v>
      </c>
      <c r="AX82" s="116">
        <v>774</v>
      </c>
      <c r="AY82" s="47">
        <f>'Transmission Calculations'!L202*'Spectral Functions'!H200*'Spectral Functions'!D200</f>
        <v>0.14124753954501523</v>
      </c>
      <c r="AZ82" s="47">
        <f>'Spectral Functions'!H200*'Spectral Functions'!D200</f>
        <v>1.5050372000000002E-3</v>
      </c>
    </row>
    <row r="83" spans="1:52">
      <c r="A83" s="42">
        <v>540</v>
      </c>
      <c r="B83" s="88">
        <f>'Transmission Calculations'!L85*'Spectral Functions'!H83*'Spectral Functions'!C83</f>
        <v>1213.713408561192</v>
      </c>
      <c r="C83" s="88">
        <f>'Transmission Calculations'!L85*'Spectral Functions'!H83*'Spectral Functions'!D83</f>
        <v>3987.1990074634195</v>
      </c>
      <c r="D83" s="88">
        <f>'Transmission Calculations'!L85*'Spectral Functions'!H83*'Spectral Functions'!E83</f>
        <v>84.842913890468992</v>
      </c>
      <c r="J83" s="13">
        <v>540</v>
      </c>
      <c r="K83" s="47">
        <f>'Transmission Calculations'!L85*'Spectral Functions'!J83*'Spectral Functions'!N83*'Spectral Functions'!C83</f>
        <v>363.28665841665958</v>
      </c>
      <c r="L83" s="47">
        <f>'Transmission Calculations'!L85*'Spectral Functions'!J83*'Spectral Functions'!N83*'Spectral Functions'!D83</f>
        <v>1193.4417084348941</v>
      </c>
      <c r="M83" s="47">
        <f>'Transmission Calculations'!L85*'Spectral Functions'!J83*'Spectral Functions'!N83*'Spectral Functions'!E83</f>
        <v>25.395038449924893</v>
      </c>
      <c r="N83" s="47">
        <f>'Spectral Functions'!D83*'Spectral Functions'!J83*'Spectral Functions'!N83</f>
        <v>29.812814056799997</v>
      </c>
      <c r="R83" s="13">
        <v>540</v>
      </c>
      <c r="S83" s="47">
        <f>'Transmission Calculations'!L85*'Spectral Functions'!J83*'Spectral Functions'!M83*'Spectral Functions'!C83</f>
        <v>288.7509468713273</v>
      </c>
      <c r="T83" s="47">
        <f>'Transmission Calculations'!L85*'Spectral Functions'!J83*'Spectral Functions'!M83*'Spectral Functions'!D83</f>
        <v>948.5826560442365</v>
      </c>
      <c r="U83" s="47">
        <f>'Transmission Calculations'!L85*'Spectral Functions'!J83*'Spectral Functions'!M83*'Spectral Functions'!E83</f>
        <v>20.184725280605868</v>
      </c>
      <c r="V83" s="47">
        <f>'Spectral Functions'!D83*'Spectral Functions'!J83*'Spectral Functions'!M83</f>
        <v>23.696103581999999</v>
      </c>
      <c r="Z83" s="13">
        <v>540</v>
      </c>
      <c r="AA83" s="47">
        <f>'Transmission Calculations'!L85*'Spectral Functions'!J83*'Spectral Functions'!L83*'Spectral Functions'!D83</f>
        <v>0</v>
      </c>
      <c r="AB83" s="47">
        <f>'Spectral Functions'!D83*'Spectral Functions'!J83*'Spectral Functions'!L83</f>
        <v>0</v>
      </c>
      <c r="AD83" s="42">
        <v>540</v>
      </c>
      <c r="AE83" s="152">
        <f>AF83*'Transmission Calculations'!L85</f>
        <v>288.4685853126</v>
      </c>
      <c r="AF83" s="92">
        <v>7.2061000000000002</v>
      </c>
      <c r="AO83" s="42">
        <v>540</v>
      </c>
      <c r="AP83" s="113">
        <f>'Transmission Calculations'!L85*'Spectral Functions'!K83*'Spectral Functions'!C83</f>
        <v>1186.9176669134399</v>
      </c>
      <c r="AQ83" s="113">
        <f>'Transmission Calculations'!L85*'Spectral Functions'!K83*'Spectral Functions'!D83</f>
        <v>3899.1716743643997</v>
      </c>
      <c r="AR83" s="47">
        <f>'Transmission Calculations'!L85*'Spectral Functions'!K83*'Spectral Functions'!E83</f>
        <v>82.969795586579991</v>
      </c>
      <c r="AX83" s="116">
        <v>776</v>
      </c>
      <c r="AY83" s="47">
        <f>'Transmission Calculations'!L203*'Spectral Functions'!H201*'Spectral Functions'!D201</f>
        <v>0.12352427633404003</v>
      </c>
      <c r="AZ83" s="47">
        <f>'Spectral Functions'!H201*'Spectral Functions'!D201</f>
        <v>1.2950360000000001E-3</v>
      </c>
    </row>
    <row r="84" spans="1:52">
      <c r="A84" s="42">
        <v>542</v>
      </c>
      <c r="B84" s="88">
        <f>'Transmission Calculations'!L86*'Spectral Functions'!H84*'Spectral Functions'!C84</f>
        <v>1360.394480215668</v>
      </c>
      <c r="C84" s="88">
        <f>'Transmission Calculations'!L86*'Spectral Functions'!H84*'Spectral Functions'!D84</f>
        <v>4138.1055399851275</v>
      </c>
      <c r="D84" s="88">
        <f>'Transmission Calculations'!L86*'Spectral Functions'!H84*'Spectral Functions'!E84</f>
        <v>73.851369099130324</v>
      </c>
      <c r="J84" s="13">
        <v>542</v>
      </c>
      <c r="K84" s="47">
        <f>'Transmission Calculations'!L86*'Spectral Functions'!J84*'Spectral Functions'!N84*'Spectral Functions'!C84</f>
        <v>394.91227189364571</v>
      </c>
      <c r="L84" s="47">
        <f>'Transmission Calculations'!L86*'Spectral Functions'!J84*'Spectral Functions'!N84*'Spectral Functions'!D84</f>
        <v>1201.2608724141064</v>
      </c>
      <c r="M84" s="47">
        <f>'Transmission Calculations'!L86*'Spectral Functions'!J84*'Spectral Functions'!N84*'Spectral Functions'!E84</f>
        <v>21.438496243214793</v>
      </c>
      <c r="N84" s="47">
        <f>'Spectral Functions'!D84*'Spectral Functions'!J84*'Spectral Functions'!N84</f>
        <v>29.257815697476907</v>
      </c>
      <c r="R84" s="13">
        <v>542</v>
      </c>
      <c r="S84" s="47">
        <f>'Transmission Calculations'!L86*'Spectral Functions'!J84*'Spectral Functions'!M84*'Spectral Functions'!C84</f>
        <v>412.19722745372167</v>
      </c>
      <c r="T84" s="47">
        <f>'Transmission Calculations'!L86*'Spectral Functions'!J84*'Spectral Functions'!M84*'Spectral Functions'!D84</f>
        <v>1253.8389822210556</v>
      </c>
      <c r="U84" s="47">
        <f>'Transmission Calculations'!L86*'Spectral Functions'!J84*'Spectral Functions'!M84*'Spectral Functions'!E84</f>
        <v>22.37683997475277</v>
      </c>
      <c r="V84" s="47">
        <f>'Spectral Functions'!D84*'Spectral Functions'!J84*'Spectral Functions'!M84</f>
        <v>30.538404020779197</v>
      </c>
      <c r="Z84" s="13">
        <v>542</v>
      </c>
      <c r="AA84" s="47">
        <f>'Transmission Calculations'!L86*'Spectral Functions'!J84*'Spectral Functions'!L84*'Spectral Functions'!D84</f>
        <v>0</v>
      </c>
      <c r="AB84" s="47">
        <f>'Spectral Functions'!D84*'Spectral Functions'!J84*'Spectral Functions'!L84</f>
        <v>0</v>
      </c>
      <c r="AD84" s="42">
        <v>542</v>
      </c>
      <c r="AE84" s="152">
        <f>AF84*'Transmission Calculations'!L86</f>
        <v>0</v>
      </c>
      <c r="AF84" s="92"/>
      <c r="AO84" s="42">
        <v>542</v>
      </c>
      <c r="AP84" s="113">
        <f>'Transmission Calculations'!L86*'Spectral Functions'!K84*'Spectral Functions'!C84</f>
        <v>1340.9144511413276</v>
      </c>
      <c r="AQ84" s="113">
        <f>'Transmission Calculations'!L86*'Spectral Functions'!K84*'Spectral Functions'!D84</f>
        <v>4078.8503626053866</v>
      </c>
      <c r="AR84" s="47">
        <f>'Transmission Calculations'!L86*'Spectral Functions'!K84*'Spectral Functions'!E84</f>
        <v>72.793862002363198</v>
      </c>
      <c r="AX84" s="116">
        <v>778</v>
      </c>
      <c r="AY84" s="47">
        <f>'Transmission Calculations'!L204*'Spectral Functions'!H202*'Spectral Functions'!D202</f>
        <v>0.10340263291033501</v>
      </c>
      <c r="AZ84" s="47">
        <f>'Spectral Functions'!H202*'Spectral Functions'!D202</f>
        <v>1.0891441E-3</v>
      </c>
    </row>
    <row r="85" spans="1:52" ht="13.5" thickBot="1">
      <c r="A85" s="42">
        <v>544</v>
      </c>
      <c r="B85" s="88">
        <f>'Transmission Calculations'!L87*'Spectral Functions'!H85*'Spectral Functions'!C85</f>
        <v>1506.8744525688221</v>
      </c>
      <c r="C85" s="88">
        <f>'Transmission Calculations'!L87*'Spectral Functions'!H85*'Spectral Functions'!D85</f>
        <v>4257.0665526801013</v>
      </c>
      <c r="D85" s="88">
        <f>'Transmission Calculations'!L87*'Spectral Functions'!H85*'Spectral Functions'!E85</f>
        <v>63.614603007141518</v>
      </c>
      <c r="J85" s="13">
        <v>544</v>
      </c>
      <c r="K85" s="47">
        <f>'Transmission Calculations'!L87*'Spectral Functions'!J85*'Spectral Functions'!N85*'Spectral Functions'!C85</f>
        <v>423.17694287114267</v>
      </c>
      <c r="L85" s="47">
        <f>'Transmission Calculations'!L87*'Spectral Functions'!J85*'Spectral Functions'!N85*'Spectral Functions'!D85</f>
        <v>1195.5159278804495</v>
      </c>
      <c r="M85" s="47">
        <f>'Transmission Calculations'!L87*'Spectral Functions'!J85*'Spectral Functions'!N85*'Spectral Functions'!E85</f>
        <v>17.86494765813547</v>
      </c>
      <c r="N85" s="47">
        <f>'Spectral Functions'!D85*'Spectral Functions'!J85*'Spectral Functions'!N85</f>
        <v>28.577947252014177</v>
      </c>
      <c r="R85" s="13">
        <v>544</v>
      </c>
      <c r="S85" s="47">
        <f>'Transmission Calculations'!L87*'Spectral Functions'!J85*'Spectral Functions'!M85*'Spectral Functions'!C85</f>
        <v>557.75654511255323</v>
      </c>
      <c r="T85" s="47">
        <f>'Transmission Calculations'!L87*'Spectral Functions'!J85*'Spectral Functions'!M85*'Spectral Functions'!D85</f>
        <v>1575.7163635559191</v>
      </c>
      <c r="U85" s="47">
        <f>'Transmission Calculations'!L87*'Spectral Functions'!J85*'Spectral Functions'!M85*'Spectral Functions'!E85</f>
        <v>23.546395077229821</v>
      </c>
      <c r="V85" s="47">
        <f>'Spectral Functions'!D85*'Spectral Functions'!J85*'Spectral Functions'!M85</f>
        <v>37.666364848582496</v>
      </c>
      <c r="Z85" s="13">
        <v>544</v>
      </c>
      <c r="AA85" s="47">
        <f>'Transmission Calculations'!L87*'Spectral Functions'!J85*'Spectral Functions'!L85*'Spectral Functions'!D85</f>
        <v>0</v>
      </c>
      <c r="AB85" s="47">
        <f>'Spectral Functions'!D85*'Spectral Functions'!J85*'Spectral Functions'!L85</f>
        <v>0</v>
      </c>
      <c r="AD85" s="42">
        <v>544</v>
      </c>
      <c r="AE85" s="152">
        <f>AF85*'Transmission Calculations'!L87</f>
        <v>0</v>
      </c>
      <c r="AF85" s="92"/>
      <c r="AO85" s="42">
        <v>544</v>
      </c>
      <c r="AP85" s="113">
        <f>'Transmission Calculations'!L87*'Spectral Functions'!K85*'Spectral Functions'!C85</f>
        <v>1497.0176650848689</v>
      </c>
      <c r="AQ85" s="113">
        <f>'Transmission Calculations'!L87*'Spectral Functions'!K85*'Spectral Functions'!D85</f>
        <v>4229.2201715544006</v>
      </c>
      <c r="AR85" s="47">
        <f>'Transmission Calculations'!L87*'Spectral Functions'!K85*'Spectral Functions'!E85</f>
        <v>63.198486308335909</v>
      </c>
      <c r="AX85" s="117">
        <v>780</v>
      </c>
      <c r="AY85" s="48">
        <f>'Transmission Calculations'!L205*'Spectral Functions'!H203*'Spectral Functions'!D203</f>
        <v>8.9853186045870004E-2</v>
      </c>
      <c r="AZ85" s="48">
        <f>'Spectral Functions'!H203*'Spectral Functions'!D203</f>
        <v>9.5074200000000008E-4</v>
      </c>
    </row>
    <row r="86" spans="1:52" ht="13.5" thickBot="1">
      <c r="A86" s="42">
        <v>546</v>
      </c>
      <c r="B86" s="88">
        <f>'Transmission Calculations'!L88*'Spectral Functions'!H86*'Spectral Functions'!C86</f>
        <v>1659.6728968572152</v>
      </c>
      <c r="C86" s="88">
        <f>'Transmission Calculations'!L88*'Spectral Functions'!H86*'Spectral Functions'!D86</f>
        <v>4366.0536681975445</v>
      </c>
      <c r="D86" s="88">
        <f>'Transmission Calculations'!L88*'Spectral Functions'!H86*'Spectral Functions'!E86</f>
        <v>54.60162514735125</v>
      </c>
      <c r="J86" s="13">
        <v>546</v>
      </c>
      <c r="K86" s="47">
        <f>'Transmission Calculations'!L88*'Spectral Functions'!J86*'Spectral Functions'!N86*'Spectral Functions'!C86</f>
        <v>449.64829524904832</v>
      </c>
      <c r="L86" s="47">
        <f>'Transmission Calculations'!L88*'Spectral Functions'!J86*'Spectral Functions'!N86*'Spectral Functions'!D86</f>
        <v>1182.8768142134559</v>
      </c>
      <c r="M86" s="47">
        <f>'Transmission Calculations'!L88*'Spectral Functions'!J86*'Spectral Functions'!N86*'Spectral Functions'!E86</f>
        <v>14.792991867147585</v>
      </c>
      <c r="N86" s="47">
        <f>'Spectral Functions'!D86*'Spectral Functions'!J86*'Spectral Functions'!N86</f>
        <v>27.778717342393218</v>
      </c>
      <c r="R86" s="13">
        <v>546</v>
      </c>
      <c r="S86" s="47">
        <f>'Transmission Calculations'!L88*'Spectral Functions'!J86*'Spectral Functions'!M86*'Spectral Functions'!C86</f>
        <v>729.17491536269097</v>
      </c>
      <c r="T86" s="47">
        <f>'Transmission Calculations'!L88*'Spectral Functions'!J86*'Spectral Functions'!M86*'Spectral Functions'!D86</f>
        <v>1918.2194395085094</v>
      </c>
      <c r="U86" s="47">
        <f>'Transmission Calculations'!L88*'Spectral Functions'!J86*'Spectral Functions'!M86*'Spectral Functions'!E86</f>
        <v>23.98914597622095</v>
      </c>
      <c r="V86" s="47">
        <f>'Spectral Functions'!D86*'Spectral Functions'!J86*'Spectral Functions'!M86</f>
        <v>45.047527325339203</v>
      </c>
      <c r="Z86" s="13">
        <v>546</v>
      </c>
      <c r="AA86" s="47">
        <f>'Transmission Calculations'!L88*'Spectral Functions'!J86*'Spectral Functions'!L86*'Spectral Functions'!D86</f>
        <v>0</v>
      </c>
      <c r="AB86" s="47">
        <f>'Spectral Functions'!D86*'Spectral Functions'!J86*'Spectral Functions'!L86</f>
        <v>0</v>
      </c>
      <c r="AD86" s="42">
        <v>546</v>
      </c>
      <c r="AE86" s="152">
        <f>AF86*'Transmission Calculations'!L88</f>
        <v>0</v>
      </c>
      <c r="AF86" s="92"/>
      <c r="AO86" s="42">
        <v>546</v>
      </c>
      <c r="AP86" s="113">
        <f>'Transmission Calculations'!L88*'Spectral Functions'!K86*'Spectral Functions'!C86</f>
        <v>1659.8321897737001</v>
      </c>
      <c r="AQ86" s="113">
        <f>'Transmission Calculations'!L88*'Spectral Functions'!K86*'Spectral Functions'!D86</f>
        <v>4366.4727154830998</v>
      </c>
      <c r="AR86" s="47">
        <f>'Transmission Calculations'!L88*'Spectral Functions'!K86*'Spectral Functions'!E86</f>
        <v>54.606865729475004</v>
      </c>
      <c r="AX86" s="118"/>
      <c r="AY86" s="100">
        <f>SUM(AY3:AY85)</f>
        <v>41602.802673417122</v>
      </c>
      <c r="AZ86" s="100">
        <f>SUM(AZ3:AZ85)</f>
        <v>445.7933400747998</v>
      </c>
    </row>
    <row r="87" spans="1:52">
      <c r="A87" s="42">
        <v>548</v>
      </c>
      <c r="B87" s="88">
        <f>'Transmission Calculations'!L89*'Spectral Functions'!H87*'Spectral Functions'!C87</f>
        <v>1825.4292687874824</v>
      </c>
      <c r="C87" s="88">
        <f>'Transmission Calculations'!L89*'Spectral Functions'!H87*'Spectral Functions'!D87</f>
        <v>4481.519407257555</v>
      </c>
      <c r="D87" s="88">
        <f>'Transmission Calculations'!L89*'Spectral Functions'!H87*'Spectral Functions'!E87</f>
        <v>46.964150130836316</v>
      </c>
      <c r="J87" s="13">
        <v>548</v>
      </c>
      <c r="K87" s="47">
        <f>'Transmission Calculations'!L89*'Spectral Functions'!J87*'Spectral Functions'!N87*'Spectral Functions'!C87</f>
        <v>475.65778286306028</v>
      </c>
      <c r="L87" s="47">
        <f>'Transmission Calculations'!L89*'Spectral Functions'!J87*'Spectral Functions'!N87*'Spectral Functions'!D87</f>
        <v>1167.7634524452642</v>
      </c>
      <c r="M87" s="47">
        <f>'Transmission Calculations'!L89*'Spectral Functions'!J87*'Spectral Functions'!N87*'Spectral Functions'!E87</f>
        <v>12.237594689231537</v>
      </c>
      <c r="N87" s="47">
        <f>'Spectral Functions'!D87*'Spectral Functions'!J87*'Spectral Functions'!N87</f>
        <v>26.867539424545562</v>
      </c>
      <c r="R87" s="13">
        <v>548</v>
      </c>
      <c r="S87" s="47">
        <f>'Transmission Calculations'!L89*'Spectral Functions'!J87*'Spectral Functions'!M87*'Spectral Functions'!C87</f>
        <v>932.12753589934596</v>
      </c>
      <c r="T87" s="47">
        <f>'Transmission Calculations'!L89*'Spectral Functions'!J87*'Spectral Functions'!M87*'Spectral Functions'!D87</f>
        <v>2288.4193398229177</v>
      </c>
      <c r="U87" s="47">
        <f>'Transmission Calculations'!L89*'Spectral Functions'!J87*'Spectral Functions'!M87*'Spectral Functions'!E87</f>
        <v>23.981524940783611</v>
      </c>
      <c r="V87" s="47">
        <f>'Spectral Functions'!D87*'Spectral Functions'!J87*'Spectral Functions'!M87</f>
        <v>52.651242598694601</v>
      </c>
      <c r="Z87" s="13">
        <v>548</v>
      </c>
      <c r="AA87" s="47">
        <f>'Transmission Calculations'!L89*'Spectral Functions'!J87*'Spectral Functions'!L87*'Spectral Functions'!D87</f>
        <v>0</v>
      </c>
      <c r="AB87" s="47">
        <f>'Spectral Functions'!D87*'Spectral Functions'!J87*'Spectral Functions'!L87</f>
        <v>0</v>
      </c>
      <c r="AD87" s="42">
        <v>548</v>
      </c>
      <c r="AE87" s="152">
        <f>AF87*'Transmission Calculations'!L89</f>
        <v>0</v>
      </c>
      <c r="AF87" s="92"/>
      <c r="AO87" s="42">
        <v>548</v>
      </c>
      <c r="AP87" s="113">
        <f>'Transmission Calculations'!L89*'Spectral Functions'!K87*'Spectral Functions'!C87</f>
        <v>1835.6330744160416</v>
      </c>
      <c r="AQ87" s="113">
        <f>'Transmission Calculations'!L89*'Spectral Functions'!K87*'Spectral Functions'!D87</f>
        <v>4506.5702562464321</v>
      </c>
      <c r="AR87" s="47">
        <f>'Transmission Calculations'!L89*'Spectral Functions'!K87*'Spectral Functions'!E87</f>
        <v>47.226670880141398</v>
      </c>
      <c r="AX87" s="118"/>
    </row>
    <row r="88" spans="1:52">
      <c r="A88" s="42">
        <v>550</v>
      </c>
      <c r="B88" s="88">
        <f>'Transmission Calculations'!L90*'Spectral Functions'!H88*'Spectral Functions'!C88</f>
        <v>2004.5387709163472</v>
      </c>
      <c r="C88" s="88">
        <f>'Transmission Calculations'!L90*'Spectral Functions'!H88*'Spectral Functions'!D88</f>
        <v>4601.2593150841385</v>
      </c>
      <c r="D88" s="88">
        <f>'Transmission Calculations'!L90*'Spectral Functions'!H88*'Spectral Functions'!E88</f>
        <v>40.465369121047502</v>
      </c>
      <c r="J88" s="13">
        <v>550</v>
      </c>
      <c r="K88" s="47">
        <f>'Transmission Calculations'!L90*'Spectral Functions'!J88*'Spectral Functions'!N88*'Spectral Functions'!C88</f>
        <v>500.67204935760429</v>
      </c>
      <c r="L88" s="47">
        <f>'Transmission Calculations'!L90*'Spectral Functions'!J88*'Spectral Functions'!N88*'Spectral Functions'!D88</f>
        <v>1149.2528677087287</v>
      </c>
      <c r="M88" s="47">
        <f>'Transmission Calculations'!L90*'Spectral Functions'!J88*'Spectral Functions'!N88*'Spectral Functions'!E88</f>
        <v>10.107002957386175</v>
      </c>
      <c r="N88" s="47">
        <f>'Spectral Functions'!D88*'Spectral Functions'!J88*'Spectral Functions'!N88</f>
        <v>25.856249593680005</v>
      </c>
      <c r="R88" s="13">
        <v>550</v>
      </c>
      <c r="S88" s="47">
        <f>'Transmission Calculations'!L90*'Spectral Functions'!J88*'Spectral Functions'!M88*'Spectral Functions'!C88</f>
        <v>1170.6811593846021</v>
      </c>
      <c r="T88" s="47">
        <f>'Transmission Calculations'!L90*'Spectral Functions'!J88*'Spectral Functions'!M88*'Spectral Functions'!D88</f>
        <v>2687.2054897443995</v>
      </c>
      <c r="U88" s="47">
        <f>'Transmission Calculations'!L90*'Spectral Functions'!J88*'Spectral Functions'!M88*'Spectral Functions'!E88</f>
        <v>23.632391612908688</v>
      </c>
      <c r="V88" s="47">
        <f>'Spectral Functions'!D88*'Spectral Functions'!J88*'Spectral Functions'!M88</f>
        <v>60.457587537600013</v>
      </c>
      <c r="Z88" s="13">
        <v>550</v>
      </c>
      <c r="AA88" s="47">
        <f>'Transmission Calculations'!L90*'Spectral Functions'!J88*'Spectral Functions'!L88*'Spectral Functions'!D88</f>
        <v>0</v>
      </c>
      <c r="AB88" s="47">
        <f>'Spectral Functions'!D88*'Spectral Functions'!J88*'Spectral Functions'!L88</f>
        <v>0</v>
      </c>
      <c r="AD88" s="42">
        <v>550</v>
      </c>
      <c r="AE88" s="152">
        <f>AF88*'Transmission Calculations'!L90</f>
        <v>256.93483128739996</v>
      </c>
      <c r="AF88" s="92">
        <v>5.7805999999999997</v>
      </c>
      <c r="AO88" s="42">
        <v>550</v>
      </c>
      <c r="AP88" s="113">
        <f>'Transmission Calculations'!L90*'Spectral Functions'!K88*'Spectral Functions'!C88</f>
        <v>2026.77160775426</v>
      </c>
      <c r="AQ88" s="113">
        <f>'Transmission Calculations'!L90*'Spectral Functions'!K88*'Spectral Functions'!D88</f>
        <v>4652.29302372846</v>
      </c>
      <c r="AR88" s="47">
        <f>'Transmission Calculations'!L90*'Spectral Functions'!K88*'Spectral Functions'!E88</f>
        <v>40.914180569500004</v>
      </c>
      <c r="AX88" s="118"/>
    </row>
    <row r="89" spans="1:52">
      <c r="A89" s="42">
        <v>552</v>
      </c>
      <c r="B89" s="88">
        <f>'Transmission Calculations'!L91*'Spectral Functions'!H89*'Spectral Functions'!C89</f>
        <v>2187.3895277223019</v>
      </c>
      <c r="C89" s="88">
        <f>'Transmission Calculations'!L91*'Spectral Functions'!H89*'Spectral Functions'!D89</f>
        <v>4701.8303832581878</v>
      </c>
      <c r="D89" s="88">
        <f>'Transmission Calculations'!L91*'Spectral Functions'!H89*'Spectral Functions'!E89</f>
        <v>34.775054041999823</v>
      </c>
      <c r="J89" s="13">
        <v>552</v>
      </c>
      <c r="K89" s="47">
        <f>'Transmission Calculations'!L91*'Spectral Functions'!J89*'Spectral Functions'!N89*'Spectral Functions'!C89</f>
        <v>528.55494927448763</v>
      </c>
      <c r="L89" s="47">
        <f>'Transmission Calculations'!L91*'Spectral Functions'!J89*'Spectral Functions'!N89*'Spectral Functions'!D89</f>
        <v>1136.1377058013327</v>
      </c>
      <c r="M89" s="47">
        <f>'Transmission Calculations'!L91*'Spectral Functions'!J89*'Spectral Functions'!N89*'Spectral Functions'!E89</f>
        <v>8.4029509569455474</v>
      </c>
      <c r="N89" s="47">
        <f>'Spectral Functions'!D89*'Spectral Functions'!J89*'Spectral Functions'!N89</f>
        <v>24.898465162828224</v>
      </c>
      <c r="R89" s="13">
        <v>552</v>
      </c>
      <c r="S89" s="47">
        <f>'Transmission Calculations'!L91*'Spectral Functions'!J89*'Spectral Functions'!M89*'Spectral Functions'!C89</f>
        <v>1358.9585810142605</v>
      </c>
      <c r="T89" s="47">
        <f>'Transmission Calculations'!L91*'Spectral Functions'!J89*'Spectral Functions'!M89*'Spectral Functions'!D89</f>
        <v>2921.1042042683994</v>
      </c>
      <c r="U89" s="47">
        <f>'Transmission Calculations'!L91*'Spectral Functions'!J89*'Spectral Functions'!M89*'Spectral Functions'!E89</f>
        <v>21.604683343628903</v>
      </c>
      <c r="V89" s="47">
        <f>'Spectral Functions'!D89*'Spectral Functions'!J89*'Spectral Functions'!M89</f>
        <v>64.016017508784003</v>
      </c>
      <c r="Z89" s="13">
        <v>552</v>
      </c>
      <c r="AA89" s="47">
        <f>'Transmission Calculations'!L91*'Spectral Functions'!J89*'Spectral Functions'!L89*'Spectral Functions'!D89</f>
        <v>0</v>
      </c>
      <c r="AB89" s="47">
        <f>'Spectral Functions'!D89*'Spectral Functions'!J89*'Spectral Functions'!L89</f>
        <v>0</v>
      </c>
      <c r="AD89" s="42">
        <v>552</v>
      </c>
      <c r="AE89" s="152">
        <f>AF89*'Transmission Calculations'!L91</f>
        <v>0</v>
      </c>
      <c r="AF89" s="92"/>
      <c r="AO89" s="42">
        <v>552</v>
      </c>
      <c r="AP89" s="113">
        <f>'Transmission Calculations'!L91*'Spectral Functions'!K89*'Spectral Functions'!C89</f>
        <v>2233.0073745522764</v>
      </c>
      <c r="AQ89" s="113">
        <f>'Transmission Calculations'!L91*'Spectral Functions'!K89*'Spectral Functions'!D89</f>
        <v>4799.8867081722674</v>
      </c>
      <c r="AR89" s="47">
        <f>'Transmission Calculations'!L91*'Spectral Functions'!K89*'Spectral Functions'!E89</f>
        <v>35.500285222220342</v>
      </c>
      <c r="AX89" s="118"/>
    </row>
    <row r="90" spans="1:52">
      <c r="A90" s="42">
        <v>554</v>
      </c>
      <c r="B90" s="88">
        <f>'Transmission Calculations'!L92*'Spectral Functions'!H90*'Spectral Functions'!C90</f>
        <v>2381.4025946933471</v>
      </c>
      <c r="C90" s="88">
        <f>'Transmission Calculations'!L92*'Spectral Functions'!H90*'Spectral Functions'!D90</f>
        <v>4800.2856643624009</v>
      </c>
      <c r="D90" s="88">
        <f>'Transmission Calculations'!L92*'Spectral Functions'!H90*'Spectral Functions'!E90</f>
        <v>29.97573728841115</v>
      </c>
      <c r="J90" s="13">
        <v>554</v>
      </c>
      <c r="K90" s="47">
        <f>'Transmission Calculations'!L92*'Spectral Functions'!J90*'Spectral Functions'!N90*'Spectral Functions'!C90</f>
        <v>554.79491502530436</v>
      </c>
      <c r="L90" s="47">
        <f>'Transmission Calculations'!L92*'Spectral Functions'!J90*'Spectral Functions'!N90*'Spectral Functions'!D90</f>
        <v>1118.3216492631989</v>
      </c>
      <c r="M90" s="47">
        <f>'Transmission Calculations'!L92*'Spectral Functions'!J90*'Spectral Functions'!N90*'Spectral Functions'!E90</f>
        <v>6.9834418837048444</v>
      </c>
      <c r="N90" s="47">
        <f>'Spectral Functions'!D90*'Spectral Functions'!J90*'Spectral Functions'!N90</f>
        <v>23.856618530757672</v>
      </c>
      <c r="R90" s="13">
        <v>554</v>
      </c>
      <c r="S90" s="47">
        <f>'Transmission Calculations'!L92*'Spectral Functions'!J90*'Spectral Functions'!M90*'Spectral Functions'!C90</f>
        <v>1571.3921608275091</v>
      </c>
      <c r="T90" s="47">
        <f>'Transmission Calculations'!L92*'Spectral Functions'!J90*'Spectral Functions'!M90*'Spectral Functions'!D90</f>
        <v>3167.5161854281409</v>
      </c>
      <c r="U90" s="47">
        <f>'Transmission Calculations'!L92*'Spectral Functions'!J90*'Spectral Functions'!M90*'Spectral Functions'!E90</f>
        <v>19.779788052217043</v>
      </c>
      <c r="V90" s="47">
        <f>'Spectral Functions'!D90*'Spectral Functions'!J90*'Spectral Functions'!M90</f>
        <v>67.571101190383217</v>
      </c>
      <c r="Z90" s="13">
        <v>554</v>
      </c>
      <c r="AA90" s="47">
        <f>'Transmission Calculations'!L92*'Spectral Functions'!J90*'Spectral Functions'!L90*'Spectral Functions'!D90</f>
        <v>0</v>
      </c>
      <c r="AB90" s="47">
        <f>'Spectral Functions'!D90*'Spectral Functions'!J90*'Spectral Functions'!L90</f>
        <v>0</v>
      </c>
      <c r="AD90" s="42">
        <v>554</v>
      </c>
      <c r="AE90" s="152">
        <f>AF90*'Transmission Calculations'!L92</f>
        <v>0</v>
      </c>
      <c r="AF90" s="92"/>
      <c r="AO90" s="42">
        <v>554</v>
      </c>
      <c r="AP90" s="113">
        <f>'Transmission Calculations'!L92*'Spectral Functions'!K90*'Spectral Functions'!C90</f>
        <v>2454.6851051248059</v>
      </c>
      <c r="AQ90" s="113">
        <f>'Transmission Calculations'!L92*'Spectral Functions'!K90*'Spectral Functions'!D90</f>
        <v>4948.0040657181853</v>
      </c>
      <c r="AR90" s="47">
        <f>'Transmission Calculations'!L92*'Spectral Functions'!K90*'Spectral Functions'!E90</f>
        <v>30.898175722560719</v>
      </c>
      <c r="AX90" s="118"/>
    </row>
    <row r="91" spans="1:52">
      <c r="A91" s="42">
        <v>556</v>
      </c>
      <c r="B91" s="88">
        <f>'Transmission Calculations'!L93*'Spectral Functions'!H91*'Spectral Functions'!C91</f>
        <v>2584.1114617569265</v>
      </c>
      <c r="C91" s="88">
        <f>'Transmission Calculations'!L93*'Spectral Functions'!H91*'Spectral Functions'!D91</f>
        <v>4890.7088711970091</v>
      </c>
      <c r="D91" s="88">
        <f>'Transmission Calculations'!L93*'Spectral Functions'!H91*'Spectral Functions'!E91</f>
        <v>25.944029849097358</v>
      </c>
      <c r="J91" s="13">
        <v>556</v>
      </c>
      <c r="K91" s="47">
        <f>'Transmission Calculations'!L93*'Spectral Functions'!J91*'Spectral Functions'!N91*'Spectral Functions'!C91</f>
        <v>578.20459704196583</v>
      </c>
      <c r="L91" s="47">
        <f>'Transmission Calculations'!L93*'Spectral Functions'!J91*'Spectral Functions'!N91*'Spectral Functions'!D91</f>
        <v>1094.3143877382922</v>
      </c>
      <c r="M91" s="47">
        <f>'Transmission Calculations'!L93*'Spectral Functions'!J91*'Spectral Functions'!N91*'Spectral Functions'!E91</f>
        <v>5.8050736380941492</v>
      </c>
      <c r="N91" s="47">
        <f>'Spectral Functions'!D91*'Spectral Functions'!J91*'Spectral Functions'!N91</f>
        <v>22.734155822760098</v>
      </c>
      <c r="R91" s="13">
        <v>556</v>
      </c>
      <c r="S91" s="47">
        <f>'Transmission Calculations'!L93*'Spectral Functions'!J91*'Spectral Functions'!M91*'Spectral Functions'!C91</f>
        <v>1808.433451695091</v>
      </c>
      <c r="T91" s="47">
        <f>'Transmission Calculations'!L93*'Spectral Functions'!J91*'Spectral Functions'!M91*'Spectral Functions'!D91</f>
        <v>3422.6548103932237</v>
      </c>
      <c r="U91" s="47">
        <f>'Transmission Calculations'!L93*'Spectral Functions'!J91*'Spectral Functions'!M91*'Spectral Functions'!E91</f>
        <v>18.156357473444359</v>
      </c>
      <c r="V91" s="47">
        <f>'Spectral Functions'!D91*'Spectral Functions'!J91*'Spectral Functions'!M91</f>
        <v>71.104948138183204</v>
      </c>
      <c r="Z91" s="13">
        <v>556</v>
      </c>
      <c r="AA91" s="47">
        <f>'Transmission Calculations'!L93*'Spectral Functions'!J91*'Spectral Functions'!L91*'Spectral Functions'!D91</f>
        <v>0</v>
      </c>
      <c r="AB91" s="47">
        <f>'Spectral Functions'!D91*'Spectral Functions'!J91*'Spectral Functions'!L91</f>
        <v>0</v>
      </c>
      <c r="AD91" s="42">
        <v>556</v>
      </c>
      <c r="AE91" s="152">
        <f>AF91*'Transmission Calculations'!L93</f>
        <v>0</v>
      </c>
      <c r="AF91" s="92"/>
      <c r="AO91" s="42">
        <v>556</v>
      </c>
      <c r="AP91" s="113">
        <f>'Transmission Calculations'!L93*'Spectral Functions'!K91*'Spectral Functions'!C91</f>
        <v>2685.3723785306879</v>
      </c>
      <c r="AQ91" s="113">
        <f>'Transmission Calculations'!L93*'Spectral Functions'!K91*'Spectral Functions'!D91</f>
        <v>5082.3560471412957</v>
      </c>
      <c r="AR91" s="47">
        <f>'Transmission Calculations'!L93*'Spectral Functions'!K91*'Spectral Functions'!E91</f>
        <v>26.960671850111996</v>
      </c>
      <c r="AX91" s="118"/>
    </row>
    <row r="92" spans="1:52">
      <c r="A92" s="42">
        <v>558</v>
      </c>
      <c r="B92" s="88">
        <f>'Transmission Calculations'!L94*'Spectral Functions'!H92*'Spectral Functions'!C92</f>
        <v>2817.0031574781897</v>
      </c>
      <c r="C92" s="88">
        <f>'Transmission Calculations'!L94*'Spectral Functions'!H92*'Spectral Functions'!D92</f>
        <v>5011.1232966552061</v>
      </c>
      <c r="D92" s="88">
        <f>'Transmission Calculations'!L94*'Spectral Functions'!H92*'Spectral Functions'!E92</f>
        <v>22.758530807606633</v>
      </c>
      <c r="J92" s="13">
        <v>558</v>
      </c>
      <c r="K92" s="47">
        <f>'Transmission Calculations'!L94*'Spectral Functions'!J92*'Spectral Functions'!N92*'Spectral Functions'!C92</f>
        <v>602.74966852744888</v>
      </c>
      <c r="L92" s="47">
        <f>'Transmission Calculations'!L94*'Spectral Functions'!J92*'Spectral Functions'!N92*'Spectral Functions'!D92</f>
        <v>1072.2220520026124</v>
      </c>
      <c r="M92" s="47">
        <f>'Transmission Calculations'!L94*'Spectral Functions'!J92*'Spectral Functions'!N92*'Spectral Functions'!E92</f>
        <v>4.8696065050693296</v>
      </c>
      <c r="N92" s="47">
        <f>'Spectral Functions'!D92*'Spectral Functions'!J92*'Spectral Functions'!N92</f>
        <v>21.533832717104147</v>
      </c>
      <c r="R92" s="13">
        <v>558</v>
      </c>
      <c r="S92" s="47">
        <f>'Transmission Calculations'!L94*'Spectral Functions'!J92*'Spectral Functions'!M92*'Spectral Functions'!C92</f>
        <v>2087.9455659620075</v>
      </c>
      <c r="T92" s="47">
        <f>'Transmission Calculations'!L94*'Spectral Functions'!J92*'Spectral Functions'!M92*'Spectral Functions'!D92</f>
        <v>3714.2140362763021</v>
      </c>
      <c r="U92" s="47">
        <f>'Transmission Calculations'!L94*'Spectral Functions'!J92*'Spectral Functions'!M92*'Spectral Functions'!E92</f>
        <v>16.868484283166772</v>
      </c>
      <c r="V92" s="47">
        <f>'Spectral Functions'!D92*'Spectral Functions'!J92*'Spectral Functions'!M92</f>
        <v>74.593936566881212</v>
      </c>
      <c r="Z92" s="13">
        <v>558</v>
      </c>
      <c r="AA92" s="47">
        <f>'Transmission Calculations'!L94*'Spectral Functions'!J92*'Spectral Functions'!L92*'Spectral Functions'!D92</f>
        <v>0</v>
      </c>
      <c r="AB92" s="47">
        <f>'Spectral Functions'!D92*'Spectral Functions'!J92*'Spectral Functions'!L92</f>
        <v>0</v>
      </c>
      <c r="AD92" s="42">
        <v>558</v>
      </c>
      <c r="AE92" s="152">
        <f>AF92*'Transmission Calculations'!L94</f>
        <v>0</v>
      </c>
      <c r="AF92" s="92"/>
      <c r="AO92" s="42">
        <v>558</v>
      </c>
      <c r="AP92" s="113">
        <f>'Transmission Calculations'!L94*'Spectral Functions'!K92*'Spectral Functions'!C92</f>
        <v>2946.6910985732929</v>
      </c>
      <c r="AQ92" s="113">
        <f>'Transmission Calculations'!L94*'Spectral Functions'!K92*'Spectral Functions'!D92</f>
        <v>5241.8231669026718</v>
      </c>
      <c r="AR92" s="47">
        <f>'Transmission Calculations'!L94*'Spectral Functions'!K92*'Spectral Functions'!E92</f>
        <v>23.806277948021702</v>
      </c>
      <c r="AX92" s="118"/>
    </row>
    <row r="93" spans="1:52">
      <c r="A93" s="42">
        <v>560</v>
      </c>
      <c r="B93" s="88">
        <f>'Transmission Calculations'!L95*'Spectral Functions'!H93*'Spectral Functions'!C93</f>
        <v>3049.6218692000002</v>
      </c>
      <c r="C93" s="88">
        <f>'Transmission Calculations'!L95*'Spectral Functions'!H93*'Spectral Functions'!D93</f>
        <v>5104.0769719999998</v>
      </c>
      <c r="D93" s="88">
        <f>'Transmission Calculations'!L95*'Spectral Functions'!H93*'Spectral Functions'!E93</f>
        <v>20.005929839999997</v>
      </c>
      <c r="J93" s="13">
        <v>560</v>
      </c>
      <c r="K93" s="47">
        <f>'Transmission Calculations'!L95*'Spectral Functions'!J93*'Spectral Functions'!N93*'Spectral Functions'!C93</f>
        <v>620.90301256912005</v>
      </c>
      <c r="L93" s="47">
        <f>'Transmission Calculations'!L95*'Spectral Functions'!J93*'Spectral Functions'!N93*'Spectral Functions'!D93</f>
        <v>1039.1900714992</v>
      </c>
      <c r="M93" s="47">
        <f>'Transmission Calculations'!L95*'Spectral Functions'!J93*'Spectral Functions'!N93*'Spectral Functions'!E93</f>
        <v>4.0732073154239998</v>
      </c>
      <c r="N93" s="47">
        <f>'Spectral Functions'!D93*'Spectral Functions'!J93*'Spectral Functions'!N93</f>
        <v>20.258199999999999</v>
      </c>
      <c r="R93" s="13">
        <v>560</v>
      </c>
      <c r="S93" s="47">
        <f>'Transmission Calculations'!L95*'Spectral Functions'!J93*'Spectral Functions'!M93*'Spectral Functions'!C93</f>
        <v>2390.9035454528002</v>
      </c>
      <c r="T93" s="47">
        <f>'Transmission Calculations'!L95*'Spectral Functions'!J93*'Spectral Functions'!M93*'Spectral Functions'!D93</f>
        <v>4001.5963460479998</v>
      </c>
      <c r="U93" s="47">
        <f>'Transmission Calculations'!L95*'Spectral Functions'!J93*'Spectral Functions'!M93*'Spectral Functions'!E93</f>
        <v>15.684648994559998</v>
      </c>
      <c r="V93" s="47">
        <f>'Spectral Functions'!D93*'Spectral Functions'!J93*'Spectral Functions'!M93</f>
        <v>78.00800000000001</v>
      </c>
      <c r="Z93" s="13">
        <v>560</v>
      </c>
      <c r="AA93" s="47">
        <f>'Transmission Calculations'!L95*'Spectral Functions'!J93*'Spectral Functions'!L93*'Spectral Functions'!D93</f>
        <v>0</v>
      </c>
      <c r="AB93" s="47">
        <f>'Spectral Functions'!D93*'Spectral Functions'!J93*'Spectral Functions'!L93</f>
        <v>0</v>
      </c>
      <c r="AD93" s="42">
        <v>560</v>
      </c>
      <c r="AE93" s="152">
        <f>AF93*'Transmission Calculations'!L95</f>
        <v>166.93666020079999</v>
      </c>
      <c r="AF93" s="92">
        <v>3.2543000000000002</v>
      </c>
      <c r="AO93" s="42">
        <v>560</v>
      </c>
      <c r="AP93" s="113">
        <f>'Transmission Calculations'!L95*'Spectral Functions'!K93*'Spectral Functions'!C93</f>
        <v>3211.2518282675996</v>
      </c>
      <c r="AQ93" s="113">
        <f>'Transmission Calculations'!L95*'Spectral Functions'!K93*'Spectral Functions'!D93</f>
        <v>5374.5930515159989</v>
      </c>
      <c r="AR93" s="47">
        <f>'Transmission Calculations'!L95*'Spectral Functions'!K93*'Spectral Functions'!E93</f>
        <v>21.066244121519997</v>
      </c>
      <c r="AX93" s="118"/>
    </row>
    <row r="94" spans="1:52">
      <c r="A94" s="42">
        <v>562</v>
      </c>
      <c r="B94" s="88">
        <f>'Transmission Calculations'!L96*'Spectral Functions'!H94*'Spectral Functions'!C94</f>
        <v>3319.8133825915975</v>
      </c>
      <c r="C94" s="88">
        <f>'Transmission Calculations'!L96*'Spectral Functions'!H94*'Spectral Functions'!D94</f>
        <v>5232.305146576231</v>
      </c>
      <c r="D94" s="88">
        <f>'Transmission Calculations'!L96*'Spectral Functions'!H94*'Spectral Functions'!E94</f>
        <v>17.815602983766393</v>
      </c>
      <c r="J94" s="13">
        <v>562</v>
      </c>
      <c r="K94" s="47">
        <f>'Transmission Calculations'!L96*'Spectral Functions'!J94*'Spectral Functions'!N94*'Spectral Functions'!C94</f>
        <v>648.24139696078009</v>
      </c>
      <c r="L94" s="47">
        <f>'Transmission Calculations'!L96*'Spectral Functions'!J94*'Spectral Functions'!N94*'Spectral Functions'!D94</f>
        <v>1021.6829702921026</v>
      </c>
      <c r="M94" s="47">
        <f>'Transmission Calculations'!L96*'Spectral Functions'!J94*'Spectral Functions'!N94*'Spectral Functions'!E94</f>
        <v>3.4787531812646173</v>
      </c>
      <c r="N94" s="47">
        <f>'Spectral Functions'!D94*'Spectral Functions'!J94*'Spectral Functions'!N94</f>
        <v>19.184458768839001</v>
      </c>
      <c r="R94" s="13">
        <v>562</v>
      </c>
      <c r="S94" s="47">
        <f>'Transmission Calculations'!L96*'Spectral Functions'!J94*'Spectral Functions'!M94*'Spectral Functions'!C94</f>
        <v>2687.9460123062386</v>
      </c>
      <c r="T94" s="47">
        <f>'Transmission Calculations'!L96*'Spectral Functions'!J94*'Spectral Functions'!M94*'Spectral Functions'!D94</f>
        <v>4236.4290196727479</v>
      </c>
      <c r="U94" s="47">
        <f>'Transmission Calculations'!L96*'Spectral Functions'!J94*'Spectral Functions'!M94*'Spectral Functions'!E94</f>
        <v>14.424720150884786</v>
      </c>
      <c r="V94" s="47">
        <f>'Spectral Functions'!D94*'Spectral Functions'!J94*'Spectral Functions'!M94</f>
        <v>79.548744785076011</v>
      </c>
      <c r="Z94" s="13">
        <v>562</v>
      </c>
      <c r="AA94" s="47">
        <f>'Transmission Calculations'!L96*'Spectral Functions'!J94*'Spectral Functions'!L94*'Spectral Functions'!D94</f>
        <v>0</v>
      </c>
      <c r="AB94" s="47">
        <f>'Spectral Functions'!D94*'Spectral Functions'!J94*'Spectral Functions'!L94</f>
        <v>0</v>
      </c>
      <c r="AD94" s="42">
        <v>562</v>
      </c>
      <c r="AE94" s="152">
        <f>AF94*'Transmission Calculations'!L96</f>
        <v>0</v>
      </c>
      <c r="AF94" s="92"/>
      <c r="AO94" s="42">
        <v>562</v>
      </c>
      <c r="AP94" s="113">
        <f>'Transmission Calculations'!L96*'Spectral Functions'!K94*'Spectral Functions'!C94</f>
        <v>3505.5309404881714</v>
      </c>
      <c r="AQ94" s="113">
        <f>'Transmission Calculations'!L96*'Spectral Functions'!K94*'Spectral Functions'!D94</f>
        <v>5525.0116399855797</v>
      </c>
      <c r="AR94" s="47">
        <f>'Transmission Calculations'!L96*'Spectral Functions'!K94*'Spectral Functions'!E94</f>
        <v>18.812246438470797</v>
      </c>
      <c r="AX94" s="118"/>
    </row>
    <row r="95" spans="1:52">
      <c r="A95" s="42">
        <v>564</v>
      </c>
      <c r="B95" s="88">
        <f>'Transmission Calculations'!L97*'Spectral Functions'!H95*'Spectral Functions'!C95</f>
        <v>3586.1199338552897</v>
      </c>
      <c r="C95" s="88">
        <f>'Transmission Calculations'!L97*'Spectral Functions'!H95*'Spectral Functions'!D95</f>
        <v>5326.9739043155005</v>
      </c>
      <c r="D95" s="88">
        <f>'Transmission Calculations'!L97*'Spectral Functions'!H95*'Spectral Functions'!E95</f>
        <v>15.909521299129761</v>
      </c>
      <c r="J95" s="13">
        <v>564</v>
      </c>
      <c r="K95" s="47">
        <f>'Transmission Calculations'!L97*'Spectral Functions'!J95*'Spectral Functions'!N95*'Spectral Functions'!C95</f>
        <v>668.62849624514013</v>
      </c>
      <c r="L95" s="47">
        <f>'Transmission Calculations'!L97*'Spectral Functions'!J95*'Spectral Functions'!N95*'Spectral Functions'!D95</f>
        <v>993.20898823104005</v>
      </c>
      <c r="M95" s="47">
        <f>'Transmission Calculations'!L97*'Spectral Functions'!J95*'Spectral Functions'!N95*'Spectral Functions'!E95</f>
        <v>2.9663144285253056</v>
      </c>
      <c r="N95" s="47">
        <f>'Spectral Functions'!D95*'Spectral Functions'!J95*'Spectral Functions'!N95</f>
        <v>18.054124186329599</v>
      </c>
      <c r="R95" s="13">
        <v>564</v>
      </c>
      <c r="S95" s="47">
        <f>'Transmission Calculations'!L97*'Spectral Functions'!J95*'Spectral Functions'!M95*'Spectral Functions'!C95</f>
        <v>2997.9714434104608</v>
      </c>
      <c r="T95" s="47">
        <f>'Transmission Calculations'!L97*'Spectral Functions'!J95*'Spectral Functions'!M95*'Spectral Functions'!D95</f>
        <v>4453.313313412189</v>
      </c>
      <c r="U95" s="47">
        <f>'Transmission Calculations'!L97*'Spectral Functions'!J95*'Spectral Functions'!M95*'Spectral Functions'!E95</f>
        <v>13.300249688483007</v>
      </c>
      <c r="V95" s="47">
        <f>'Spectral Functions'!D95*'Spectral Functions'!J95*'Spectral Functions'!M95</f>
        <v>80.950406766028806</v>
      </c>
      <c r="Z95" s="13">
        <v>564</v>
      </c>
      <c r="AA95" s="47">
        <f>'Transmission Calculations'!L97*'Spectral Functions'!J95*'Spectral Functions'!L95*'Spectral Functions'!D95</f>
        <v>0</v>
      </c>
      <c r="AB95" s="47">
        <f>'Spectral Functions'!D95*'Spectral Functions'!J95*'Spectral Functions'!L95</f>
        <v>0</v>
      </c>
      <c r="AD95" s="42">
        <v>564</v>
      </c>
      <c r="AE95" s="152">
        <f>AF95*'Transmission Calculations'!L97</f>
        <v>0</v>
      </c>
      <c r="AF95" s="92"/>
      <c r="AO95" s="42">
        <v>564</v>
      </c>
      <c r="AP95" s="113">
        <f>'Transmission Calculations'!L97*'Spectral Functions'!K95*'Spectral Functions'!C95</f>
        <v>3797.8033413725407</v>
      </c>
      <c r="AQ95" s="113">
        <f>'Transmission Calculations'!L97*'Spectral Functions'!K95*'Spectral Functions'!D95</f>
        <v>5641.4173720800345</v>
      </c>
      <c r="AR95" s="47">
        <f>'Transmission Calculations'!L97*'Spectral Functions'!K95*'Spectral Functions'!E95</f>
        <v>16.848637040567752</v>
      </c>
      <c r="AX95" s="118"/>
    </row>
    <row r="96" spans="1:52">
      <c r="A96" s="42">
        <v>566</v>
      </c>
      <c r="B96" s="88">
        <f>'Transmission Calculations'!L98*'Spectral Functions'!H96*'Spectral Functions'!C96</f>
        <v>3904.2594426803976</v>
      </c>
      <c r="C96" s="88">
        <f>'Transmission Calculations'!L98*'Spectral Functions'!H96*'Spectral Functions'!D96</f>
        <v>5495.5321703860636</v>
      </c>
      <c r="D96" s="88">
        <f>'Transmission Calculations'!L98*'Spectral Functions'!H96*'Spectral Functions'!E96</f>
        <v>14.516606029478822</v>
      </c>
      <c r="J96" s="13">
        <v>566</v>
      </c>
      <c r="K96" s="47">
        <f>'Transmission Calculations'!L98*'Spectral Functions'!J96*'Spectral Functions'!N96*'Spectral Functions'!C96</f>
        <v>691.60113764408607</v>
      </c>
      <c r="L96" s="47">
        <f>'Transmission Calculations'!L98*'Spectral Functions'!J96*'Spectral Functions'!N96*'Spectral Functions'!D96</f>
        <v>973.47944131227189</v>
      </c>
      <c r="M96" s="47">
        <f>'Transmission Calculations'!L98*'Spectral Functions'!J96*'Spectral Functions'!N96*'Spectral Functions'!E96</f>
        <v>2.5714738971921345</v>
      </c>
      <c r="N96" s="47">
        <f>'Spectral Functions'!D96*'Spectral Functions'!J96*'Spectral Functions'!N96</f>
        <v>16.953654023459997</v>
      </c>
      <c r="R96" s="13">
        <v>566</v>
      </c>
      <c r="S96" s="47">
        <f>'Transmission Calculations'!L98*'Spectral Functions'!J96*'Spectral Functions'!M96*'Spectral Functions'!C96</f>
        <v>3369.3175230679985</v>
      </c>
      <c r="T96" s="47">
        <f>'Transmission Calculations'!L98*'Spectral Functions'!J96*'Spectral Functions'!M96*'Spectral Functions'!D96</f>
        <v>4742.5620945809187</v>
      </c>
      <c r="U96" s="47">
        <f>'Transmission Calculations'!L98*'Spectral Functions'!J96*'Spectral Functions'!M96*'Spectral Functions'!E96</f>
        <v>12.527613953087751</v>
      </c>
      <c r="V96" s="47">
        <f>'Spectral Functions'!D96*'Spectral Functions'!J96*'Spectral Functions'!M96</f>
        <v>82.594201299119987</v>
      </c>
      <c r="Z96" s="13">
        <v>566</v>
      </c>
      <c r="AA96" s="47">
        <f>'Transmission Calculations'!L98*'Spectral Functions'!J96*'Spectral Functions'!L96*'Spectral Functions'!D96</f>
        <v>0</v>
      </c>
      <c r="AB96" s="47">
        <f>'Spectral Functions'!D96*'Spectral Functions'!J96*'Spectral Functions'!L96</f>
        <v>0</v>
      </c>
      <c r="AD96" s="42">
        <v>566</v>
      </c>
      <c r="AE96" s="152">
        <f>AF96*'Transmission Calculations'!L98</f>
        <v>0</v>
      </c>
      <c r="AF96" s="92"/>
      <c r="AO96" s="42">
        <v>566</v>
      </c>
      <c r="AP96" s="113">
        <f>'Transmission Calculations'!L98*'Spectral Functions'!K96*'Spectral Functions'!C96</f>
        <v>4141.7673445237115</v>
      </c>
      <c r="AQ96" s="113">
        <f>'Transmission Calculations'!L98*'Spectral Functions'!K96*'Spectral Functions'!D96</f>
        <v>5829.8420016007494</v>
      </c>
      <c r="AR96" s="47">
        <f>'Transmission Calculations'!L98*'Spectral Functions'!K96*'Spectral Functions'!E96</f>
        <v>15.39969504816875</v>
      </c>
      <c r="AX96" s="118"/>
    </row>
    <row r="97" spans="1:50">
      <c r="A97" s="42">
        <v>568</v>
      </c>
      <c r="B97" s="88">
        <f>'Transmission Calculations'!L99*'Spectral Functions'!H97*'Spectral Functions'!C97</f>
        <v>4236.6157295770199</v>
      </c>
      <c r="C97" s="88">
        <f>'Transmission Calculations'!L99*'Spectral Functions'!H97*'Spectral Functions'!D97</f>
        <v>5633.7093295673185</v>
      </c>
      <c r="D97" s="88">
        <f>'Transmission Calculations'!L99*'Spectral Functions'!H97*'Spectral Functions'!E97</f>
        <v>13.422022369603441</v>
      </c>
      <c r="J97" s="13">
        <v>568</v>
      </c>
      <c r="K97" s="47">
        <f>'Transmission Calculations'!L99*'Spectral Functions'!J97*'Spectral Functions'!N97*'Spectral Functions'!C97</f>
        <v>708.89237706048436</v>
      </c>
      <c r="L97" s="47">
        <f>'Transmission Calculations'!L99*'Spectral Functions'!J97*'Spectral Functions'!N97*'Spectral Functions'!D97</f>
        <v>942.66127806298141</v>
      </c>
      <c r="M97" s="47">
        <f>'Transmission Calculations'!L99*'Spectral Functions'!J97*'Spectral Functions'!N97*'Spectral Functions'!E97</f>
        <v>2.2458419526042608</v>
      </c>
      <c r="N97" s="47">
        <f>'Spectral Functions'!D97*'Spectral Functions'!J97*'Spectral Functions'!N97</f>
        <v>15.741098605209595</v>
      </c>
      <c r="R97" s="13">
        <v>568</v>
      </c>
      <c r="S97" s="47">
        <f>'Transmission Calculations'!L99*'Spectral Functions'!J97*'Spectral Functions'!M97*'Spectral Functions'!C97</f>
        <v>3773.3750487282036</v>
      </c>
      <c r="T97" s="47">
        <f>'Transmission Calculations'!L99*'Spectral Functions'!J97*'Spectral Functions'!M97*'Spectral Functions'!D97</f>
        <v>5017.7074280227453</v>
      </c>
      <c r="U97" s="47">
        <f>'Transmission Calculations'!L99*'Spectral Functions'!J97*'Spectral Functions'!M97*'Spectral Functions'!E97</f>
        <v>11.954429560216431</v>
      </c>
      <c r="V97" s="47">
        <f>'Spectral Functions'!D97*'Spectral Functions'!J97*'Spectral Functions'!M97</f>
        <v>83.78855611731359</v>
      </c>
      <c r="Z97" s="13">
        <v>568</v>
      </c>
      <c r="AA97" s="47">
        <f>'Transmission Calculations'!L99*'Spectral Functions'!J97*'Spectral Functions'!L97*'Spectral Functions'!D97</f>
        <v>0</v>
      </c>
      <c r="AB97" s="47">
        <f>'Spectral Functions'!D97*'Spectral Functions'!J97*'Spectral Functions'!L97</f>
        <v>0</v>
      </c>
      <c r="AD97" s="42">
        <v>568</v>
      </c>
      <c r="AE97" s="152">
        <f>AF97*'Transmission Calculations'!L99</f>
        <v>0</v>
      </c>
      <c r="AF97" s="92"/>
      <c r="AO97" s="42">
        <v>568</v>
      </c>
      <c r="AP97" s="113">
        <f>'Transmission Calculations'!L99*'Spectral Functions'!K97*'Spectral Functions'!C97</f>
        <v>4496.4236444060989</v>
      </c>
      <c r="AQ97" s="113">
        <f>'Transmission Calculations'!L99*'Spectral Functions'!K97*'Spectral Functions'!D97</f>
        <v>5979.1931702304282</v>
      </c>
      <c r="AR97" s="47">
        <f>'Transmission Calculations'!L99*'Spectral Functions'!K97*'Spectral Functions'!E97</f>
        <v>14.245119829278897</v>
      </c>
      <c r="AX97" s="118"/>
    </row>
    <row r="98" spans="1:50">
      <c r="A98" s="42">
        <v>570</v>
      </c>
      <c r="B98" s="88">
        <f>'Transmission Calculations'!L100*'Spectral Functions'!H98*'Spectral Functions'!C98</f>
        <v>4561.2089707748355</v>
      </c>
      <c r="C98" s="88">
        <f>'Transmission Calculations'!L100*'Spectral Functions'!H98*'Spectral Functions'!D98</f>
        <v>5697.7705552783673</v>
      </c>
      <c r="D98" s="88">
        <f>'Transmission Calculations'!L100*'Spectral Functions'!H98*'Spectral Functions'!E98</f>
        <v>12.568611518996399</v>
      </c>
      <c r="J98" s="13">
        <v>570</v>
      </c>
      <c r="K98" s="47">
        <f>'Transmission Calculations'!L100*'Spectral Functions'!J98*'Spectral Functions'!N98*'Spectral Functions'!C98</f>
        <v>716.07159876606738</v>
      </c>
      <c r="L98" s="47">
        <f>'Transmission Calculations'!L100*'Spectral Functions'!J98*'Spectral Functions'!N98*'Spectral Functions'!D98</f>
        <v>894.50224645754645</v>
      </c>
      <c r="M98" s="47">
        <f>'Transmission Calculations'!L100*'Spectral Functions'!J98*'Spectral Functions'!N98*'Spectral Functions'!E98</f>
        <v>1.9731667201269407</v>
      </c>
      <c r="N98" s="47">
        <f>'Spectral Functions'!D98*'Spectral Functions'!J98*'Spectral Functions'!N98</f>
        <v>14.397726604799999</v>
      </c>
      <c r="R98" s="13">
        <v>570</v>
      </c>
      <c r="S98" s="47">
        <f>'Transmission Calculations'!L100*'Spectral Functions'!J98*'Spectral Functions'!M98*'Spectral Functions'!C98</f>
        <v>4191.8861841302023</v>
      </c>
      <c r="T98" s="47">
        <f>'Transmission Calculations'!L100*'Spectral Functions'!J98*'Spectral Functions'!M98*'Spectral Functions'!D98</f>
        <v>5236.4199544573585</v>
      </c>
      <c r="U98" s="47">
        <f>'Transmission Calculations'!L100*'Spectral Functions'!J98*'Spectral Functions'!M98*'Spectral Functions'!E98</f>
        <v>11.550926370126525</v>
      </c>
      <c r="V98" s="47">
        <f>'Spectral Functions'!D98*'Spectral Functions'!J98*'Spectral Functions'!M98</f>
        <v>84.284352767999991</v>
      </c>
      <c r="Z98" s="13">
        <v>570</v>
      </c>
      <c r="AA98" s="47">
        <f>'Transmission Calculations'!L100*'Spectral Functions'!J98*'Spectral Functions'!L98*'Spectral Functions'!D98</f>
        <v>0</v>
      </c>
      <c r="AB98" s="47">
        <f>'Spectral Functions'!D98*'Spectral Functions'!J98*'Spectral Functions'!L98</f>
        <v>0</v>
      </c>
      <c r="AD98" s="42">
        <v>570</v>
      </c>
      <c r="AE98" s="152">
        <f>AF98*'Transmission Calculations'!L100</f>
        <v>86.823907949999992</v>
      </c>
      <c r="AF98" s="92">
        <v>1.3975</v>
      </c>
      <c r="AO98" s="42">
        <v>570</v>
      </c>
      <c r="AP98" s="113">
        <f>'Transmission Calculations'!L100*'Spectral Functions'!K98*'Spectral Functions'!C98</f>
        <v>4843.6762614966001</v>
      </c>
      <c r="AQ98" s="113">
        <f>'Transmission Calculations'!L100*'Spectral Functions'!K98*'Spectral Functions'!D98</f>
        <v>6050.6230165919997</v>
      </c>
      <c r="AR98" s="47">
        <f>'Transmission Calculations'!L100*'Spectral Functions'!K98*'Spectral Functions'!E98</f>
        <v>13.3469625366</v>
      </c>
      <c r="AX98" s="118"/>
    </row>
    <row r="99" spans="1:50">
      <c r="A99" s="42">
        <v>572</v>
      </c>
      <c r="B99" s="88">
        <f>'Transmission Calculations'!L101*'Spectral Functions'!H99*'Spectral Functions'!C99</f>
        <v>4999.2696918373567</v>
      </c>
      <c r="C99" s="88">
        <f>'Transmission Calculations'!L101*'Spectral Functions'!H99*'Spectral Functions'!D99</f>
        <v>5902.9392678644972</v>
      </c>
      <c r="D99" s="88">
        <f>'Transmission Calculations'!L101*'Spectral Functions'!H99*'Spectral Functions'!E99</f>
        <v>12.2524645138674</v>
      </c>
      <c r="J99" s="13">
        <v>572</v>
      </c>
      <c r="K99" s="47">
        <f>'Transmission Calculations'!L101*'Spectral Functions'!J99*'Spectral Functions'!N99*'Spectral Functions'!C99</f>
        <v>743.05725089897942</v>
      </c>
      <c r="L99" s="47">
        <f>'Transmission Calculations'!L101*'Spectral Functions'!J99*'Spectral Functions'!N99*'Spectral Functions'!D99</f>
        <v>877.37251538253804</v>
      </c>
      <c r="M99" s="47">
        <f>'Transmission Calculations'!L101*'Spectral Functions'!J99*'Spectral Functions'!N99*'Spectral Functions'!E99</f>
        <v>1.8211225158100162</v>
      </c>
      <c r="N99" s="47">
        <f>'Spectral Functions'!D99*'Spectral Functions'!J99*'Spectral Functions'!N99</f>
        <v>13.4226246110742</v>
      </c>
      <c r="R99" s="13">
        <v>572</v>
      </c>
      <c r="S99" s="47">
        <f>'Transmission Calculations'!L101*'Spectral Functions'!J99*'Spectral Functions'!M99*'Spectral Functions'!C99</f>
        <v>4682.0620943778922</v>
      </c>
      <c r="T99" s="47">
        <f>'Transmission Calculations'!L101*'Spectral Functions'!J99*'Spectral Functions'!M99*'Spectral Functions'!D99</f>
        <v>5528.3931244216437</v>
      </c>
      <c r="U99" s="47">
        <f>'Transmission Calculations'!L101*'Spectral Functions'!J99*'Spectral Functions'!M99*'Spectral Functions'!E99</f>
        <v>11.475035995108533</v>
      </c>
      <c r="V99" s="47">
        <f>'Spectral Functions'!D99*'Spectral Functions'!J99*'Spectral Functions'!M99</f>
        <v>84.577011828551989</v>
      </c>
      <c r="Z99" s="13">
        <v>572</v>
      </c>
      <c r="AA99" s="47">
        <f>'Transmission Calculations'!L101*'Spectral Functions'!J99*'Spectral Functions'!L99*'Spectral Functions'!D99</f>
        <v>0</v>
      </c>
      <c r="AB99" s="47">
        <f>'Spectral Functions'!D99*'Spectral Functions'!J99*'Spectral Functions'!L99</f>
        <v>0</v>
      </c>
      <c r="AD99" s="42">
        <v>572</v>
      </c>
      <c r="AE99" s="152">
        <f>AF99*'Transmission Calculations'!L101</f>
        <v>0</v>
      </c>
      <c r="AF99" s="92"/>
      <c r="AO99" s="42">
        <v>572</v>
      </c>
      <c r="AP99" s="113">
        <f>'Transmission Calculations'!L101*'Spectral Functions'!K99*'Spectral Functions'!C99</f>
        <v>5268.1314289665679</v>
      </c>
      <c r="AQ99" s="113">
        <f>'Transmission Calculations'!L101*'Spectral Functions'!K99*'Spectral Functions'!D99</f>
        <v>6220.4005379211239</v>
      </c>
      <c r="AR99" s="47">
        <f>'Transmission Calculations'!L101*'Spectral Functions'!K99*'Spectral Functions'!E99</f>
        <v>12.911404538385602</v>
      </c>
      <c r="AX99" s="118"/>
    </row>
    <row r="100" spans="1:50">
      <c r="A100" s="42">
        <v>574</v>
      </c>
      <c r="B100" s="88">
        <f>'Transmission Calculations'!L102*'Spectral Functions'!H100*'Spectral Functions'!C100</f>
        <v>5420.4084997835589</v>
      </c>
      <c r="C100" s="88">
        <f>'Transmission Calculations'!L102*'Spectral Functions'!H100*'Spectral Functions'!D100</f>
        <v>6053.7214638605856</v>
      </c>
      <c r="D100" s="88">
        <f>'Transmission Calculations'!L102*'Spectral Functions'!H100*'Spectral Functions'!E100</f>
        <v>12.068660637481443</v>
      </c>
      <c r="J100" s="13">
        <v>574</v>
      </c>
      <c r="K100" s="47">
        <f>'Transmission Calculations'!L102*'Spectral Functions'!J100*'Spectral Functions'!N100*'Spectral Functions'!C100</f>
        <v>758.71818625140236</v>
      </c>
      <c r="L100" s="47">
        <f>'Transmission Calculations'!L102*'Spectral Functions'!J100*'Spectral Functions'!N100*'Spectral Functions'!D100</f>
        <v>847.36576022174222</v>
      </c>
      <c r="M100" s="47">
        <f>'Transmission Calculations'!L102*'Spectral Functions'!J100*'Spectral Functions'!N100*'Spectral Functions'!E100</f>
        <v>1.6893029943627402</v>
      </c>
      <c r="N100" s="47">
        <f>'Spectral Functions'!D100*'Spectral Functions'!J100*'Spectral Functions'!N100</f>
        <v>12.423957516467281</v>
      </c>
      <c r="R100" s="13">
        <v>574</v>
      </c>
      <c r="S100" s="47">
        <f>'Transmission Calculations'!L102*'Spectral Functions'!J100*'Spectral Functions'!M100*'Spectral Functions'!C100</f>
        <v>5172.3448926907913</v>
      </c>
      <c r="T100" s="47">
        <f>'Transmission Calculations'!L102*'Spectral Functions'!J100*'Spectral Functions'!M100*'Spectral Functions'!D100</f>
        <v>5776.6744511271118</v>
      </c>
      <c r="U100" s="47">
        <f>'Transmission Calculations'!L102*'Spectral Functions'!J100*'Spectral Functions'!M100*'Spectral Functions'!E100</f>
        <v>11.51634147359708</v>
      </c>
      <c r="V100" s="47">
        <f>'Spectral Functions'!D100*'Spectral Functions'!J100*'Spectral Functions'!M100</f>
        <v>84.696787782036807</v>
      </c>
      <c r="Z100" s="13">
        <v>574</v>
      </c>
      <c r="AA100" s="47">
        <f>'Transmission Calculations'!L102*'Spectral Functions'!J100*'Spectral Functions'!L100*'Spectral Functions'!D100</f>
        <v>0</v>
      </c>
      <c r="AB100" s="47">
        <f>'Spectral Functions'!D100*'Spectral Functions'!J100*'Spectral Functions'!L100</f>
        <v>0</v>
      </c>
      <c r="AD100" s="42">
        <v>574</v>
      </c>
      <c r="AE100" s="152">
        <f>AF100*'Transmission Calculations'!L102</f>
        <v>0</v>
      </c>
      <c r="AF100" s="92"/>
      <c r="AO100" s="42">
        <v>574</v>
      </c>
      <c r="AP100" s="113">
        <f>'Transmission Calculations'!L102*'Spectral Functions'!K100*'Spectral Functions'!C100</f>
        <v>5667.6594378259497</v>
      </c>
      <c r="AQ100" s="113">
        <f>'Transmission Calculations'!L102*'Spectral Functions'!K100*'Spectral Functions'!D100</f>
        <v>6329.8608564260458</v>
      </c>
      <c r="AR100" s="47">
        <f>'Transmission Calculations'!L102*'Spectral Functions'!K100*'Spectral Functions'!E100</f>
        <v>12.619170375566998</v>
      </c>
      <c r="AX100" s="118"/>
    </row>
    <row r="101" spans="1:50">
      <c r="A101" s="42">
        <v>576</v>
      </c>
      <c r="B101" s="88">
        <f>'Transmission Calculations'!L103*'Spectral Functions'!H101*'Spectral Functions'!C101</f>
        <v>5810.0127372521101</v>
      </c>
      <c r="C101" s="88">
        <f>'Transmission Calculations'!L103*'Spectral Functions'!H101*'Spectral Functions'!D101</f>
        <v>6142.340267554795</v>
      </c>
      <c r="D101" s="88">
        <f>'Transmission Calculations'!L103*'Spectral Functions'!H101*'Spectral Functions'!E101</f>
        <v>11.95953820867973</v>
      </c>
      <c r="J101" s="13">
        <v>576</v>
      </c>
      <c r="K101" s="47">
        <f>'Transmission Calculations'!L103*'Spectral Functions'!J101*'Spectral Functions'!N101*'Spectral Functions'!C101</f>
        <v>761.19573377242034</v>
      </c>
      <c r="L101" s="47">
        <f>'Transmission Calculations'!L103*'Spectral Functions'!J101*'Spectral Functions'!N101*'Spectral Functions'!D101</f>
        <v>804.73544869586306</v>
      </c>
      <c r="M101" s="47">
        <f>'Transmission Calculations'!L103*'Spectral Functions'!J101*'Spectral Functions'!N101*'Spectral Functions'!E101</f>
        <v>1.5668725481384844</v>
      </c>
      <c r="N101" s="47">
        <f>'Spectral Functions'!D101*'Spectral Functions'!J101*'Spectral Functions'!N101</f>
        <v>11.408539711783718</v>
      </c>
      <c r="R101" s="13">
        <v>576</v>
      </c>
      <c r="S101" s="47">
        <f>'Transmission Calculations'!L103*'Spectral Functions'!J101*'Spectral Functions'!M101*'Spectral Functions'!C101</f>
        <v>5647.8860615424846</v>
      </c>
      <c r="T101" s="47">
        <f>'Transmission Calculations'!L103*'Spectral Functions'!J101*'Spectral Functions'!M101*'Spectral Functions'!D101</f>
        <v>5970.9400910507038</v>
      </c>
      <c r="U101" s="47">
        <f>'Transmission Calculations'!L103*'Spectral Functions'!J101*'Spectral Functions'!M101*'Spectral Functions'!E101</f>
        <v>11.62581085549108</v>
      </c>
      <c r="V101" s="47">
        <f>'Spectral Functions'!D101*'Spectral Functions'!J101*'Spectral Functions'!M101</f>
        <v>84.648572715203201</v>
      </c>
      <c r="Z101" s="13">
        <v>576</v>
      </c>
      <c r="AA101" s="47">
        <f>'Transmission Calculations'!L103*'Spectral Functions'!J101*'Spectral Functions'!L101*'Spectral Functions'!D101</f>
        <v>0</v>
      </c>
      <c r="AB101" s="47">
        <f>'Spectral Functions'!D101*'Spectral Functions'!J101*'Spectral Functions'!L101</f>
        <v>0</v>
      </c>
      <c r="AD101" s="42">
        <v>576</v>
      </c>
      <c r="AE101" s="152">
        <f>AF101*'Transmission Calculations'!L103</f>
        <v>0</v>
      </c>
      <c r="AF101" s="92"/>
      <c r="AO101" s="42">
        <v>576</v>
      </c>
      <c r="AP101" s="113">
        <f>'Transmission Calculations'!L103*'Spectral Functions'!K101*'Spectral Functions'!C101</f>
        <v>6027.4801042670042</v>
      </c>
      <c r="AQ101" s="113">
        <f>'Transmission Calculations'!L103*'Spectral Functions'!K101*'Spectral Functions'!D101</f>
        <v>6372.2465733930258</v>
      </c>
      <c r="AR101" s="47">
        <f>'Transmission Calculations'!L103*'Spectral Functions'!K101*'Spectral Functions'!E101</f>
        <v>12.407180821970398</v>
      </c>
      <c r="AX101" s="118"/>
    </row>
    <row r="102" spans="1:50">
      <c r="A102" s="42">
        <v>578</v>
      </c>
      <c r="B102" s="88">
        <f>'Transmission Calculations'!L104*'Spectral Functions'!H102*'Spectral Functions'!C102</f>
        <v>6222.3119687139852</v>
      </c>
      <c r="C102" s="88">
        <f>'Transmission Calculations'!L104*'Spectral Functions'!H102*'Spectral Functions'!D102</f>
        <v>6231.4993840935058</v>
      </c>
      <c r="D102" s="88">
        <f>'Transmission Calculations'!L104*'Spectral Functions'!H102*'Spectral Functions'!E102</f>
        <v>11.990593222242326</v>
      </c>
      <c r="J102" s="13">
        <v>578</v>
      </c>
      <c r="K102" s="47">
        <f>'Transmission Calculations'!L104*'Spectral Functions'!J102*'Spectral Functions'!N102*'Spectral Functions'!C102</f>
        <v>757.57139919372833</v>
      </c>
      <c r="L102" s="47">
        <f>'Transmission Calculations'!L104*'Spectral Functions'!J102*'Spectral Functions'!N102*'Spectral Functions'!D102</f>
        <v>758.68997427627539</v>
      </c>
      <c r="M102" s="47">
        <f>'Transmission Calculations'!L104*'Spectral Functions'!J102*'Spectral Functions'!N102*'Spectral Functions'!E102</f>
        <v>1.4598642000289104</v>
      </c>
      <c r="N102" s="47">
        <f>'Spectral Functions'!D102*'Spectral Functions'!J102*'Spectral Functions'!N102</f>
        <v>10.381966223095398</v>
      </c>
      <c r="R102" s="13">
        <v>578</v>
      </c>
      <c r="S102" s="47">
        <f>'Transmission Calculations'!L104*'Spectral Functions'!J102*'Spectral Functions'!M102*'Spectral Functions'!C102</f>
        <v>6160.8574016103112</v>
      </c>
      <c r="T102" s="47">
        <f>'Transmission Calculations'!L104*'Spectral Functions'!J102*'Spectral Functions'!M102*'Spectral Functions'!D102</f>
        <v>6169.9540776251415</v>
      </c>
      <c r="U102" s="47">
        <f>'Transmission Calculations'!L104*'Spectral Functions'!J102*'Spectral Functions'!M102*'Spectral Functions'!E102</f>
        <v>11.872168315311562</v>
      </c>
      <c r="V102" s="47">
        <f>'Spectral Functions'!D102*'Spectral Functions'!J102*'Spectral Functions'!M102</f>
        <v>84.430079484124008</v>
      </c>
      <c r="Z102" s="13">
        <v>578</v>
      </c>
      <c r="AA102" s="47">
        <f>'Transmission Calculations'!L104*'Spectral Functions'!J102*'Spectral Functions'!L102*'Spectral Functions'!D102</f>
        <v>0</v>
      </c>
      <c r="AB102" s="47">
        <f>'Spectral Functions'!D102*'Spectral Functions'!J102*'Spectral Functions'!L102</f>
        <v>0</v>
      </c>
      <c r="AD102" s="42">
        <v>578</v>
      </c>
      <c r="AE102" s="152">
        <f>AF102*'Transmission Calculations'!L104</f>
        <v>0</v>
      </c>
      <c r="AF102" s="92"/>
      <c r="AO102" s="42">
        <v>578</v>
      </c>
      <c r="AP102" s="113">
        <f>'Transmission Calculations'!L104*'Spectral Functions'!K102*'Spectral Functions'!C102</f>
        <v>6404.1722939988904</v>
      </c>
      <c r="AQ102" s="113">
        <f>'Transmission Calculations'!L104*'Spectral Functions'!K102*'Spectral Functions'!D102</f>
        <v>6413.6282311686791</v>
      </c>
      <c r="AR102" s="47">
        <f>'Transmission Calculations'!L104*'Spectral Functions'!K102*'Spectral Functions'!E102</f>
        <v>12.3410438577489</v>
      </c>
      <c r="AX102" s="118"/>
    </row>
    <row r="103" spans="1:50">
      <c r="A103" s="42">
        <v>580</v>
      </c>
      <c r="B103" s="88">
        <f>'Transmission Calculations'!L105*'Spectral Functions'!H103*'Spectral Functions'!C103</f>
        <v>6608.0677813112106</v>
      </c>
      <c r="C103" s="88">
        <f>'Transmission Calculations'!L105*'Spectral Functions'!H103*'Spectral Functions'!D103</f>
        <v>6274.1667245888393</v>
      </c>
      <c r="D103" s="88">
        <f>'Transmission Calculations'!L105*'Spectral Functions'!H103*'Spectral Functions'!E103</f>
        <v>11.899281719047798</v>
      </c>
      <c r="J103" s="13">
        <v>580</v>
      </c>
      <c r="K103" s="47">
        <f>'Transmission Calculations'!L105*'Spectral Functions'!J103*'Spectral Functions'!N103*'Spectral Functions'!C103</f>
        <v>741.29597976800835</v>
      </c>
      <c r="L103" s="47">
        <f>'Transmission Calculations'!L105*'Spectral Functions'!J103*'Spectral Functions'!N103*'Spectral Functions'!D103</f>
        <v>703.83881086780229</v>
      </c>
      <c r="M103" s="47">
        <f>'Transmission Calculations'!L105*'Spectral Functions'!J103*'Spectral Functions'!N103*'Spectral Functions'!E103</f>
        <v>1.3348667102665217</v>
      </c>
      <c r="N103" s="47">
        <f>'Spectral Functions'!D103*'Spectral Functions'!J103*'Spectral Functions'!N103</f>
        <v>9.3486201480000002</v>
      </c>
      <c r="R103" s="13">
        <v>580</v>
      </c>
      <c r="S103" s="47">
        <f>'Transmission Calculations'!L105*'Spectral Functions'!J103*'Spectral Functions'!M103*'Spectral Functions'!C103</f>
        <v>6662.9798394483396</v>
      </c>
      <c r="T103" s="47">
        <f>'Transmission Calculations'!L105*'Spectral Functions'!J103*'Spectral Functions'!M103*'Spectral Functions'!D103</f>
        <v>6326.304114722313</v>
      </c>
      <c r="U103" s="47">
        <f>'Transmission Calculations'!L105*'Spectral Functions'!J103*'Spectral Functions'!M103*'Spectral Functions'!E103</f>
        <v>11.99816297619749</v>
      </c>
      <c r="V103" s="47">
        <f>'Spectral Functions'!D103*'Spectral Functions'!J103*'Spectral Functions'!M103</f>
        <v>84.028066080000002</v>
      </c>
      <c r="Z103" s="13">
        <v>580</v>
      </c>
      <c r="AA103" s="47">
        <f>'Transmission Calculations'!L105*'Spectral Functions'!J103*'Spectral Functions'!L103*'Spectral Functions'!D103</f>
        <v>0</v>
      </c>
      <c r="AB103" s="47">
        <f>'Spectral Functions'!D103*'Spectral Functions'!J103*'Spectral Functions'!L103</f>
        <v>0</v>
      </c>
      <c r="AD103" s="42">
        <v>580</v>
      </c>
      <c r="AE103" s="152">
        <f>AF103*'Transmission Calculations'!L105</f>
        <v>63.911973862099998</v>
      </c>
      <c r="AF103" s="92">
        <v>0.84889999999999999</v>
      </c>
      <c r="AO103" s="42">
        <v>580</v>
      </c>
      <c r="AP103" s="113">
        <f>'Transmission Calculations'!L105*'Spectral Functions'!K103*'Spectral Functions'!C103</f>
        <v>6746.8683865644598</v>
      </c>
      <c r="AQ103" s="113">
        <f>'Transmission Calculations'!L105*'Spectral Functions'!K103*'Spectral Functions'!D103</f>
        <v>6405.9538320539996</v>
      </c>
      <c r="AR103" s="47">
        <f>'Transmission Calculations'!L105*'Spectral Functions'!K103*'Spectral Functions'!E103</f>
        <v>12.149222784929998</v>
      </c>
      <c r="AX103" s="118"/>
    </row>
    <row r="104" spans="1:50">
      <c r="A104" s="42">
        <v>582</v>
      </c>
      <c r="B104" s="88">
        <f>'Transmission Calculations'!L106*'Spectral Functions'!H104*'Spectral Functions'!C104</f>
        <v>6899.5022960586875</v>
      </c>
      <c r="C104" s="88">
        <f>'Transmission Calculations'!L106*'Spectral Functions'!H104*'Spectral Functions'!D104</f>
        <v>6215.9466335884044</v>
      </c>
      <c r="D104" s="88">
        <f>'Transmission Calculations'!L106*'Spectral Functions'!H104*'Spectral Functions'!E104</f>
        <v>11.445528725173141</v>
      </c>
      <c r="J104" s="13">
        <v>582</v>
      </c>
      <c r="K104" s="47">
        <f>'Transmission Calculations'!L106*'Spectral Functions'!J104*'Spectral Functions'!N104*'Spectral Functions'!C104</f>
        <v>738.19378692136502</v>
      </c>
      <c r="L104" s="47">
        <f>'Transmission Calculations'!L106*'Spectral Functions'!J104*'Spectral Functions'!N104*'Spectral Functions'!D104</f>
        <v>665.05857782972816</v>
      </c>
      <c r="M104" s="47">
        <f>'Transmission Calculations'!L106*'Spectral Functions'!J104*'Spectral Functions'!N104*'Spectral Functions'!E104</f>
        <v>1.2245837207387107</v>
      </c>
      <c r="N104" s="47">
        <f>'Spectral Functions'!D104*'Spectral Functions'!J104*'Spectral Functions'!N104</f>
        <v>8.5759697043187213</v>
      </c>
      <c r="R104" s="13">
        <v>582</v>
      </c>
      <c r="S104" s="47">
        <f>'Transmission Calculations'!L106*'Spectral Functions'!J104*'Spectral Functions'!M104*'Spectral Functions'!C104</f>
        <v>7173.4947200140914</v>
      </c>
      <c r="T104" s="47">
        <f>'Transmission Calculations'!L106*'Spectral Functions'!J104*'Spectral Functions'!M104*'Spectral Functions'!D104</f>
        <v>6462.793755631863</v>
      </c>
      <c r="U104" s="47">
        <f>'Transmission Calculations'!L106*'Spectral Functions'!J104*'Spectral Functions'!M104*'Spectral Functions'!E104</f>
        <v>11.900052547949867</v>
      </c>
      <c r="V104" s="47">
        <f>'Spectral Functions'!D104*'Spectral Functions'!J104*'Spectral Functions'!M104</f>
        <v>83.33810780160961</v>
      </c>
      <c r="Z104" s="13">
        <v>582</v>
      </c>
      <c r="AA104" s="47">
        <f>'Transmission Calculations'!L106*'Spectral Functions'!J104*'Spectral Functions'!L104*'Spectral Functions'!D104</f>
        <v>0</v>
      </c>
      <c r="AB104" s="47">
        <f>'Spectral Functions'!D104*'Spectral Functions'!J104*'Spectral Functions'!L104</f>
        <v>0</v>
      </c>
      <c r="AD104" s="42">
        <v>582</v>
      </c>
      <c r="AE104" s="152">
        <f>AF104*'Transmission Calculations'!L106</f>
        <v>0</v>
      </c>
      <c r="AF104" s="92"/>
      <c r="AO104" s="42">
        <v>582</v>
      </c>
      <c r="AP104" s="113">
        <f>'Transmission Calculations'!L106*'Spectral Functions'!K104*'Spectral Functions'!C104</f>
        <v>7081.0056149975762</v>
      </c>
      <c r="AQ104" s="113">
        <f>'Transmission Calculations'!L106*'Spectral Functions'!K104*'Spectral Functions'!D104</f>
        <v>6379.4678407612464</v>
      </c>
      <c r="AR104" s="47">
        <f>'Transmission Calculations'!L106*'Spectral Functions'!K104*'Spectral Functions'!E104</f>
        <v>11.7466231174188</v>
      </c>
      <c r="AX104" s="118"/>
    </row>
    <row r="105" spans="1:50">
      <c r="A105" s="42">
        <v>584</v>
      </c>
      <c r="B105" s="88">
        <f>'Transmission Calculations'!L107*'Spectral Functions'!H105*'Spectral Functions'!C105</f>
        <v>7185.6149582669459</v>
      </c>
      <c r="C105" s="88">
        <f>'Transmission Calculations'!L107*'Spectral Functions'!H105*'Spectral Functions'!D105</f>
        <v>6148.2296780844827</v>
      </c>
      <c r="D105" s="88">
        <f>'Transmission Calculations'!L107*'Spectral Functions'!H105*'Spectral Functions'!E105</f>
        <v>10.83914094248812</v>
      </c>
      <c r="J105" s="13">
        <v>584</v>
      </c>
      <c r="K105" s="47">
        <f>'Transmission Calculations'!L107*'Spectral Functions'!J105*'Spectral Functions'!N105*'Spectral Functions'!C105</f>
        <v>728.86515295529421</v>
      </c>
      <c r="L105" s="47">
        <f>'Transmission Calculations'!L107*'Spectral Functions'!J105*'Spectral Functions'!N105*'Spectral Functions'!D105</f>
        <v>623.63908875547736</v>
      </c>
      <c r="M105" s="47">
        <f>'Transmission Calculations'!L107*'Spectral Functions'!J105*'Spectral Functions'!N105*'Spectral Functions'!E105</f>
        <v>1.0994566459286057</v>
      </c>
      <c r="N105" s="47">
        <f>'Spectral Functions'!D105*'Spectral Functions'!J105*'Spectral Functions'!N105</f>
        <v>7.8024165701765416</v>
      </c>
      <c r="R105" s="13">
        <v>584</v>
      </c>
      <c r="S105" s="47">
        <f>'Transmission Calculations'!L107*'Spectral Functions'!J105*'Spectral Functions'!M105*'Spectral Functions'!C105</f>
        <v>7704.1609147328327</v>
      </c>
      <c r="T105" s="47">
        <f>'Transmission Calculations'!L107*'Spectral Functions'!J105*'Spectral Functions'!M105*'Spectral Functions'!D105</f>
        <v>6591.9132956329522</v>
      </c>
      <c r="U105" s="47">
        <f>'Transmission Calculations'!L107*'Spectral Functions'!J105*'Spectral Functions'!M105*'Spectral Functions'!E105</f>
        <v>11.621341594754444</v>
      </c>
      <c r="V105" s="47">
        <f>'Spectral Functions'!D105*'Spectral Functions'!J105*'Spectral Functions'!M105</f>
        <v>82.472145275005204</v>
      </c>
      <c r="Z105" s="13">
        <v>584</v>
      </c>
      <c r="AA105" s="47">
        <f>'Transmission Calculations'!L107*'Spectral Functions'!J105*'Spectral Functions'!L105*'Spectral Functions'!D105</f>
        <v>0</v>
      </c>
      <c r="AB105" s="47">
        <f>'Spectral Functions'!D105*'Spectral Functions'!J105*'Spectral Functions'!L105</f>
        <v>0</v>
      </c>
      <c r="AD105" s="42">
        <v>584</v>
      </c>
      <c r="AE105" s="152">
        <f>AF105*'Transmission Calculations'!L107</f>
        <v>0</v>
      </c>
      <c r="AF105" s="92"/>
      <c r="AO105" s="42">
        <v>584</v>
      </c>
      <c r="AP105" s="113">
        <f>'Transmission Calculations'!L107*'Spectral Functions'!K105*'Spectral Functions'!C105</f>
        <v>7413.9076516487894</v>
      </c>
      <c r="AQ105" s="113">
        <f>'Transmission Calculations'!L107*'Spectral Functions'!K105*'Spectral Functions'!D105</f>
        <v>6343.5638173184916</v>
      </c>
      <c r="AR105" s="47">
        <f>'Transmission Calculations'!L107*'Spectral Functions'!K105*'Spectral Functions'!E105</f>
        <v>11.183509057684601</v>
      </c>
      <c r="AX105" s="118"/>
    </row>
    <row r="106" spans="1:50">
      <c r="A106" s="42">
        <v>586</v>
      </c>
      <c r="B106" s="88">
        <f>'Transmission Calculations'!L108*'Spectral Functions'!H106*'Spectral Functions'!C106</f>
        <v>7398.4801751623409</v>
      </c>
      <c r="C106" s="88">
        <f>'Transmission Calculations'!L108*'Spectral Functions'!H106*'Spectral Functions'!D106</f>
        <v>6018.1363518078651</v>
      </c>
      <c r="D106" s="88">
        <f>'Transmission Calculations'!L108*'Spectral Functions'!H106*'Spectral Functions'!E106</f>
        <v>9.9978855514349814</v>
      </c>
      <c r="J106" s="13">
        <v>586</v>
      </c>
      <c r="K106" s="47">
        <f>'Transmission Calculations'!L108*'Spectral Functions'!J106*'Spectral Functions'!N106*'Spectral Functions'!C106</f>
        <v>706.46378082642593</v>
      </c>
      <c r="L106" s="47">
        <f>'Transmission Calculations'!L108*'Spectral Functions'!J106*'Spectral Functions'!N106*'Spectral Functions'!D106</f>
        <v>574.65793784246341</v>
      </c>
      <c r="M106" s="47">
        <f>'Transmission Calculations'!L108*'Spectral Functions'!J106*'Spectral Functions'!N106*'Spectral Functions'!E106</f>
        <v>0.95467499536574352</v>
      </c>
      <c r="N106" s="47">
        <f>'Spectral Functions'!D106*'Spectral Functions'!J106*'Spectral Functions'!N106</f>
        <v>7.0336375669620015</v>
      </c>
      <c r="R106" s="13">
        <v>586</v>
      </c>
      <c r="S106" s="47">
        <f>'Transmission Calculations'!L108*'Spectral Functions'!J106*'Spectral Functions'!M106*'Spectral Functions'!C106</f>
        <v>8180.6124049476566</v>
      </c>
      <c r="T106" s="47">
        <f>'Transmission Calculations'!L108*'Spectral Functions'!J106*'Spectral Functions'!M106*'Spectral Functions'!D106</f>
        <v>6654.3451801823048</v>
      </c>
      <c r="U106" s="47">
        <f>'Transmission Calculations'!L108*'Spectral Functions'!J106*'Spectral Functions'!M106*'Spectral Functions'!E106</f>
        <v>11.05481458744617</v>
      </c>
      <c r="V106" s="47">
        <f>'Spectral Functions'!D106*'Spectral Functions'!J106*'Spectral Functions'!M106</f>
        <v>81.447151706610015</v>
      </c>
      <c r="Z106" s="13">
        <v>586</v>
      </c>
      <c r="AA106" s="47">
        <f>'Transmission Calculations'!L108*'Spectral Functions'!J106*'Spectral Functions'!L106*'Spectral Functions'!D106</f>
        <v>0</v>
      </c>
      <c r="AB106" s="47">
        <f>'Spectral Functions'!D106*'Spectral Functions'!J106*'Spectral Functions'!L106</f>
        <v>0</v>
      </c>
      <c r="AD106" s="42">
        <v>586</v>
      </c>
      <c r="AE106" s="152">
        <f>AF106*'Transmission Calculations'!L108</f>
        <v>0</v>
      </c>
      <c r="AF106" s="92"/>
      <c r="AO106" s="42">
        <v>586</v>
      </c>
      <c r="AP106" s="113">
        <f>'Transmission Calculations'!L108*'Spectral Functions'!K106*'Spectral Functions'!C106</f>
        <v>7677.6330273048397</v>
      </c>
      <c r="AQ106" s="113">
        <f>'Transmission Calculations'!L108*'Spectral Functions'!K106*'Spectral Functions'!D106</f>
        <v>6245.2073025187328</v>
      </c>
      <c r="AR106" s="47">
        <f>'Transmission Calculations'!L108*'Spectral Functions'!K106*'Spectral Functions'!E106</f>
        <v>10.375116847728361</v>
      </c>
      <c r="AX106" s="118"/>
    </row>
    <row r="107" spans="1:50">
      <c r="A107" s="42">
        <v>588</v>
      </c>
      <c r="B107" s="88">
        <f>'Transmission Calculations'!L109*'Spectral Functions'!H107*'Spectral Functions'!C107</f>
        <v>7602.7997322840602</v>
      </c>
      <c r="C107" s="88">
        <f>'Transmission Calculations'!L109*'Spectral Functions'!H107*'Spectral Functions'!D107</f>
        <v>5885.7507399867109</v>
      </c>
      <c r="D107" s="88">
        <f>'Transmission Calculations'!L109*'Spectral Functions'!H107*'Spectral Functions'!E107</f>
        <v>9.0788559556216484</v>
      </c>
      <c r="J107" s="13">
        <v>588</v>
      </c>
      <c r="K107" s="47">
        <f>'Transmission Calculations'!L109*'Spectral Functions'!J107*'Spectral Functions'!N107*'Spectral Functions'!C107</f>
        <v>678.35508287389132</v>
      </c>
      <c r="L107" s="47">
        <f>'Transmission Calculations'!L109*'Spectral Functions'!J107*'Spectral Functions'!N107*'Spectral Functions'!D107</f>
        <v>525.15245325280625</v>
      </c>
      <c r="M107" s="47">
        <f>'Transmission Calculations'!L109*'Spectral Functions'!J107*'Spectral Functions'!N107*'Spectral Functions'!E107</f>
        <v>0.81005528240129376</v>
      </c>
      <c r="N107" s="47">
        <f>'Spectral Functions'!D107*'Spectral Functions'!J107*'Spectral Functions'!N107</f>
        <v>6.274245571675201</v>
      </c>
      <c r="R107" s="13">
        <v>588</v>
      </c>
      <c r="S107" s="47">
        <f>'Transmission Calculations'!L109*'Spectral Functions'!J107*'Spectral Functions'!M107*'Spectral Functions'!C107</f>
        <v>8679.0443666884203</v>
      </c>
      <c r="T107" s="47">
        <f>'Transmission Calculations'!L109*'Spectral Functions'!J107*'Spectral Functions'!M107*'Spectral Functions'!D107</f>
        <v>6718.9316570709425</v>
      </c>
      <c r="U107" s="47">
        <f>'Transmission Calculations'!L109*'Spectral Functions'!J107*'Spectral Functions'!M107*'Spectral Functions'!E107</f>
        <v>10.364049614909632</v>
      </c>
      <c r="V107" s="47">
        <f>'Spectral Functions'!D107*'Spectral Functions'!J107*'Spectral Functions'!M107</f>
        <v>80.274264996096008</v>
      </c>
      <c r="Z107" s="13">
        <v>588</v>
      </c>
      <c r="AA107" s="47">
        <f>'Transmission Calculations'!L109*'Spectral Functions'!J107*'Spectral Functions'!L107*'Spectral Functions'!D107</f>
        <v>0</v>
      </c>
      <c r="AB107" s="47">
        <f>'Spectral Functions'!D107*'Spectral Functions'!J107*'Spectral Functions'!L107</f>
        <v>0</v>
      </c>
      <c r="AD107" s="42">
        <v>588</v>
      </c>
      <c r="AE107" s="152">
        <f>AF107*'Transmission Calculations'!L109</f>
        <v>0</v>
      </c>
      <c r="AF107" s="92"/>
      <c r="AO107" s="42">
        <v>588</v>
      </c>
      <c r="AP107" s="113">
        <f>'Transmission Calculations'!L109*'Spectral Functions'!K107*'Spectral Functions'!C107</f>
        <v>7946.8831332462441</v>
      </c>
      <c r="AQ107" s="113">
        <f>'Transmission Calculations'!L109*'Spectral Functions'!K107*'Spectral Functions'!D107</f>
        <v>6152.1248657223505</v>
      </c>
      <c r="AR107" s="47">
        <f>'Transmission Calculations'!L109*'Spectral Functions'!K107*'Spectral Functions'!E107</f>
        <v>9.4897419113296486</v>
      </c>
      <c r="AX107" s="118"/>
    </row>
    <row r="108" spans="1:50">
      <c r="A108" s="42">
        <v>590</v>
      </c>
      <c r="B108" s="88">
        <f>'Transmission Calculations'!L110*'Spectral Functions'!H108*'Spectral Functions'!C108</f>
        <v>7691.3112601388439</v>
      </c>
      <c r="C108" s="88">
        <f>'Transmission Calculations'!L110*'Spectral Functions'!H108*'Spectral Functions'!D108</f>
        <v>5673.1195789974718</v>
      </c>
      <c r="D108" s="88">
        <f>'Transmission Calculations'!L110*'Spectral Functions'!H108*'Spectral Functions'!E108</f>
        <v>8.2436347911455989</v>
      </c>
      <c r="J108" s="13">
        <v>590</v>
      </c>
      <c r="K108" s="47">
        <f>'Transmission Calculations'!L110*'Spectral Functions'!J108*'Spectral Functions'!N108*'Spectral Functions'!C108</f>
        <v>633.43159047779682</v>
      </c>
      <c r="L108" s="47">
        <f>'Transmission Calculations'!L110*'Spectral Functions'!J108*'Spectral Functions'!N108*'Spectral Functions'!D108</f>
        <v>467.21983239958314</v>
      </c>
      <c r="M108" s="47">
        <f>'Transmission Calculations'!L110*'Spectral Functions'!J108*'Spectral Functions'!N108*'Spectral Functions'!E108</f>
        <v>0.67891917521735989</v>
      </c>
      <c r="N108" s="47">
        <f>'Spectral Functions'!D108*'Spectral Functions'!J108*'Spectral Functions'!N108</f>
        <v>5.5290220200000002</v>
      </c>
      <c r="R108" s="13">
        <v>590</v>
      </c>
      <c r="S108" s="47">
        <f>'Transmission Calculations'!L110*'Spectral Functions'!J108*'Spectral Functions'!M108*'Spectral Functions'!C108</f>
        <v>9047.5145506578647</v>
      </c>
      <c r="T108" s="47">
        <f>'Transmission Calculations'!L110*'Spectral Functions'!J108*'Spectral Functions'!M108*'Spectral Functions'!D108</f>
        <v>6673.4566061073792</v>
      </c>
      <c r="U108" s="47">
        <f>'Transmission Calculations'!L110*'Spectral Functions'!J108*'Spectral Functions'!M108*'Spectral Functions'!E108</f>
        <v>9.697228886021291</v>
      </c>
      <c r="V108" s="47">
        <f>'Spectral Functions'!D108*'Spectral Functions'!J108*'Spectral Functions'!M108</f>
        <v>78.972864518999998</v>
      </c>
      <c r="Z108" s="13">
        <v>590</v>
      </c>
      <c r="AA108" s="47">
        <f>'Transmission Calculations'!L110*'Spectral Functions'!J108*'Spectral Functions'!L108*'Spectral Functions'!D108</f>
        <v>0</v>
      </c>
      <c r="AB108" s="47">
        <f>'Spectral Functions'!D108*'Spectral Functions'!J108*'Spectral Functions'!L108</f>
        <v>0</v>
      </c>
      <c r="AD108" s="42">
        <v>590</v>
      </c>
      <c r="AE108" s="152">
        <f>AF108*'Transmission Calculations'!L110</f>
        <v>85.812958980000005</v>
      </c>
      <c r="AF108" s="92">
        <v>1.0155000000000001</v>
      </c>
      <c r="AO108" s="42">
        <v>590</v>
      </c>
      <c r="AP108" s="113">
        <f>'Transmission Calculations'!L110*'Spectral Functions'!K108*'Spectral Functions'!C108</f>
        <v>8082.8252776656</v>
      </c>
      <c r="AQ108" s="113">
        <f>'Transmission Calculations'!L110*'Spectral Functions'!K108*'Spectral Functions'!D108</f>
        <v>5961.9007455840001</v>
      </c>
      <c r="AR108" s="47">
        <f>'Transmission Calculations'!L110*'Spectral Functions'!K108*'Spectral Functions'!E108</f>
        <v>8.6632639632000004</v>
      </c>
      <c r="AX108" s="118"/>
    </row>
    <row r="109" spans="1:50">
      <c r="A109" s="42">
        <v>592</v>
      </c>
      <c r="B109" s="88">
        <f>'Transmission Calculations'!L111*'Spectral Functions'!H109*'Spectral Functions'!C109</f>
        <v>7961.4832317749378</v>
      </c>
      <c r="C109" s="88">
        <f>'Transmission Calculations'!L111*'Spectral Functions'!H109*'Spectral Functions'!D109</f>
        <v>5601.5791485986019</v>
      </c>
      <c r="D109" s="88">
        <f>'Transmission Calculations'!L111*'Spectral Functions'!H109*'Spectral Functions'!E109</f>
        <v>8.022774475479892</v>
      </c>
      <c r="J109" s="13">
        <v>592</v>
      </c>
      <c r="K109" s="47">
        <f>'Transmission Calculations'!L111*'Spectral Functions'!J109*'Spectral Functions'!N109*'Spectral Functions'!C109</f>
        <v>611.96771556676151</v>
      </c>
      <c r="L109" s="47">
        <f>'Transmission Calculations'!L111*'Spectral Functions'!J109*'Spectral Functions'!N109*'Spectral Functions'!D109</f>
        <v>430.57122590586101</v>
      </c>
      <c r="M109" s="47">
        <f>'Transmission Calculations'!L111*'Spectral Functions'!J109*'Spectral Functions'!N109*'Spectral Functions'!E109</f>
        <v>0.61667893096500126</v>
      </c>
      <c r="N109" s="47">
        <f>'Spectral Functions'!D109*'Spectral Functions'!J109*'Spectral Functions'!N109</f>
        <v>5.0077241212530001</v>
      </c>
      <c r="R109" s="13">
        <v>592</v>
      </c>
      <c r="S109" s="47">
        <f>'Transmission Calculations'!L111*'Spectral Functions'!J109*'Spectral Functions'!M109*'Spectral Functions'!C109</f>
        <v>9465.1006674325763</v>
      </c>
      <c r="T109" s="47">
        <f>'Transmission Calculations'!L111*'Spectral Functions'!J109*'Spectral Functions'!M109*'Spectral Functions'!D109</f>
        <v>6659.5016273439824</v>
      </c>
      <c r="U109" s="47">
        <f>'Transmission Calculations'!L111*'Spectral Functions'!J109*'Spectral Functions'!M109*'Spectral Functions'!E109</f>
        <v>9.5379674655920184</v>
      </c>
      <c r="V109" s="47">
        <f>'Spectral Functions'!D109*'Spectral Functions'!J109*'Spectral Functions'!M109</f>
        <v>77.452799742046395</v>
      </c>
      <c r="Z109" s="13">
        <v>592</v>
      </c>
      <c r="AA109" s="47">
        <f>'Transmission Calculations'!L111*'Spectral Functions'!J109*'Spectral Functions'!L109*'Spectral Functions'!D109</f>
        <v>0.46548240638471455</v>
      </c>
      <c r="AB109" s="47">
        <f>'Spectral Functions'!D109*'Spectral Functions'!J109*'Spectral Functions'!L109</f>
        <v>5.4137558067600001E-3</v>
      </c>
      <c r="AD109" s="42">
        <v>592</v>
      </c>
      <c r="AE109" s="152">
        <f>AF109*'Transmission Calculations'!L111</f>
        <v>0</v>
      </c>
      <c r="AF109" s="92"/>
      <c r="AO109" s="42">
        <v>592</v>
      </c>
      <c r="AP109" s="113">
        <f>'Transmission Calculations'!L111*'Spectral Functions'!K109*'Spectral Functions'!C109</f>
        <v>8271.198952310373</v>
      </c>
      <c r="AQ109" s="113">
        <f>'Transmission Calculations'!L111*'Spectral Functions'!K109*'Spectral Functions'!D109</f>
        <v>5819.4904437226514</v>
      </c>
      <c r="AR109" s="47">
        <f>'Transmission Calculations'!L111*'Spectral Functions'!K109*'Spectral Functions'!E109</f>
        <v>8.3348745333497103</v>
      </c>
      <c r="AX109" s="118"/>
    </row>
    <row r="110" spans="1:50">
      <c r="A110" s="42">
        <v>594</v>
      </c>
      <c r="B110" s="88">
        <f>'Transmission Calculations'!L112*'Spectral Functions'!H110*'Spectral Functions'!C110</f>
        <v>8254.7330259072896</v>
      </c>
      <c r="C110" s="88">
        <f>'Transmission Calculations'!L112*'Spectral Functions'!H110*'Spectral Functions'!D110</f>
        <v>5549.0565040332185</v>
      </c>
      <c r="D110" s="88">
        <f>'Transmission Calculations'!L112*'Spectral Functions'!H110*'Spectral Functions'!E110</f>
        <v>8.0079303383871814</v>
      </c>
      <c r="J110" s="13">
        <v>594</v>
      </c>
      <c r="K110" s="47">
        <f>'Transmission Calculations'!L112*'Spectral Functions'!J110*'Spectral Functions'!N110*'Spectral Functions'!C110</f>
        <v>588.23501535152775</v>
      </c>
      <c r="L110" s="47">
        <f>'Transmission Calculations'!L112*'Spectral Functions'!J110*'Spectral Functions'!N110*'Spectral Functions'!D110</f>
        <v>395.42760832991422</v>
      </c>
      <c r="M110" s="47">
        <f>'Transmission Calculations'!L112*'Spectral Functions'!J110*'Spectral Functions'!N110*'Spectral Functions'!E110</f>
        <v>0.5706477739196667</v>
      </c>
      <c r="N110" s="47">
        <f>'Spectral Functions'!D110*'Spectral Functions'!J110*'Spectral Functions'!N110</f>
        <v>4.4978449652850001</v>
      </c>
      <c r="R110" s="13">
        <v>594</v>
      </c>
      <c r="S110" s="47">
        <f>'Transmission Calculations'!L112*'Spectral Functions'!J110*'Spectral Functions'!M110*'Spectral Functions'!C110</f>
        <v>9916.9503176322251</v>
      </c>
      <c r="T110" s="47">
        <f>'Transmission Calculations'!L112*'Spectral Functions'!J110*'Spectral Functions'!M110*'Spectral Functions'!D110</f>
        <v>6666.4442674913762</v>
      </c>
      <c r="U110" s="47">
        <f>'Transmission Calculations'!L112*'Spectral Functions'!J110*'Spectral Functions'!M110*'Spectral Functions'!E110</f>
        <v>9.6204501179633208</v>
      </c>
      <c r="V110" s="47">
        <f>'Spectral Functions'!D110*'Spectral Functions'!J110*'Spectral Functions'!M110</f>
        <v>75.828374532392985</v>
      </c>
      <c r="Z110" s="13">
        <v>594</v>
      </c>
      <c r="AA110" s="47">
        <f>'Transmission Calculations'!L112*'Spectral Functions'!J110*'Spectral Functions'!L110*'Spectral Functions'!D110</f>
        <v>0.93041790195273932</v>
      </c>
      <c r="AB110" s="47">
        <f>'Spectral Functions'!D110*'Spectral Functions'!J110*'Spectral Functions'!L110</f>
        <v>1.05831646242E-2</v>
      </c>
      <c r="AD110" s="42">
        <v>594</v>
      </c>
      <c r="AE110" s="152">
        <f>AF110*'Transmission Calculations'!L112</f>
        <v>0</v>
      </c>
      <c r="AF110" s="92"/>
      <c r="AO110" s="42">
        <v>594</v>
      </c>
      <c r="AP110" s="113">
        <f>'Transmission Calculations'!L112*'Spectral Functions'!K110*'Spectral Functions'!C110</f>
        <v>8477.3727812695561</v>
      </c>
      <c r="AQ110" s="113">
        <f>'Transmission Calculations'!L112*'Spectral Functions'!K110*'Spectral Functions'!D110</f>
        <v>5698.7210151290892</v>
      </c>
      <c r="AR110" s="47">
        <f>'Transmission Calculations'!L112*'Spectral Functions'!K110*'Spectral Functions'!E110</f>
        <v>8.2239135380740827</v>
      </c>
      <c r="AX110" s="118"/>
    </row>
    <row r="111" spans="1:50">
      <c r="A111" s="42">
        <v>596</v>
      </c>
      <c r="B111" s="88">
        <f>'Transmission Calculations'!L113*'Spectral Functions'!H111*'Spectral Functions'!C111</f>
        <v>8390.4034364596064</v>
      </c>
      <c r="C111" s="88">
        <f>'Transmission Calculations'!L113*'Spectral Functions'!H111*'Spectral Functions'!D111</f>
        <v>5401.137053066951</v>
      </c>
      <c r="D111" s="88">
        <f>'Transmission Calculations'!L113*'Spectral Functions'!H111*'Spectral Functions'!E111</f>
        <v>7.6715861100641813</v>
      </c>
      <c r="J111" s="13">
        <v>596</v>
      </c>
      <c r="K111" s="47">
        <f>'Transmission Calculations'!L113*'Spectral Functions'!J111*'Spectral Functions'!N111*'Spectral Functions'!C111</f>
        <v>549.91631325993751</v>
      </c>
      <c r="L111" s="47">
        <f>'Transmission Calculations'!L113*'Spectral Functions'!J111*'Spectral Functions'!N111*'Spectral Functions'!D111</f>
        <v>353.99649112552191</v>
      </c>
      <c r="M111" s="47">
        <f>'Transmission Calculations'!L113*'Spectral Functions'!J111*'Spectral Functions'!N111*'Spectral Functions'!E111</f>
        <v>0.50280423134012797</v>
      </c>
      <c r="N111" s="47">
        <f>'Spectral Functions'!D111*'Spectral Functions'!J111*'Spectral Functions'!N111</f>
        <v>4.0008644566530007</v>
      </c>
      <c r="R111" s="13">
        <v>596</v>
      </c>
      <c r="S111" s="47">
        <f>'Transmission Calculations'!L113*'Spectral Functions'!J111*'Spectral Functions'!M111*'Spectral Functions'!C111</f>
        <v>10184.686644719528</v>
      </c>
      <c r="T111" s="47">
        <f>'Transmission Calculations'!L113*'Spectral Functions'!J111*'Spectral Functions'!M111*'Spectral Functions'!D111</f>
        <v>6556.1672721999867</v>
      </c>
      <c r="U111" s="47">
        <f>'Transmission Calculations'!L113*'Spectral Functions'!J111*'Spectral Functions'!M111*'Spectral Functions'!E111</f>
        <v>9.3121506243036141</v>
      </c>
      <c r="V111" s="47">
        <f>'Spectral Functions'!D111*'Spectral Functions'!J111*'Spectral Functions'!M111</f>
        <v>74.097730539130382</v>
      </c>
      <c r="Z111" s="13">
        <v>596</v>
      </c>
      <c r="AA111" s="47">
        <f>'Transmission Calculations'!L113*'Spectral Functions'!J111*'Spectral Functions'!L111*'Spectral Functions'!D111</f>
        <v>1.3703089979052456</v>
      </c>
      <c r="AB111" s="47">
        <f>'Spectral Functions'!D111*'Spectral Functions'!J111*'Spectral Functions'!L111</f>
        <v>1.5487217251559998E-2</v>
      </c>
      <c r="AD111" s="42">
        <v>596</v>
      </c>
      <c r="AE111" s="152">
        <f>AF111*'Transmission Calculations'!L113</f>
        <v>0</v>
      </c>
      <c r="AF111" s="92"/>
      <c r="AO111" s="42">
        <v>596</v>
      </c>
      <c r="AP111" s="113">
        <f>'Transmission Calculations'!L113*'Spectral Functions'!K111*'Spectral Functions'!C111</f>
        <v>8525.6206044268711</v>
      </c>
      <c r="AQ111" s="113">
        <f>'Transmission Calculations'!L113*'Spectral Functions'!K111*'Spectral Functions'!D111</f>
        <v>5488.1801209777523</v>
      </c>
      <c r="AR111" s="47">
        <f>'Transmission Calculations'!L113*'Spectral Functions'!K111*'Spectral Functions'!E111</f>
        <v>7.7952190385014806</v>
      </c>
      <c r="AX111" s="118"/>
    </row>
    <row r="112" spans="1:50">
      <c r="A112" s="42">
        <v>598</v>
      </c>
      <c r="B112" s="88">
        <f>'Transmission Calculations'!L114*'Spectral Functions'!H112*'Spectral Functions'!C112</f>
        <v>8531.2898898638687</v>
      </c>
      <c r="C112" s="88">
        <f>'Transmission Calculations'!L114*'Spectral Functions'!H112*'Spectral Functions'!D112</f>
        <v>5271.2075260479705</v>
      </c>
      <c r="D112" s="88">
        <f>'Transmission Calculations'!L114*'Spectral Functions'!H112*'Spectral Functions'!E112</f>
        <v>7.1200642565482264</v>
      </c>
      <c r="J112" s="13">
        <v>598</v>
      </c>
      <c r="K112" s="47">
        <f>'Transmission Calculations'!L114*'Spectral Functions'!J112*'Spectral Functions'!N112*'Spectral Functions'!C112</f>
        <v>509.38993509457623</v>
      </c>
      <c r="L112" s="47">
        <f>'Transmission Calculations'!L114*'Spectral Functions'!J112*'Spectral Functions'!N112*'Spectral Functions'!D112</f>
        <v>314.7355316988839</v>
      </c>
      <c r="M112" s="47">
        <f>'Transmission Calculations'!L114*'Spectral Functions'!J112*'Spectral Functions'!N112*'Spectral Functions'!E112</f>
        <v>0.42512786651658208</v>
      </c>
      <c r="N112" s="47">
        <f>'Spectral Functions'!D112*'Spectral Functions'!J112*'Spectral Functions'!N112</f>
        <v>3.5186956946400008</v>
      </c>
      <c r="R112" s="13">
        <v>598</v>
      </c>
      <c r="S112" s="47">
        <f>'Transmission Calculations'!L114*'Spectral Functions'!J112*'Spectral Functions'!M112*'Spectral Functions'!C112</f>
        <v>10461.899000299552</v>
      </c>
      <c r="T112" s="47">
        <f>'Transmission Calculations'!L114*'Spectral Functions'!J112*'Spectral Functions'!M112*'Spectral Functions'!D112</f>
        <v>6464.0683248442174</v>
      </c>
      <c r="U112" s="47">
        <f>'Transmission Calculations'!L114*'Spectral Functions'!J112*'Spectral Functions'!M112*'Spectral Functions'!E112</f>
        <v>8.7313166108857985</v>
      </c>
      <c r="V112" s="47">
        <f>'Spectral Functions'!D112*'Spectral Functions'!J112*'Spectral Functions'!M112</f>
        <v>72.267307290391983</v>
      </c>
      <c r="Z112" s="13">
        <v>598</v>
      </c>
      <c r="AA112" s="47">
        <f>'Transmission Calculations'!L114*'Spectral Functions'!J112*'Spectral Functions'!L112*'Spectral Functions'!D112</f>
        <v>1.7984887525650506</v>
      </c>
      <c r="AB112" s="47">
        <f>'Spectral Functions'!D112*'Spectral Functions'!J112*'Spectral Functions'!L112</f>
        <v>2.0106832540799997E-2</v>
      </c>
      <c r="AD112" s="42">
        <v>598</v>
      </c>
      <c r="AE112" s="152">
        <f>AF112*'Transmission Calculations'!L114</f>
        <v>0</v>
      </c>
      <c r="AF112" s="92"/>
      <c r="AO112" s="42">
        <v>598</v>
      </c>
      <c r="AP112" s="113">
        <f>'Transmission Calculations'!L114*'Spectral Functions'!K112*'Spectral Functions'!C112</f>
        <v>8585.2770322246306</v>
      </c>
      <c r="AQ112" s="113">
        <f>'Transmission Calculations'!L114*'Spectral Functions'!K112*'Spectral Functions'!D112</f>
        <v>5304.564431603364</v>
      </c>
      <c r="AR112" s="47">
        <f>'Transmission Calculations'!L114*'Spectral Functions'!K112*'Spectral Functions'!E112</f>
        <v>7.1651209745355899</v>
      </c>
      <c r="AX112" s="118"/>
    </row>
    <row r="113" spans="1:50">
      <c r="A113" s="42">
        <v>600</v>
      </c>
      <c r="B113" s="88">
        <f>'Transmission Calculations'!L115*'Spectral Functions'!H113*'Spectral Functions'!C113</f>
        <v>8606.7638155700588</v>
      </c>
      <c r="C113" s="88">
        <f>'Transmission Calculations'!L115*'Spectral Functions'!H113*'Spectral Functions'!D113</f>
        <v>5112.8487738888225</v>
      </c>
      <c r="D113" s="88">
        <f>'Transmission Calculations'!L115*'Spectral Functions'!H113*'Spectral Functions'!E113</f>
        <v>6.4822171459763203</v>
      </c>
      <c r="J113" s="13">
        <v>600</v>
      </c>
      <c r="K113" s="47">
        <f>'Transmission Calculations'!L115*'Spectral Functions'!J113*'Spectral Functions'!N113*'Spectral Functions'!C113</f>
        <v>462.7358822444761</v>
      </c>
      <c r="L113" s="47">
        <f>'Transmission Calculations'!L115*'Spectral Functions'!J113*'Spectral Functions'!N113*'Spectral Functions'!D113</f>
        <v>274.88829005485258</v>
      </c>
      <c r="M113" s="47">
        <f>'Transmission Calculations'!L115*'Spectral Functions'!J113*'Spectral Functions'!N113*'Spectral Functions'!E113</f>
        <v>0.34851130276368003</v>
      </c>
      <c r="N113" s="47">
        <f>'Spectral Functions'!D113*'Spectral Functions'!J113*'Spectral Functions'!N113</f>
        <v>3.0534799875000003</v>
      </c>
      <c r="R113" s="13">
        <v>600</v>
      </c>
      <c r="S113" s="47">
        <f>'Transmission Calculations'!L115*'Spectral Functions'!J113*'Spectral Functions'!M113*'Spectral Functions'!C113</f>
        <v>10661.43472691273</v>
      </c>
      <c r="T113" s="47">
        <f>'Transmission Calculations'!L115*'Spectral Functions'!J113*'Spectral Functions'!M113*'Spectral Functions'!D113</f>
        <v>6333.4262028638041</v>
      </c>
      <c r="U113" s="47">
        <f>'Transmission Calculations'!L115*'Spectral Functions'!J113*'Spectral Functions'!M113*'Spectral Functions'!E113</f>
        <v>8.0297004156751886</v>
      </c>
      <c r="V113" s="47">
        <f>'Spectral Functions'!D113*'Spectral Functions'!J113*'Spectral Functions'!M113</f>
        <v>70.352178911999999</v>
      </c>
      <c r="Z113" s="13">
        <v>600</v>
      </c>
      <c r="AA113" s="47">
        <f>'Transmission Calculations'!L115*'Spectral Functions'!J113*'Spectral Functions'!L113*'Spectral Functions'!D113</f>
        <v>2.1991063204388204</v>
      </c>
      <c r="AB113" s="47">
        <f>'Spectral Functions'!D113*'Spectral Functions'!J113*'Spectral Functions'!L113</f>
        <v>2.4427839900000001E-2</v>
      </c>
      <c r="AD113" s="42">
        <v>600</v>
      </c>
      <c r="AE113" s="152">
        <f>AF113*'Transmission Calculations'!L115</f>
        <v>90.204641183999996</v>
      </c>
      <c r="AF113" s="92">
        <v>1.002</v>
      </c>
      <c r="AO113" s="42">
        <v>600</v>
      </c>
      <c r="AP113" s="113">
        <f>'Transmission Calculations'!L115*'Spectral Functions'!K113*'Spectral Functions'!C113</f>
        <v>8577.4837095292805</v>
      </c>
      <c r="AQ113" s="113">
        <f>'Transmission Calculations'!L115*'Spectral Functions'!K113*'Spectral Functions'!D113</f>
        <v>5095.4549244144</v>
      </c>
      <c r="AR113" s="47">
        <f>'Transmission Calculations'!L115*'Spectral Functions'!K113*'Spectral Functions'!E113</f>
        <v>6.46016472192</v>
      </c>
      <c r="AX113" s="118"/>
    </row>
    <row r="114" spans="1:50">
      <c r="A114" s="42">
        <v>602</v>
      </c>
      <c r="B114" s="88">
        <f>'Transmission Calculations'!L116*'Spectral Functions'!H114*'Spectral Functions'!C114</f>
        <v>8653.3054669864523</v>
      </c>
      <c r="C114" s="88">
        <f>'Transmission Calculations'!L116*'Spectral Functions'!H114*'Spectral Functions'!D114</f>
        <v>4948.7426311107984</v>
      </c>
      <c r="D114" s="88">
        <f>'Transmission Calculations'!L116*'Spectral Functions'!H114*'Spectral Functions'!E114</f>
        <v>5.9190596366913999</v>
      </c>
      <c r="J114" s="13">
        <v>602</v>
      </c>
      <c r="K114" s="47">
        <f>'Transmission Calculations'!L116*'Spectral Functions'!J114*'Spectral Functions'!N114*'Spectral Functions'!C114</f>
        <v>434.51603113857033</v>
      </c>
      <c r="L114" s="47">
        <f>'Transmission Calculations'!L116*'Spectral Functions'!J114*'Spectral Functions'!N114*'Spectral Functions'!D114</f>
        <v>248.49556223344135</v>
      </c>
      <c r="M114" s="47">
        <f>'Transmission Calculations'!L116*'Spectral Functions'!J114*'Spectral Functions'!N114*'Spectral Functions'!E114</f>
        <v>0.2972189426595313</v>
      </c>
      <c r="N114" s="47">
        <f>'Spectral Functions'!D114*'Spectral Functions'!J114*'Spectral Functions'!N114</f>
        <v>2.7332790235219999</v>
      </c>
      <c r="R114" s="13">
        <v>602</v>
      </c>
      <c r="S114" s="47">
        <f>'Transmission Calculations'!L116*'Spectral Functions'!J114*'Spectral Functions'!M114*'Spectral Functions'!C114</f>
        <v>10862.90077846426</v>
      </c>
      <c r="T114" s="47">
        <f>'Transmission Calculations'!L116*'Spectral Functions'!J114*'Spectral Functions'!M114*'Spectral Functions'!D114</f>
        <v>6212.3890558360335</v>
      </c>
      <c r="U114" s="47">
        <f>'Transmission Calculations'!L116*'Spectral Functions'!J114*'Spectral Functions'!M114*'Spectral Functions'!E114</f>
        <v>7.4304735664882831</v>
      </c>
      <c r="V114" s="47">
        <f>'Spectral Functions'!D114*'Spectral Functions'!J114*'Spectral Functions'!M114</f>
        <v>68.33197558805</v>
      </c>
      <c r="Z114" s="13">
        <v>602</v>
      </c>
      <c r="AA114" s="47">
        <f>'Transmission Calculations'!L116*'Spectral Functions'!J114*'Spectral Functions'!L114*'Spectral Functions'!D114</f>
        <v>54.870118365996866</v>
      </c>
      <c r="AB114" s="47">
        <f>'Spectral Functions'!D114*'Spectral Functions'!J114*'Spectral Functions'!L114</f>
        <v>0.60353328727479993</v>
      </c>
      <c r="AD114" s="42">
        <v>602</v>
      </c>
      <c r="AE114" s="152">
        <f>AF114*'Transmission Calculations'!L116</f>
        <v>0</v>
      </c>
      <c r="AF114" s="92"/>
      <c r="AO114" s="42">
        <v>602</v>
      </c>
      <c r="AP114" s="113">
        <f>'Transmission Calculations'!L116*'Spectral Functions'!K114*'Spectral Functions'!C114</f>
        <v>8597.9934731602334</v>
      </c>
      <c r="AQ114" s="113">
        <f>'Transmission Calculations'!L116*'Spectral Functions'!K114*'Spectral Functions'!D114</f>
        <v>4917.1102308790205</v>
      </c>
      <c r="AR114" s="47">
        <f>'Transmission Calculations'!L116*'Spectral Functions'!K114*'Spectral Functions'!E114</f>
        <v>5.8812249628398003</v>
      </c>
      <c r="AX114" s="118"/>
    </row>
    <row r="115" spans="1:50">
      <c r="A115" s="42">
        <v>604</v>
      </c>
      <c r="B115" s="88">
        <f>'Transmission Calculations'!L117*'Spectral Functions'!H115*'Spectral Functions'!C115</f>
        <v>8646.8572818021894</v>
      </c>
      <c r="C115" s="88">
        <f>'Transmission Calculations'!L117*'Spectral Functions'!H115*'Spectral Functions'!D115</f>
        <v>4768.9407675993452</v>
      </c>
      <c r="D115" s="88">
        <f>'Transmission Calculations'!L117*'Spectral Functions'!H115*'Spectral Functions'!E115</f>
        <v>5.3067031407560883</v>
      </c>
      <c r="J115" s="13">
        <v>604</v>
      </c>
      <c r="K115" s="47">
        <f>'Transmission Calculations'!L117*'Spectral Functions'!J115*'Spectral Functions'!N115*'Spectral Functions'!C115</f>
        <v>402.6182226762873</v>
      </c>
      <c r="L115" s="47">
        <f>'Transmission Calculations'!L117*'Spectral Functions'!J115*'Spectral Functions'!N115*'Spectral Functions'!D115</f>
        <v>222.05321463327724</v>
      </c>
      <c r="M115" s="47">
        <f>'Transmission Calculations'!L117*'Spectral Functions'!J115*'Spectral Functions'!N115*'Spectral Functions'!E115</f>
        <v>0.2470927086189377</v>
      </c>
      <c r="N115" s="47">
        <f>'Spectral Functions'!D115*'Spectral Functions'!J115*'Spectral Functions'!N115</f>
        <v>2.4248125133635998</v>
      </c>
      <c r="R115" s="13">
        <v>604</v>
      </c>
      <c r="S115" s="47">
        <f>'Transmission Calculations'!L117*'Spectral Functions'!J115*'Spectral Functions'!M115*'Spectral Functions'!C115</f>
        <v>10998.971004342739</v>
      </c>
      <c r="T115" s="47">
        <f>'Transmission Calculations'!L117*'Spectral Functions'!J115*'Spectral Functions'!M115*'Spectral Functions'!D115</f>
        <v>6066.1856111172901</v>
      </c>
      <c r="U115" s="47">
        <f>'Transmission Calculations'!L117*'Spectral Functions'!J115*'Spectral Functions'!M115*'Spectral Functions'!E115</f>
        <v>6.750229831671926</v>
      </c>
      <c r="V115" s="47">
        <f>'Spectral Functions'!D115*'Spectral Functions'!J115*'Spectral Functions'!M115</f>
        <v>66.242512194727993</v>
      </c>
      <c r="Z115" s="13">
        <v>604</v>
      </c>
      <c r="AA115" s="47">
        <f>'Transmission Calculations'!L117*'Spectral Functions'!J115*'Spectral Functions'!L115*'Spectral Functions'!D115</f>
        <v>104.93240237244457</v>
      </c>
      <c r="AB115" s="47">
        <f>'Spectral Functions'!D115*'Spectral Functions'!J115*'Spectral Functions'!L115</f>
        <v>1.1458577744538399</v>
      </c>
      <c r="AD115" s="42">
        <v>604</v>
      </c>
      <c r="AE115" s="152">
        <f>AF115*'Transmission Calculations'!L117</f>
        <v>0</v>
      </c>
      <c r="AF115" s="92"/>
      <c r="AO115" s="42">
        <v>604</v>
      </c>
      <c r="AP115" s="113">
        <f>'Transmission Calculations'!L117*'Spectral Functions'!K115*'Spectral Functions'!C115</f>
        <v>8565.6853823474485</v>
      </c>
      <c r="AQ115" s="113">
        <f>'Transmission Calculations'!L117*'Spectral Functions'!K115*'Spectral Functions'!D115</f>
        <v>4724.1725971673122</v>
      </c>
      <c r="AR115" s="47">
        <f>'Transmission Calculations'!L117*'Spectral Functions'!K115*'Spectral Functions'!E115</f>
        <v>5.2568867554800001</v>
      </c>
      <c r="AX115" s="118"/>
    </row>
    <row r="116" spans="1:50">
      <c r="A116" s="42">
        <v>606</v>
      </c>
      <c r="B116" s="88">
        <f>'Transmission Calculations'!L118*'Spectral Functions'!H116*'Spectral Functions'!C116</f>
        <v>8606.1900041178251</v>
      </c>
      <c r="C116" s="88">
        <f>'Transmission Calculations'!L118*'Spectral Functions'!H116*'Spectral Functions'!D116</f>
        <v>4588.3771423646267</v>
      </c>
      <c r="D116" s="88">
        <f>'Transmission Calculations'!L118*'Spectral Functions'!H116*'Spectral Functions'!E116</f>
        <v>4.539003059810736</v>
      </c>
      <c r="J116" s="13">
        <v>606</v>
      </c>
      <c r="K116" s="47">
        <f>'Transmission Calculations'!L118*'Spectral Functions'!J116*'Spectral Functions'!N116*'Spectral Functions'!C116</f>
        <v>368.43009867179234</v>
      </c>
      <c r="L116" s="47">
        <f>'Transmission Calculations'!L118*'Spectral Functions'!J116*'Spectral Functions'!N116*'Spectral Functions'!D116</f>
        <v>196.42794808108351</v>
      </c>
      <c r="M116" s="47">
        <f>'Transmission Calculations'!L118*'Spectral Functions'!J116*'Spectral Functions'!N116*'Spectral Functions'!E116</f>
        <v>0.19431424874392558</v>
      </c>
      <c r="N116" s="47">
        <f>'Spectral Functions'!D116*'Spectral Functions'!J116*'Spectral Functions'!N116</f>
        <v>2.1287046051935996</v>
      </c>
      <c r="R116" s="13">
        <v>606</v>
      </c>
      <c r="S116" s="47">
        <f>'Transmission Calculations'!L118*'Spectral Functions'!J116*'Spectral Functions'!M116*'Spectral Functions'!C116</f>
        <v>11091.281095432081</v>
      </c>
      <c r="T116" s="47">
        <f>'Transmission Calculations'!L118*'Spectral Functions'!J116*'Spectral Functions'!M116*'Spectral Functions'!D116</f>
        <v>5913.2996870242841</v>
      </c>
      <c r="U116" s="47">
        <f>'Transmission Calculations'!L118*'Spectral Functions'!J116*'Spectral Functions'!M116*'Spectral Functions'!E116</f>
        <v>5.8496685298952587</v>
      </c>
      <c r="V116" s="47">
        <f>'Spectral Functions'!D116*'Spectral Functions'!J116*'Spectral Functions'!M116</f>
        <v>64.08287821884899</v>
      </c>
      <c r="Z116" s="13">
        <v>606</v>
      </c>
      <c r="AA116" s="47">
        <f>'Transmission Calculations'!L118*'Spectral Functions'!J116*'Spectral Functions'!L116*'Spectral Functions'!D116</f>
        <v>152.23165976283971</v>
      </c>
      <c r="AB116" s="47">
        <f>'Spectral Functions'!D116*'Spectral Functions'!J116*'Spectral Functions'!L116</f>
        <v>1.6497460690250398</v>
      </c>
      <c r="AD116" s="42">
        <v>606</v>
      </c>
      <c r="AE116" s="152">
        <f>AF116*'Transmission Calculations'!L118</f>
        <v>0</v>
      </c>
      <c r="AF116" s="92"/>
      <c r="AO116" s="42">
        <v>606</v>
      </c>
      <c r="AP116" s="113">
        <f>'Transmission Calculations'!L118*'Spectral Functions'!K116*'Spectral Functions'!C116</f>
        <v>8508.2122923580682</v>
      </c>
      <c r="AQ116" s="113">
        <f>'Transmission Calculations'!L118*'Spectral Functions'!K116*'Spectral Functions'!D116</f>
        <v>4536.1404740033013</v>
      </c>
      <c r="AR116" s="47">
        <f>'Transmission Calculations'!L118*'Spectral Functions'!K116*'Spectral Functions'!E116</f>
        <v>4.4873284937997608</v>
      </c>
      <c r="AX116" s="118"/>
    </row>
    <row r="117" spans="1:50">
      <c r="A117" s="42">
        <v>608</v>
      </c>
      <c r="B117" s="88">
        <f>'Transmission Calculations'!L119*'Spectral Functions'!H117*'Spectral Functions'!C117</f>
        <v>8525.6730297130052</v>
      </c>
      <c r="C117" s="88">
        <f>'Transmission Calculations'!L119*'Spectral Functions'!H117*'Spectral Functions'!D117</f>
        <v>4404.7273716618674</v>
      </c>
      <c r="D117" s="88">
        <f>'Transmission Calculations'!L119*'Spectral Functions'!H117*'Spectral Functions'!E117</f>
        <v>3.6264701944966951</v>
      </c>
      <c r="J117" s="13">
        <v>608</v>
      </c>
      <c r="K117" s="47">
        <f>'Transmission Calculations'!L119*'Spectral Functions'!J117*'Spectral Functions'!N117*'Spectral Functions'!C117</f>
        <v>332.12419267438815</v>
      </c>
      <c r="L117" s="47">
        <f>'Transmission Calculations'!L119*'Spectral Functions'!J117*'Spectral Functions'!N117*'Spectral Functions'!D117</f>
        <v>171.58956450306451</v>
      </c>
      <c r="M117" s="47">
        <f>'Transmission Calculations'!L119*'Spectral Functions'!J117*'Spectral Functions'!N117*'Spectral Functions'!E117</f>
        <v>0.14127195371055537</v>
      </c>
      <c r="N117" s="47">
        <f>'Spectral Functions'!D117*'Spectral Functions'!J117*'Spectral Functions'!N117</f>
        <v>1.8458399337749001</v>
      </c>
      <c r="R117" s="13">
        <v>608</v>
      </c>
      <c r="S117" s="47">
        <f>'Transmission Calculations'!L119*'Spectral Functions'!J117*'Spectral Functions'!M117*'Spectral Functions'!C117</f>
        <v>11130.648619357873</v>
      </c>
      <c r="T117" s="47">
        <f>'Transmission Calculations'!L119*'Spectral Functions'!J117*'Spectral Functions'!M117*'Spectral Functions'!D117</f>
        <v>5750.5691887513512</v>
      </c>
      <c r="U117" s="47">
        <f>'Transmission Calculations'!L119*'Spectral Functions'!J117*'Spectral Functions'!M117*'Spectral Functions'!E117</f>
        <v>4.7345195297591536</v>
      </c>
      <c r="V117" s="47">
        <f>'Spectral Functions'!D117*'Spectral Functions'!J117*'Spectral Functions'!M117</f>
        <v>61.860581564348003</v>
      </c>
      <c r="Z117" s="13">
        <v>608</v>
      </c>
      <c r="AA117" s="47">
        <f>'Transmission Calculations'!L119*'Spectral Functions'!J117*'Spectral Functions'!L117*'Spectral Functions'!D117</f>
        <v>196.49986421470629</v>
      </c>
      <c r="AB117" s="47">
        <f>'Spectral Functions'!D117*'Spectral Functions'!J117*'Spectral Functions'!L117</f>
        <v>2.11380742995226</v>
      </c>
      <c r="AD117" s="42">
        <v>608</v>
      </c>
      <c r="AE117" s="152">
        <f>AF117*'Transmission Calculations'!L119</f>
        <v>0</v>
      </c>
      <c r="AF117" s="92"/>
      <c r="AO117" s="42">
        <v>608</v>
      </c>
      <c r="AP117" s="113">
        <f>'Transmission Calculations'!L119*'Spectral Functions'!K117*'Spectral Functions'!C117</f>
        <v>8420.1009164944535</v>
      </c>
      <c r="AQ117" s="113">
        <f>'Transmission Calculations'!L119*'Spectral Functions'!K117*'Spectral Functions'!D117</f>
        <v>4350.184302140281</v>
      </c>
      <c r="AR117" s="47">
        <f>'Transmission Calculations'!L119*'Spectral Functions'!K117*'Spectral Functions'!E117</f>
        <v>3.5815641653042993</v>
      </c>
      <c r="AX117" s="118"/>
    </row>
    <row r="118" spans="1:50">
      <c r="A118" s="42">
        <v>610</v>
      </c>
      <c r="B118" s="88">
        <f>'Transmission Calculations'!L120*'Spectral Functions'!H118*'Spectral Functions'!C118</f>
        <v>8396.4192619146324</v>
      </c>
      <c r="C118" s="88">
        <f>'Transmission Calculations'!L120*'Spectral Functions'!H118*'Spectral Functions'!D118</f>
        <v>4212.4465277708559</v>
      </c>
      <c r="D118" s="88">
        <f>'Transmission Calculations'!L120*'Spectral Functions'!H118*'Spectral Functions'!E118</f>
        <v>2.8473793627079345</v>
      </c>
      <c r="J118" s="13">
        <v>610</v>
      </c>
      <c r="K118" s="47">
        <f>'Transmission Calculations'!L120*'Spectral Functions'!J118*'Spectral Functions'!N118*'Spectral Functions'!C118</f>
        <v>293.87369020174623</v>
      </c>
      <c r="L118" s="47">
        <f>'Transmission Calculations'!L120*'Spectral Functions'!J118*'Spectral Functions'!N118*'Spectral Functions'!D118</f>
        <v>147.43513482094392</v>
      </c>
      <c r="M118" s="47">
        <f>'Transmission Calculations'!L120*'Spectral Functions'!J118*'Spectral Functions'!N118*'Spectral Functions'!E118</f>
        <v>9.9657944014156924E-2</v>
      </c>
      <c r="N118" s="47">
        <f>'Spectral Functions'!D118*'Spectral Functions'!J118*'Spectral Functions'!N118</f>
        <v>1.5773868739999999</v>
      </c>
      <c r="R118" s="13">
        <v>610</v>
      </c>
      <c r="S118" s="47">
        <f>'Transmission Calculations'!L120*'Spectral Functions'!J118*'Spectral Functions'!M118*'Spectral Functions'!C118</f>
        <v>11103.31464283989</v>
      </c>
      <c r="T118" s="47">
        <f>'Transmission Calculations'!L120*'Spectral Functions'!J118*'Spectral Functions'!M118*'Spectral Functions'!D118</f>
        <v>5570.4840069304464</v>
      </c>
      <c r="U118" s="47">
        <f>'Transmission Calculations'!L120*'Spectral Functions'!J118*'Spectral Functions'!M118*'Spectral Functions'!E118</f>
        <v>3.7653371021001032</v>
      </c>
      <c r="V118" s="47">
        <f>'Spectral Functions'!D118*'Spectral Functions'!J118*'Spectral Functions'!M118</f>
        <v>59.597791021999996</v>
      </c>
      <c r="Z118" s="13">
        <v>610</v>
      </c>
      <c r="AA118" s="47">
        <f>'Transmission Calculations'!L120*'Spectral Functions'!J118*'Spectral Functions'!L118*'Spectral Functions'!D118</f>
        <v>237.17826036412717</v>
      </c>
      <c r="AB118" s="47">
        <f>'Spectral Functions'!D118*'Spectral Functions'!J118*'Spectral Functions'!L118</f>
        <v>2.5375354059999999</v>
      </c>
      <c r="AD118" s="42">
        <v>610</v>
      </c>
      <c r="AE118" s="152">
        <f>AF118*'Transmission Calculations'!L120</f>
        <v>59.782107855599996</v>
      </c>
      <c r="AF118" s="92">
        <v>0.63959999999999995</v>
      </c>
      <c r="AO118" s="42">
        <v>610</v>
      </c>
      <c r="AP118" s="113">
        <f>'Transmission Calculations'!L120*'Spectral Functions'!K118*'Spectral Functions'!C118</f>
        <v>8284.0504285562401</v>
      </c>
      <c r="AQ118" s="113">
        <f>'Transmission Calculations'!L120*'Spectral Functions'!K118*'Spectral Functions'!D118</f>
        <v>4156.0715794571997</v>
      </c>
      <c r="AR118" s="47">
        <f>'Transmission Calculations'!L120*'Spectral Functions'!K118*'Spectral Functions'!E118</f>
        <v>2.8092730358160001</v>
      </c>
      <c r="AX118" s="118"/>
    </row>
    <row r="119" spans="1:50">
      <c r="A119" s="42">
        <v>612</v>
      </c>
      <c r="B119" s="88">
        <f>'Transmission Calculations'!L121*'Spectral Functions'!H119*'Spectral Functions'!C119</f>
        <v>8080.7070653715446</v>
      </c>
      <c r="C119" s="88">
        <f>'Transmission Calculations'!L121*'Spectral Functions'!H119*'Spectral Functions'!D119</f>
        <v>3944.3460877472066</v>
      </c>
      <c r="D119" s="88">
        <f>'Transmission Calculations'!L121*'Spectral Functions'!H119*'Spectral Functions'!E119</f>
        <v>2.3351043717600559</v>
      </c>
      <c r="J119" s="13">
        <v>612</v>
      </c>
      <c r="K119" s="47">
        <f>'Transmission Calculations'!L121*'Spectral Functions'!J119*'Spectral Functions'!N119*'Spectral Functions'!C119</f>
        <v>262.60293250790897</v>
      </c>
      <c r="L119" s="47">
        <f>'Transmission Calculations'!L121*'Spectral Functions'!J119*'Spectral Functions'!N119*'Spectral Functions'!D119</f>
        <v>128.18146247464415</v>
      </c>
      <c r="M119" s="47">
        <f>'Transmission Calculations'!L121*'Spectral Functions'!J119*'Spectral Functions'!N119*'Spectral Functions'!E119</f>
        <v>7.5885099011200746E-2</v>
      </c>
      <c r="N119" s="47">
        <f>'Spectral Functions'!D119*'Spectral Functions'!J119*'Spectral Functions'!N119</f>
        <v>1.3859983463648</v>
      </c>
      <c r="R119" s="13">
        <v>612</v>
      </c>
      <c r="S119" s="47">
        <f>'Transmission Calculations'!L121*'Spectral Functions'!J119*'Spectral Functions'!M119*'Spectral Functions'!C119</f>
        <v>10858.581334690152</v>
      </c>
      <c r="T119" s="47">
        <f>'Transmission Calculations'!L121*'Spectral Functions'!J119*'Spectral Functions'!M119*'Spectral Functions'!D119</f>
        <v>5300.2791042272056</v>
      </c>
      <c r="U119" s="47">
        <f>'Transmission Calculations'!L121*'Spectral Functions'!J119*'Spectral Functions'!M119*'Spectral Functions'!E119</f>
        <v>3.1378344172882437</v>
      </c>
      <c r="V119" s="47">
        <f>'Spectral Functions'!D119*'Spectral Functions'!J119*'Spectral Functions'!M119</f>
        <v>57.310768124399999</v>
      </c>
      <c r="Z119" s="13">
        <v>612</v>
      </c>
      <c r="AA119" s="47">
        <f>'Transmission Calculations'!L121*'Spectral Functions'!J119*'Spectral Functions'!L119*'Spectral Functions'!D119</f>
        <v>679.89787130086927</v>
      </c>
      <c r="AB119" s="47">
        <f>'Spectral Functions'!D119*'Spectral Functions'!J119*'Spectral Functions'!L119</f>
        <v>7.3515881869920001</v>
      </c>
      <c r="AD119" s="42">
        <v>612</v>
      </c>
      <c r="AE119" s="152">
        <f>AF119*'Transmission Calculations'!L121</f>
        <v>0</v>
      </c>
      <c r="AF119" s="92"/>
      <c r="AO119" s="42">
        <v>612</v>
      </c>
      <c r="AP119" s="113">
        <f>'Transmission Calculations'!L121*'Spectral Functions'!K119*'Spectral Functions'!C119</f>
        <v>7999.2832021611412</v>
      </c>
      <c r="AQ119" s="113">
        <f>'Transmission Calculations'!L121*'Spectral Functions'!K119*'Spectral Functions'!D119</f>
        <v>3904.6015587468287</v>
      </c>
      <c r="AR119" s="47">
        <f>'Transmission Calculations'!L121*'Spectral Functions'!K119*'Spectral Functions'!E119</f>
        <v>2.3115750917836797</v>
      </c>
      <c r="AX119" s="118"/>
    </row>
    <row r="120" spans="1:50">
      <c r="A120" s="42">
        <v>614</v>
      </c>
      <c r="B120" s="88">
        <f>'Transmission Calculations'!L122*'Spectral Functions'!H120*'Spectral Functions'!C120</f>
        <v>7768.4407575468103</v>
      </c>
      <c r="C120" s="88">
        <f>'Transmission Calculations'!L122*'Spectral Functions'!H120*'Spectral Functions'!D120</f>
        <v>3696.5332821121483</v>
      </c>
      <c r="D120" s="88">
        <f>'Transmission Calculations'!L122*'Spectral Functions'!H120*'Spectral Functions'!E120</f>
        <v>2.0545218869135433</v>
      </c>
      <c r="J120" s="13">
        <v>614</v>
      </c>
      <c r="K120" s="47">
        <f>'Transmission Calculations'!L122*'Spectral Functions'!J120*'Spectral Functions'!N120*'Spectral Functions'!C120</f>
        <v>232.3461319626322</v>
      </c>
      <c r="L120" s="47">
        <f>'Transmission Calculations'!L122*'Spectral Functions'!J120*'Spectral Functions'!N120*'Spectral Functions'!D120</f>
        <v>110.55953653704822</v>
      </c>
      <c r="M120" s="47">
        <f>'Transmission Calculations'!L122*'Spectral Functions'!J120*'Spectral Functions'!N120*'Spectral Functions'!E120</f>
        <v>6.144865209832346E-2</v>
      </c>
      <c r="N120" s="47">
        <f>'Spectral Functions'!D120*'Spectral Functions'!J120*'Spectral Functions'!N120</f>
        <v>1.2047284059623999</v>
      </c>
      <c r="R120" s="13">
        <v>614</v>
      </c>
      <c r="S120" s="47">
        <f>'Transmission Calculations'!L122*'Spectral Functions'!J120*'Spectral Functions'!M120*'Spectral Functions'!C120</f>
        <v>10606.576569153702</v>
      </c>
      <c r="T120" s="47">
        <f>'Transmission Calculations'!L122*'Spectral Functions'!J120*'Spectral Functions'!M120*'Spectral Functions'!D120</f>
        <v>5047.0312538662993</v>
      </c>
      <c r="U120" s="47">
        <f>'Transmission Calculations'!L122*'Spectral Functions'!J120*'Spectral Functions'!M120*'Spectral Functions'!E120</f>
        <v>2.8051245271299652</v>
      </c>
      <c r="V120" s="47">
        <f>'Spectral Functions'!D120*'Spectral Functions'!J120*'Spectral Functions'!M120</f>
        <v>54.995725450379993</v>
      </c>
      <c r="Z120" s="13">
        <v>614</v>
      </c>
      <c r="AA120" s="47">
        <f>'Transmission Calculations'!L122*'Spectral Functions'!J120*'Spectral Functions'!L120*'Spectral Functions'!D120</f>
        <v>1078.9405504820954</v>
      </c>
      <c r="AB120" s="47">
        <f>'Spectral Functions'!D120*'Spectral Functions'!J120*'Spectral Functions'!L120</f>
        <v>11.756835911435999</v>
      </c>
      <c r="AD120" s="42">
        <v>614</v>
      </c>
      <c r="AE120" s="152">
        <f>AF120*'Transmission Calculations'!L122</f>
        <v>0</v>
      </c>
      <c r="AF120" s="92"/>
      <c r="AO120" s="42">
        <v>614</v>
      </c>
      <c r="AP120" s="113">
        <f>'Transmission Calculations'!L122*'Spectral Functions'!K120*'Spectral Functions'!C120</f>
        <v>7715.1960237953772</v>
      </c>
      <c r="AQ120" s="113">
        <f>'Transmission Calculations'!L122*'Spectral Functions'!K120*'Spectral Functions'!D120</f>
        <v>3671.1973187506246</v>
      </c>
      <c r="AR120" s="47">
        <f>'Transmission Calculations'!L122*'Spectral Functions'!K120*'Spectral Functions'!E120</f>
        <v>2.0404402360045202</v>
      </c>
      <c r="AX120" s="118"/>
    </row>
    <row r="121" spans="1:50">
      <c r="A121" s="42">
        <v>616</v>
      </c>
      <c r="B121" s="88">
        <f>'Transmission Calculations'!L123*'Spectral Functions'!H121*'Spectral Functions'!C121</f>
        <v>7534.7791778959754</v>
      </c>
      <c r="C121" s="88">
        <f>'Transmission Calculations'!L123*'Spectral Functions'!H121*'Spectral Functions'!D121</f>
        <v>3501.9974671104937</v>
      </c>
      <c r="D121" s="88">
        <f>'Transmission Calculations'!L123*'Spectral Functions'!H121*'Spectral Functions'!E121</f>
        <v>1.8771777231178652</v>
      </c>
      <c r="J121" s="13">
        <v>616</v>
      </c>
      <c r="K121" s="47">
        <f>'Transmission Calculations'!L123*'Spectral Functions'!J121*'Spectral Functions'!N121*'Spectral Functions'!C121</f>
        <v>205.19801239379942</v>
      </c>
      <c r="L121" s="47">
        <f>'Transmission Calculations'!L123*'Spectral Functions'!J121*'Spectral Functions'!N121*'Spectral Functions'!D121</f>
        <v>95.371463807099559</v>
      </c>
      <c r="M121" s="47">
        <f>'Transmission Calculations'!L123*'Spectral Functions'!J121*'Spectral Functions'!N121*'Spectral Functions'!E121</f>
        <v>5.1122020778486287E-2</v>
      </c>
      <c r="N121" s="47">
        <f>'Spectral Functions'!D121*'Spectral Functions'!J121*'Spectral Functions'!N121</f>
        <v>1.033671226464</v>
      </c>
      <c r="R121" s="13">
        <v>616</v>
      </c>
      <c r="S121" s="47">
        <f>'Transmission Calculations'!L123*'Spectral Functions'!J121*'Spectral Functions'!M121*'Spectral Functions'!C121</f>
        <v>10451.674463048663</v>
      </c>
      <c r="T121" s="47">
        <f>'Transmission Calculations'!L123*'Spectral Functions'!J121*'Spectral Functions'!M121*'Spectral Functions'!D121</f>
        <v>4857.7053995204915</v>
      </c>
      <c r="U121" s="47">
        <f>'Transmission Calculations'!L123*'Spectral Functions'!J121*'Spectral Functions'!M121*'Spectral Functions'!E121</f>
        <v>2.6038786284369184</v>
      </c>
      <c r="V121" s="47">
        <f>'Spectral Functions'!D121*'Spectral Functions'!J121*'Spectral Functions'!M121</f>
        <v>52.6496091984</v>
      </c>
      <c r="Z121" s="13">
        <v>616</v>
      </c>
      <c r="AA121" s="47">
        <f>'Transmission Calculations'!L123*'Spectral Functions'!J121*'Spectral Functions'!L121*'Spectral Functions'!D121</f>
        <v>1452.855009397872</v>
      </c>
      <c r="AB121" s="47">
        <f>'Spectral Functions'!D121*'Spectral Functions'!J121*'Spectral Functions'!L121</f>
        <v>15.746580365760002</v>
      </c>
      <c r="AD121" s="42">
        <v>616</v>
      </c>
      <c r="AE121" s="152">
        <f>AF121*'Transmission Calculations'!L123</f>
        <v>0</v>
      </c>
      <c r="AF121" s="92"/>
      <c r="AO121" s="42">
        <v>616</v>
      </c>
      <c r="AP121" s="113">
        <f>'Transmission Calculations'!L123*'Spectral Functions'!K121*'Spectral Functions'!C121</f>
        <v>7510.1711655366298</v>
      </c>
      <c r="AQ121" s="113">
        <f>'Transmission Calculations'!L123*'Spectral Functions'!K121*'Spectral Functions'!D121</f>
        <v>3490.5602112973625</v>
      </c>
      <c r="AR121" s="47">
        <f>'Transmission Calculations'!L123*'Spectral Functions'!K121*'Spectral Functions'!E121</f>
        <v>1.8710470042845002</v>
      </c>
    </row>
    <row r="122" spans="1:50">
      <c r="A122" s="42">
        <v>618</v>
      </c>
      <c r="B122" s="88">
        <f>'Transmission Calculations'!L124*'Spectral Functions'!H122*'Spectral Functions'!C122</f>
        <v>7301.2635245815482</v>
      </c>
      <c r="C122" s="88">
        <f>'Transmission Calculations'!L124*'Spectral Functions'!H122*'Spectral Functions'!D122</f>
        <v>3320.8744819083099</v>
      </c>
      <c r="D122" s="88">
        <f>'Transmission Calculations'!L124*'Spectral Functions'!H122*'Spectral Functions'!E122</f>
        <v>1.7381969576837428</v>
      </c>
      <c r="J122" s="13">
        <v>618</v>
      </c>
      <c r="K122" s="47">
        <f>'Transmission Calculations'!L124*'Spectral Functions'!J122*'Spectral Functions'!N122*'Spectral Functions'!C122</f>
        <v>178.65889146454816</v>
      </c>
      <c r="L122" s="47">
        <f>'Transmission Calculations'!L124*'Spectral Functions'!J122*'Spectral Functions'!N122*'Spectral Functions'!D122</f>
        <v>81.26042179317831</v>
      </c>
      <c r="M122" s="47">
        <f>'Transmission Calculations'!L124*'Spectral Functions'!J122*'Spectral Functions'!N122*'Spectral Functions'!E122</f>
        <v>4.253295892708181E-2</v>
      </c>
      <c r="N122" s="47">
        <f>'Spectral Functions'!D122*'Spectral Functions'!J122*'Spectral Functions'!N122</f>
        <v>0.87294591465504001</v>
      </c>
      <c r="R122" s="13">
        <v>618</v>
      </c>
      <c r="S122" s="47">
        <f>'Transmission Calculations'!L124*'Spectral Functions'!J122*'Spectral Functions'!M122*'Spectral Functions'!C122</f>
        <v>10288.206612701222</v>
      </c>
      <c r="T122" s="47">
        <f>'Transmission Calculations'!L124*'Spectral Functions'!J122*'Spectral Functions'!M122*'Spectral Functions'!D122</f>
        <v>4679.4424950821012</v>
      </c>
      <c r="U122" s="47">
        <f>'Transmission Calculations'!L124*'Spectral Functions'!J122*'Spectral Functions'!M122*'Spectral Functions'!E122</f>
        <v>2.449292423703326</v>
      </c>
      <c r="V122" s="47">
        <f>'Spectral Functions'!D122*'Spectral Functions'!J122*'Spectral Functions'!M122</f>
        <v>50.269246932312001</v>
      </c>
      <c r="Z122" s="13">
        <v>618</v>
      </c>
      <c r="AA122" s="47">
        <f>'Transmission Calculations'!L124*'Spectral Functions'!J122*'Spectral Functions'!L122*'Spectral Functions'!D122</f>
        <v>1797.8064293820585</v>
      </c>
      <c r="AB122" s="47">
        <f>'Spectral Functions'!D122*'Spectral Functions'!J122*'Spectral Functions'!L122</f>
        <v>19.3130646289776</v>
      </c>
      <c r="AD122" s="42">
        <v>618</v>
      </c>
      <c r="AE122" s="152">
        <f>AF122*'Transmission Calculations'!L124</f>
        <v>0</v>
      </c>
      <c r="AF122" s="92"/>
      <c r="AO122" s="42">
        <v>618</v>
      </c>
      <c r="AP122" s="113">
        <f>'Transmission Calculations'!L124*'Spectral Functions'!K122*'Spectral Functions'!C122</f>
        <v>7306.336678708356</v>
      </c>
      <c r="AQ122" s="113">
        <f>'Transmission Calculations'!L124*'Spectral Functions'!K122*'Spectral Functions'!D122</f>
        <v>3323.1819329441182</v>
      </c>
      <c r="AR122" s="47">
        <f>'Transmission Calculations'!L124*'Spectral Functions'!K122*'Spectral Functions'!E122</f>
        <v>1.73940471316872</v>
      </c>
    </row>
    <row r="123" spans="1:50">
      <c r="A123" s="42">
        <v>620</v>
      </c>
      <c r="B123" s="88">
        <f>'Transmission Calculations'!L125*'Spectral Functions'!H123*'Spectral Functions'!C123</f>
        <v>6945.5931762680866</v>
      </c>
      <c r="C123" s="88">
        <f>'Transmission Calculations'!L125*'Spectral Functions'!H123*'Spectral Functions'!D123</f>
        <v>3097.0460532016396</v>
      </c>
      <c r="D123" s="88">
        <f>'Transmission Calculations'!L125*'Spectral Functions'!H123*'Spectral Functions'!E123</f>
        <v>1.5444586617016052</v>
      </c>
      <c r="J123" s="13">
        <v>620</v>
      </c>
      <c r="K123" s="47">
        <f>'Transmission Calculations'!L125*'Spectral Functions'!J123*'Spectral Functions'!N123*'Spectral Functions'!C123</f>
        <v>150.14089205904264</v>
      </c>
      <c r="L123" s="47">
        <f>'Transmission Calculations'!L125*'Spectral Functions'!J123*'Spectral Functions'!N123*'Spectral Functions'!D123</f>
        <v>66.947954677857396</v>
      </c>
      <c r="M123" s="47">
        <f>'Transmission Calculations'!L125*'Spectral Functions'!J123*'Spectral Functions'!N123*'Spectral Functions'!E123</f>
        <v>3.3386119130690041E-2</v>
      </c>
      <c r="N123" s="47">
        <f>'Spectral Functions'!D123*'Spectral Functions'!J123*'Spectral Functions'!N123</f>
        <v>0.72228364560000002</v>
      </c>
      <c r="R123" s="13">
        <v>620</v>
      </c>
      <c r="S123" s="47">
        <f>'Transmission Calculations'!L125*'Spectral Functions'!J123*'Spectral Functions'!M123*'Spectral Functions'!C123</f>
        <v>9941.1469439093398</v>
      </c>
      <c r="T123" s="47">
        <f>'Transmission Calculations'!L125*'Spectral Functions'!J123*'Spectral Functions'!M123*'Spectral Functions'!D123</f>
        <v>4432.7660900338915</v>
      </c>
      <c r="U123" s="47">
        <f>'Transmission Calculations'!L125*'Spectral Functions'!J123*'Spectral Functions'!M123*'Spectral Functions'!E123</f>
        <v>2.2105657666835676</v>
      </c>
      <c r="V123" s="47">
        <f>'Spectral Functions'!D123*'Spectral Functions'!J123*'Spectral Functions'!M123</f>
        <v>47.823932291999995</v>
      </c>
      <c r="Z123" s="13">
        <v>620</v>
      </c>
      <c r="AA123" s="47">
        <f>'Transmission Calculations'!L125*'Spectral Functions'!J123*'Spectral Functions'!L123*'Spectral Functions'!D123</f>
        <v>2079.444046812237</v>
      </c>
      <c r="AB123" s="47">
        <f>'Spectral Functions'!D123*'Spectral Functions'!J123*'Spectral Functions'!L123</f>
        <v>22.434567779999998</v>
      </c>
      <c r="AD123" s="42">
        <v>620</v>
      </c>
      <c r="AE123" s="152">
        <f>AF123*'Transmission Calculations'!L125</f>
        <v>30.151824410499998</v>
      </c>
      <c r="AF123" s="92">
        <v>0.32529999999999998</v>
      </c>
      <c r="AO123" s="42">
        <v>620</v>
      </c>
      <c r="AP123" s="113">
        <f>'Transmission Calculations'!L125*'Spectral Functions'!K123*'Spectral Functions'!C123</f>
        <v>6977.3754779628252</v>
      </c>
      <c r="AQ123" s="113">
        <f>'Transmission Calculations'!L125*'Spectral Functions'!K123*'Spectral Functions'!D123</f>
        <v>3111.2178092384997</v>
      </c>
      <c r="AR123" s="47">
        <f>'Transmission Calculations'!L125*'Spectral Functions'!K123*'Spectral Functions'!E123</f>
        <v>1.551525941615</v>
      </c>
    </row>
    <row r="124" spans="1:50">
      <c r="A124" s="42">
        <v>622</v>
      </c>
      <c r="B124" s="88">
        <f>'Transmission Calculations'!L126*'Spectral Functions'!H124*'Spectral Functions'!C124</f>
        <v>6558.1029391958555</v>
      </c>
      <c r="C124" s="88">
        <f>'Transmission Calculations'!L126*'Spectral Functions'!H124*'Spectral Functions'!D124</f>
        <v>2871.4886599657398</v>
      </c>
      <c r="D124" s="88">
        <f>'Transmission Calculations'!L126*'Spectral Functions'!H124*'Spectral Functions'!E124</f>
        <v>1.2553765016510952</v>
      </c>
      <c r="J124" s="13">
        <v>622</v>
      </c>
      <c r="K124" s="47">
        <f>'Transmission Calculations'!L126*'Spectral Functions'!J124*'Spectral Functions'!N124*'Spectral Functions'!C124</f>
        <v>132.81471821957692</v>
      </c>
      <c r="L124" s="47">
        <f>'Transmission Calculations'!L126*'Spectral Functions'!J124*'Spectral Functions'!N124*'Spectral Functions'!D124</f>
        <v>58.153396001866355</v>
      </c>
      <c r="M124" s="47">
        <f>'Transmission Calculations'!L126*'Spectral Functions'!J124*'Spectral Functions'!N124*'Spectral Functions'!E124</f>
        <v>2.5423888260392713E-2</v>
      </c>
      <c r="N124" s="47">
        <f>'Spectral Functions'!D124*'Spectral Functions'!J124*'Spectral Functions'!N124</f>
        <v>0.6273775275970801</v>
      </c>
      <c r="R124" s="13">
        <v>622</v>
      </c>
      <c r="S124" s="47">
        <f>'Transmission Calculations'!L126*'Spectral Functions'!J124*'Spectral Functions'!M124*'Spectral Functions'!C124</f>
        <v>9588.521323608069</v>
      </c>
      <c r="T124" s="47">
        <f>'Transmission Calculations'!L126*'Spectral Functions'!J124*'Spectral Functions'!M124*'Spectral Functions'!D124</f>
        <v>4198.3681106957965</v>
      </c>
      <c r="U124" s="47">
        <f>'Transmission Calculations'!L126*'Spectral Functions'!J124*'Spectral Functions'!M124*'Spectral Functions'!E124</f>
        <v>1.8354704808451836</v>
      </c>
      <c r="V124" s="47">
        <f>'Spectral Functions'!D124*'Spectral Functions'!J124*'Spectral Functions'!M124</f>
        <v>45.293344607875007</v>
      </c>
      <c r="Z124" s="13">
        <v>622</v>
      </c>
      <c r="AA124" s="47">
        <f>'Transmission Calculations'!L126*'Spectral Functions'!J124*'Spectral Functions'!L124*'Spectral Functions'!D124</f>
        <v>2255.1234423165993</v>
      </c>
      <c r="AB124" s="47">
        <f>'Spectral Functions'!D124*'Spectral Functions'!J124*'Spectral Functions'!L124</f>
        <v>24.328996532230001</v>
      </c>
      <c r="AD124" s="42">
        <v>622</v>
      </c>
      <c r="AE124" s="152">
        <f>AF124*'Transmission Calculations'!L126</f>
        <v>0</v>
      </c>
      <c r="AF124" s="92"/>
      <c r="AO124" s="42">
        <v>622</v>
      </c>
      <c r="AP124" s="113">
        <f>'Transmission Calculations'!L126*'Spectral Functions'!K124*'Spectral Functions'!C124</f>
        <v>6653.5321762330395</v>
      </c>
      <c r="AQ124" s="113">
        <f>'Transmission Calculations'!L126*'Spectral Functions'!K124*'Spectral Functions'!D124</f>
        <v>2913.2726902748245</v>
      </c>
      <c r="AR124" s="47">
        <f>'Transmission Calculations'!L126*'Spectral Functions'!K124*'Spectral Functions'!E124</f>
        <v>1.2736439217964801</v>
      </c>
    </row>
    <row r="125" spans="1:50">
      <c r="A125" s="42">
        <v>624</v>
      </c>
      <c r="B125" s="88">
        <f>'Transmission Calculations'!L127*'Spectral Functions'!H125*'Spectral Functions'!C125</f>
        <v>6202.1868091724582</v>
      </c>
      <c r="C125" s="88">
        <f>'Transmission Calculations'!L127*'Spectral Functions'!H125*'Spectral Functions'!D125</f>
        <v>2670.5333169310966</v>
      </c>
      <c r="D125" s="88">
        <f>'Transmission Calculations'!L127*'Spectral Functions'!H125*'Spectral Functions'!E125</f>
        <v>0.93880859232655178</v>
      </c>
      <c r="J125" s="13">
        <v>624</v>
      </c>
      <c r="K125" s="47">
        <f>'Transmission Calculations'!L127*'Spectral Functions'!J125*'Spectral Functions'!N125*'Spectral Functions'!C125</f>
        <v>116.74049011091002</v>
      </c>
      <c r="L125" s="47">
        <f>'Transmission Calculations'!L127*'Spectral Functions'!J125*'Spectral Functions'!N125*'Spectral Functions'!D125</f>
        <v>50.26603968377529</v>
      </c>
      <c r="M125" s="47">
        <f>'Transmission Calculations'!L127*'Spectral Functions'!J125*'Spectral Functions'!N125*'Spectral Functions'!E125</f>
        <v>1.767069882939537E-2</v>
      </c>
      <c r="N125" s="47">
        <f>'Spectral Functions'!D125*'Spectral Functions'!J125*'Spectral Functions'!N125</f>
        <v>0.53833428651936011</v>
      </c>
      <c r="R125" s="13">
        <v>624</v>
      </c>
      <c r="S125" s="47">
        <f>'Transmission Calculations'!L127*'Spectral Functions'!J125*'Spectral Functions'!M125*'Spectral Functions'!C125</f>
        <v>9263.1041066265552</v>
      </c>
      <c r="T125" s="47">
        <f>'Transmission Calculations'!L127*'Spectral Functions'!J125*'Spectral Functions'!M125*'Spectral Functions'!D125</f>
        <v>3988.5009749082565</v>
      </c>
      <c r="U125" s="47">
        <f>'Transmission Calculations'!L127*'Spectral Functions'!J125*'Spectral Functions'!M125*'Spectral Functions'!E125</f>
        <v>1.4021315375498502</v>
      </c>
      <c r="V125" s="47">
        <f>'Spectral Functions'!D125*'Spectral Functions'!J125*'Spectral Functions'!M125</f>
        <v>42.715655343384</v>
      </c>
      <c r="Z125" s="13">
        <v>624</v>
      </c>
      <c r="AA125" s="47">
        <f>'Transmission Calculations'!L127*'Spectral Functions'!J125*'Spectral Functions'!L125*'Spectral Functions'!D125</f>
        <v>2413.1341514855894</v>
      </c>
      <c r="AB125" s="47">
        <f>'Spectral Functions'!D125*'Spectral Functions'!J125*'Spectral Functions'!L125</f>
        <v>25.843946726020004</v>
      </c>
      <c r="AD125" s="42">
        <v>624</v>
      </c>
      <c r="AE125" s="152">
        <f>AF125*'Transmission Calculations'!L127</f>
        <v>0</v>
      </c>
      <c r="AF125" s="92"/>
      <c r="AO125" s="42">
        <v>624</v>
      </c>
      <c r="AP125" s="113">
        <f>'Transmission Calculations'!L127*'Spectral Functions'!K125*'Spectral Functions'!C125</f>
        <v>6356.2983554235752</v>
      </c>
      <c r="AQ125" s="113">
        <f>'Transmission Calculations'!L127*'Spectral Functions'!K125*'Spectral Functions'!D125</f>
        <v>2736.8905601825768</v>
      </c>
      <c r="AR125" s="47">
        <f>'Transmission Calculations'!L127*'Spectral Functions'!K125*'Spectral Functions'!E125</f>
        <v>0.96213604895576998</v>
      </c>
    </row>
    <row r="126" spans="1:50">
      <c r="A126" s="42">
        <v>626</v>
      </c>
      <c r="B126" s="88">
        <f>'Transmission Calculations'!L128*'Spectral Functions'!H126*'Spectral Functions'!C126</f>
        <v>5811.019043385284</v>
      </c>
      <c r="C126" s="88">
        <f>'Transmission Calculations'!L128*'Spectral Functions'!H126*'Spectral Functions'!D126</f>
        <v>2463.827343859949</v>
      </c>
      <c r="D126" s="88">
        <f>'Transmission Calculations'!L128*'Spectral Functions'!H126*'Spectral Functions'!E126</f>
        <v>0.68497614768297344</v>
      </c>
      <c r="J126" s="13">
        <v>626</v>
      </c>
      <c r="K126" s="47">
        <f>'Transmission Calculations'!L128*'Spectral Functions'!J126*'Spectral Functions'!N126*'Spectral Functions'!C126</f>
        <v>100.68379106855616</v>
      </c>
      <c r="L126" s="47">
        <f>'Transmission Calculations'!L128*'Spectral Functions'!J126*'Spectral Functions'!N126*'Spectral Functions'!D126</f>
        <v>42.689152395837937</v>
      </c>
      <c r="M126" s="47">
        <f>'Transmission Calculations'!L128*'Spectral Functions'!J126*'Spectral Functions'!N126*'Spectral Functions'!E126</f>
        <v>1.1868141340676099E-2</v>
      </c>
      <c r="N126" s="47">
        <f>'Spectral Functions'!D126*'Spectral Functions'!J126*'Spectral Functions'!N126</f>
        <v>0.45585647576136007</v>
      </c>
      <c r="R126" s="13">
        <v>626</v>
      </c>
      <c r="S126" s="47">
        <f>'Transmission Calculations'!L128*'Spectral Functions'!J126*'Spectral Functions'!M126*'Spectral Functions'!C126</f>
        <v>8865.4301975023827</v>
      </c>
      <c r="T126" s="47">
        <f>'Transmission Calculations'!L128*'Spectral Functions'!J126*'Spectral Functions'!M126*'Spectral Functions'!D126</f>
        <v>3758.8741617620344</v>
      </c>
      <c r="U126" s="47">
        <f>'Transmission Calculations'!L128*'Spectral Functions'!J126*'Spectral Functions'!M126*'Spectral Functions'!E126</f>
        <v>1.0450160598165599</v>
      </c>
      <c r="V126" s="47">
        <f>'Spectral Functions'!D126*'Spectral Functions'!J126*'Spectral Functions'!M126</f>
        <v>40.139169602682003</v>
      </c>
      <c r="Z126" s="13">
        <v>626</v>
      </c>
      <c r="AA126" s="47">
        <f>'Transmission Calculations'!L128*'Spectral Functions'!J126*'Spectral Functions'!L126*'Spectral Functions'!D126</f>
        <v>2528.7750917213234</v>
      </c>
      <c r="AB126" s="47">
        <f>'Spectral Functions'!D126*'Spectral Functions'!J126*'Spectral Functions'!L126</f>
        <v>27.003546254940005</v>
      </c>
      <c r="AD126" s="42">
        <v>626</v>
      </c>
      <c r="AE126" s="152">
        <f>AF126*'Transmission Calculations'!L128</f>
        <v>0</v>
      </c>
      <c r="AF126" s="92"/>
      <c r="AO126" s="42">
        <v>626</v>
      </c>
      <c r="AP126" s="113">
        <f>'Transmission Calculations'!L128*'Spectral Functions'!K126*'Spectral Functions'!C126</f>
        <v>6015.8093552704358</v>
      </c>
      <c r="AQ126" s="113">
        <f>'Transmission Calculations'!L128*'Spectral Functions'!K126*'Spectral Functions'!D126</f>
        <v>2550.656859718204</v>
      </c>
      <c r="AR126" s="47">
        <f>'Transmission Calculations'!L128*'Spectral Functions'!K126*'Spectral Functions'!E126</f>
        <v>0.70911588597510022</v>
      </c>
    </row>
    <row r="127" spans="1:50">
      <c r="A127" s="42">
        <v>628</v>
      </c>
      <c r="B127" s="88">
        <f>'Transmission Calculations'!L129*'Spectral Functions'!H127*'Spectral Functions'!C127</f>
        <v>5397.361895340302</v>
      </c>
      <c r="C127" s="88">
        <f>'Transmission Calculations'!L129*'Spectral Functions'!H127*'Spectral Functions'!D127</f>
        <v>2256.1946071236057</v>
      </c>
      <c r="D127" s="88">
        <f>'Transmission Calculations'!L129*'Spectral Functions'!H127*'Spectral Functions'!E127</f>
        <v>0.51170872196568784</v>
      </c>
      <c r="J127" s="13">
        <v>628</v>
      </c>
      <c r="K127" s="47">
        <f>'Transmission Calculations'!L129*'Spectral Functions'!J127*'Spectral Functions'!N127*'Spectral Functions'!C127</f>
        <v>85.070476428439974</v>
      </c>
      <c r="L127" s="47">
        <f>'Transmission Calculations'!L129*'Spectral Functions'!J127*'Spectral Functions'!N127*'Spectral Functions'!D127</f>
        <v>35.560993289885864</v>
      </c>
      <c r="M127" s="47">
        <f>'Transmission Calculations'!L129*'Spectral Functions'!J127*'Spectral Functions'!N127*'Spectral Functions'!E127</f>
        <v>8.0652929364975565E-3</v>
      </c>
      <c r="N127" s="47">
        <f>'Spectral Functions'!D127*'Spectral Functions'!J127*'Spectral Functions'!N127</f>
        <v>0.38021114525856015</v>
      </c>
      <c r="R127" s="13">
        <v>628</v>
      </c>
      <c r="S127" s="47">
        <f>'Transmission Calculations'!L129*'Spectral Functions'!J127*'Spectral Functions'!M127*'Spectral Functions'!C127</f>
        <v>8411.247556775932</v>
      </c>
      <c r="T127" s="47">
        <f>'Transmission Calculations'!L129*'Spectral Functions'!J127*'Spectral Functions'!M127*'Spectral Functions'!D127</f>
        <v>3516.053165373849</v>
      </c>
      <c r="U127" s="47">
        <f>'Transmission Calculations'!L129*'Spectral Functions'!J127*'Spectral Functions'!M127*'Spectral Functions'!E127</f>
        <v>0.79744675655910502</v>
      </c>
      <c r="V127" s="47">
        <f>'Spectral Functions'!D127*'Spectral Functions'!J127*'Spectral Functions'!M127</f>
        <v>37.592948821736002</v>
      </c>
      <c r="Z127" s="13">
        <v>628</v>
      </c>
      <c r="AA127" s="47">
        <f>'Transmission Calculations'!L129*'Spectral Functions'!J127*'Spectral Functions'!L127*'Spectral Functions'!D127</f>
        <v>2603.0006349578612</v>
      </c>
      <c r="AB127" s="47">
        <f>'Spectral Functions'!D127*'Spectral Functions'!J127*'Spectral Functions'!L127</f>
        <v>27.830770767800008</v>
      </c>
      <c r="AD127" s="42">
        <v>628</v>
      </c>
      <c r="AE127" s="152">
        <f>AF127*'Transmission Calculations'!L129</f>
        <v>0</v>
      </c>
      <c r="AF127" s="92"/>
      <c r="AO127" s="42">
        <v>628</v>
      </c>
      <c r="AP127" s="113">
        <f>'Transmission Calculations'!L129*'Spectral Functions'!K127*'Spectral Functions'!C127</f>
        <v>5644.2011109324785</v>
      </c>
      <c r="AQ127" s="113">
        <f>'Transmission Calculations'!L129*'Spectral Functions'!K127*'Spectral Functions'!D127</f>
        <v>2359.3778506868166</v>
      </c>
      <c r="AR127" s="47">
        <f>'Transmission Calculations'!L129*'Spectral Functions'!K127*'Spectral Functions'!E127</f>
        <v>0.53511085470959985</v>
      </c>
    </row>
    <row r="128" spans="1:50">
      <c r="A128" s="42">
        <v>630</v>
      </c>
      <c r="B128" s="88">
        <f>'Transmission Calculations'!L130*'Spectral Functions'!H128*'Spectral Functions'!C128</f>
        <v>4986.4354692725155</v>
      </c>
      <c r="C128" s="88">
        <f>'Transmission Calculations'!L130*'Spectral Functions'!H128*'Spectral Functions'!D128</f>
        <v>2056.9822530467263</v>
      </c>
      <c r="D128" s="88">
        <f>'Transmission Calculations'!L130*'Spectral Functions'!H128*'Spectral Functions'!E128</f>
        <v>0.38810985906542</v>
      </c>
      <c r="J128" s="13">
        <v>630</v>
      </c>
      <c r="K128" s="47">
        <f>'Transmission Calculations'!L130*'Spectral Functions'!J128*'Spectral Functions'!N128*'Spectral Functions'!C128</f>
        <v>70.43755144709931</v>
      </c>
      <c r="L128" s="47">
        <f>'Transmission Calculations'!L130*'Spectral Functions'!J128*'Spectral Functions'!N128*'Spectral Functions'!D128</f>
        <v>29.05658644688873</v>
      </c>
      <c r="M128" s="47">
        <f>'Transmission Calculations'!L130*'Spectral Functions'!J128*'Spectral Functions'!N128*'Spectral Functions'!E128</f>
        <v>5.48237480129976E-3</v>
      </c>
      <c r="N128" s="47">
        <f>'Spectral Functions'!D128*'Spectral Functions'!J128*'Spectral Functions'!N128</f>
        <v>0.31177801199999999</v>
      </c>
      <c r="R128" s="13">
        <v>630</v>
      </c>
      <c r="S128" s="47">
        <f>'Transmission Calculations'!L130*'Spectral Functions'!J128*'Spectral Functions'!M128*'Spectral Functions'!C128</f>
        <v>7937.7702207692691</v>
      </c>
      <c r="T128" s="47">
        <f>'Transmission Calculations'!L130*'Spectral Functions'!J128*'Spectral Functions'!M128*'Spectral Functions'!D128</f>
        <v>3274.4537803609223</v>
      </c>
      <c r="U128" s="47">
        <f>'Transmission Calculations'!L130*'Spectral Functions'!J128*'Spectral Functions'!M128*'Spectral Functions'!E128</f>
        <v>0.61782146799262683</v>
      </c>
      <c r="V128" s="47">
        <f>'Spectral Functions'!D128*'Spectral Functions'!J128*'Spectral Functions'!M128</f>
        <v>35.134983660000003</v>
      </c>
      <c r="Z128" s="13">
        <v>630</v>
      </c>
      <c r="AA128" s="47">
        <f>'Transmission Calculations'!L130*'Spectral Functions'!J128*'Spectral Functions'!L128*'Spectral Functions'!D128</f>
        <v>2644.8944073449998</v>
      </c>
      <c r="AB128" s="47">
        <f>'Spectral Functions'!D128*'Spectral Functions'!J128*'Spectral Functions'!L128</f>
        <v>28.379793400000001</v>
      </c>
      <c r="AD128" s="42">
        <v>630</v>
      </c>
      <c r="AE128" s="152">
        <f>AF128*'Transmission Calculations'!L130</f>
        <v>31.2953491052</v>
      </c>
      <c r="AF128" s="92">
        <v>0.33579999999999999</v>
      </c>
      <c r="AO128" s="42">
        <v>630</v>
      </c>
      <c r="AP128" s="113">
        <f>'Transmission Calculations'!L130*'Spectral Functions'!K128*'Spectral Functions'!C128</f>
        <v>5268.5039884927992</v>
      </c>
      <c r="AQ128" s="113">
        <f>'Transmission Calculations'!L130*'Spectral Functions'!K128*'Spectral Functions'!D128</f>
        <v>2173.33990808</v>
      </c>
      <c r="AR128" s="47">
        <f>'Transmission Calculations'!L130*'Spectral Functions'!K128*'Spectral Functions'!E128</f>
        <v>0.41006413359999999</v>
      </c>
    </row>
    <row r="129" spans="1:44">
      <c r="A129" s="42">
        <v>632</v>
      </c>
      <c r="B129" s="88">
        <f>'Transmission Calculations'!L131*'Spectral Functions'!H129*'Spectral Functions'!C129</f>
        <v>4699.3322568043295</v>
      </c>
      <c r="C129" s="88">
        <f>'Transmission Calculations'!L131*'Spectral Functions'!H129*'Spectral Functions'!D129</f>
        <v>1914.4779132890137</v>
      </c>
      <c r="D129" s="88">
        <f>'Transmission Calculations'!L131*'Spectral Functions'!H129*'Spectral Functions'!E129</f>
        <v>0.30489051663306599</v>
      </c>
      <c r="J129" s="13">
        <v>632</v>
      </c>
      <c r="K129" s="47">
        <f>'Transmission Calculations'!L131*'Spectral Functions'!J129*'Spectral Functions'!N129*'Spectral Functions'!C129</f>
        <v>61.454391987390061</v>
      </c>
      <c r="L129" s="47">
        <f>'Transmission Calculations'!L131*'Spectral Functions'!J129*'Spectral Functions'!N129*'Spectral Functions'!D129</f>
        <v>25.036126348399723</v>
      </c>
      <c r="M129" s="47">
        <f>'Transmission Calculations'!L131*'Spectral Functions'!J129*'Spectral Functions'!N129*'Spectral Functions'!E129</f>
        <v>3.9871327027954963E-3</v>
      </c>
      <c r="N129" s="47">
        <f>'Spectral Functions'!D129*'Spectral Functions'!J129*'Spectral Functions'!N129</f>
        <v>0.26699385956039995</v>
      </c>
      <c r="R129" s="13">
        <v>632</v>
      </c>
      <c r="S129" s="47">
        <f>'Transmission Calculations'!L131*'Spectral Functions'!J129*'Spectral Functions'!M129*'Spectral Functions'!C129</f>
        <v>7551.3371606851651</v>
      </c>
      <c r="T129" s="47">
        <f>'Transmission Calculations'!L131*'Spectral Functions'!J129*'Spectral Functions'!M129*'Spectral Functions'!D129</f>
        <v>3076.366475044983</v>
      </c>
      <c r="U129" s="47">
        <f>'Transmission Calculations'!L131*'Spectral Functions'!J129*'Spectral Functions'!M129*'Spectral Functions'!E129</f>
        <v>0.48992728378763661</v>
      </c>
      <c r="V129" s="47">
        <f>'Spectral Functions'!D129*'Spectral Functions'!J129*'Spectral Functions'!M129</f>
        <v>32.807429838161994</v>
      </c>
      <c r="Z129" s="13">
        <v>632</v>
      </c>
      <c r="AA129" s="47">
        <f>'Transmission Calculations'!L131*'Spectral Functions'!J129*'Spectral Functions'!L129*'Spectral Functions'!D129</f>
        <v>2542.7752905804855</v>
      </c>
      <c r="AB129" s="47">
        <f>'Spectral Functions'!D129*'Spectral Functions'!J129*'Spectral Functions'!L129</f>
        <v>27.117029982167995</v>
      </c>
      <c r="AD129" s="42">
        <v>632</v>
      </c>
      <c r="AE129" s="152">
        <f>AF129*'Transmission Calculations'!L131</f>
        <v>0</v>
      </c>
      <c r="AF129" s="92"/>
      <c r="AO129" s="42">
        <v>632</v>
      </c>
      <c r="AP129" s="113">
        <f>'Transmission Calculations'!L131*'Spectral Functions'!K129*'Spectral Functions'!C129</f>
        <v>4956.8886750785678</v>
      </c>
      <c r="AQ129" s="113">
        <f>'Transmission Calculations'!L131*'Spectral Functions'!K129*'Spectral Functions'!D129</f>
        <v>2019.4047512451721</v>
      </c>
      <c r="AR129" s="47">
        <f>'Transmission Calculations'!L131*'Spectral Functions'!K129*'Spectral Functions'!E129</f>
        <v>0.3216006586572</v>
      </c>
    </row>
    <row r="130" spans="1:44">
      <c r="A130" s="42">
        <v>634</v>
      </c>
      <c r="B130" s="88">
        <f>'Transmission Calculations'!L132*'Spectral Functions'!H130*'Spectral Functions'!C130</f>
        <v>4400.7163171725042</v>
      </c>
      <c r="C130" s="88">
        <f>'Transmission Calculations'!L132*'Spectral Functions'!H130*'Spectral Functions'!D130</f>
        <v>1771.9962052693386</v>
      </c>
      <c r="D130" s="88">
        <f>'Transmission Calculations'!L132*'Spectral Functions'!H130*'Spectral Functions'!E130</f>
        <v>0.25868214433733761</v>
      </c>
      <c r="J130" s="13">
        <v>634</v>
      </c>
      <c r="K130" s="47">
        <f>'Transmission Calculations'!L132*'Spectral Functions'!J130*'Spectral Functions'!N130*'Spectral Functions'!C130</f>
        <v>52.846377944319784</v>
      </c>
      <c r="L130" s="47">
        <f>'Transmission Calculations'!L132*'Spectral Functions'!J130*'Spectral Functions'!N130*'Spectral Functions'!D130</f>
        <v>21.279167851412584</v>
      </c>
      <c r="M130" s="47">
        <f>'Transmission Calculations'!L132*'Spectral Functions'!J130*'Spectral Functions'!N130*'Spectral Functions'!E130</f>
        <v>3.1064066351546554E-3</v>
      </c>
      <c r="N130" s="47">
        <f>'Spectral Functions'!D130*'Spectral Functions'!J130*'Spectral Functions'!N130</f>
        <v>0.22653903203424</v>
      </c>
      <c r="R130" s="13">
        <v>634</v>
      </c>
      <c r="S130" s="47">
        <f>'Transmission Calculations'!L132*'Spectral Functions'!J130*'Spectral Functions'!M130*'Spectral Functions'!C130</f>
        <v>7137.5031315595106</v>
      </c>
      <c r="T130" s="47">
        <f>'Transmission Calculations'!L132*'Spectral Functions'!J130*'Spectral Functions'!M130*'Spectral Functions'!D130</f>
        <v>2873.9931303610315</v>
      </c>
      <c r="U130" s="47">
        <f>'Transmission Calculations'!L132*'Spectral Functions'!J130*'Spectral Functions'!M130*'Spectral Functions'!E130</f>
        <v>0.41955547284005984</v>
      </c>
      <c r="V130" s="47">
        <f>'Spectral Functions'!D130*'Spectral Functions'!J130*'Spectral Functions'!M130</f>
        <v>30.596667424747203</v>
      </c>
      <c r="Z130" s="13">
        <v>634</v>
      </c>
      <c r="AA130" s="47">
        <f>'Transmission Calculations'!L132*'Spectral Functions'!J130*'Spectral Functions'!L130*'Spectral Functions'!D130</f>
        <v>2429.4804522379641</v>
      </c>
      <c r="AB130" s="47">
        <f>'Spectral Functions'!D130*'Spectral Functions'!J130*'Spectral Functions'!L130</f>
        <v>25.864364332252801</v>
      </c>
      <c r="AD130" s="42">
        <v>634</v>
      </c>
      <c r="AE130" s="152">
        <f>AF130*'Transmission Calculations'!L132</f>
        <v>0</v>
      </c>
      <c r="AF130" s="92"/>
      <c r="AO130" s="42">
        <v>634</v>
      </c>
      <c r="AP130" s="113">
        <f>'Transmission Calculations'!L132*'Spectral Functions'!K130*'Spectral Functions'!C130</f>
        <v>4634.703174923925</v>
      </c>
      <c r="AQ130" s="113">
        <f>'Transmission Calculations'!L132*'Spectral Functions'!K130*'Spectral Functions'!D130</f>
        <v>1866.2135540224194</v>
      </c>
      <c r="AR130" s="47">
        <f>'Transmission Calculations'!L132*'Spectral Functions'!K130*'Spectral Functions'!E130</f>
        <v>0.27243631928237999</v>
      </c>
    </row>
    <row r="131" spans="1:44">
      <c r="A131" s="42">
        <v>636</v>
      </c>
      <c r="B131" s="88">
        <f>'Transmission Calculations'!L133*'Spectral Functions'!H131*'Spectral Functions'!C131</f>
        <v>4042.9110486432323</v>
      </c>
      <c r="C131" s="88">
        <f>'Transmission Calculations'!L133*'Spectral Functions'!H131*'Spectral Functions'!D131</f>
        <v>1610.3720813388302</v>
      </c>
      <c r="D131" s="88">
        <f>'Transmission Calculations'!L133*'Spectral Functions'!H131*'Spectral Functions'!E131</f>
        <v>0.21661214956373998</v>
      </c>
      <c r="J131" s="13">
        <v>636</v>
      </c>
      <c r="K131" s="47">
        <f>'Transmission Calculations'!L133*'Spectral Functions'!J131*'Spectral Functions'!N131*'Spectral Functions'!C131</f>
        <v>44.14732837221473</v>
      </c>
      <c r="L131" s="47">
        <f>'Transmission Calculations'!L133*'Spectral Functions'!J131*'Spectral Functions'!N131*'Spectral Functions'!D131</f>
        <v>17.584761133978116</v>
      </c>
      <c r="M131" s="47">
        <f>'Transmission Calculations'!L133*'Spectral Functions'!J131*'Spectral Functions'!N131*'Spectral Functions'!E131</f>
        <v>2.3653371496785542E-3</v>
      </c>
      <c r="N131" s="47">
        <f>'Spectral Functions'!D131*'Spectral Functions'!J131*'Spectral Functions'!N131</f>
        <v>0.18988041381792001</v>
      </c>
      <c r="R131" s="13">
        <v>636</v>
      </c>
      <c r="S131" s="47">
        <f>'Transmission Calculations'!L133*'Spectral Functions'!J131*'Spectral Functions'!M131*'Spectral Functions'!C131</f>
        <v>6617.5944264064738</v>
      </c>
      <c r="T131" s="47">
        <f>'Transmission Calculations'!L133*'Spectral Functions'!J131*'Spectral Functions'!M131*'Spectral Functions'!D131</f>
        <v>2635.9198067156995</v>
      </c>
      <c r="U131" s="47">
        <f>'Transmission Calculations'!L133*'Spectral Functions'!J131*'Spectral Functions'!M131*'Spectral Functions'!E131</f>
        <v>0.35455921151814251</v>
      </c>
      <c r="V131" s="47">
        <f>'Spectral Functions'!D131*'Spectral Functions'!J131*'Spectral Functions'!M131</f>
        <v>28.462686520257602</v>
      </c>
      <c r="Z131" s="13">
        <v>636</v>
      </c>
      <c r="AA131" s="47">
        <f>'Transmission Calculations'!L133*'Spectral Functions'!J131*'Spectral Functions'!L131*'Spectral Functions'!D131</f>
        <v>2277.6452516390705</v>
      </c>
      <c r="AB131" s="47">
        <f>'Spectral Functions'!D131*'Spectral Functions'!J131*'Spectral Functions'!L131</f>
        <v>24.594034551654399</v>
      </c>
      <c r="AD131" s="42">
        <v>636</v>
      </c>
      <c r="AE131" s="152">
        <f>AF131*'Transmission Calculations'!L133</f>
        <v>0</v>
      </c>
      <c r="AF131" s="92"/>
      <c r="AO131" s="42">
        <v>636</v>
      </c>
      <c r="AP131" s="113">
        <f>'Transmission Calculations'!L133*'Spectral Functions'!K131*'Spectral Functions'!C131</f>
        <v>4251.7475982918295</v>
      </c>
      <c r="AQ131" s="113">
        <f>'Transmission Calculations'!L133*'Spectral Functions'!K131*'Spectral Functions'!D131</f>
        <v>1693.555843007317</v>
      </c>
      <c r="AR131" s="47">
        <f>'Transmission Calculations'!L133*'Spectral Functions'!K131*'Spectral Functions'!E131</f>
        <v>0.22780124904739998</v>
      </c>
    </row>
    <row r="132" spans="1:44">
      <c r="A132" s="42">
        <v>638</v>
      </c>
      <c r="B132" s="88">
        <f>'Transmission Calculations'!L134*'Spectral Functions'!H132*'Spectral Functions'!C132</f>
        <v>3771.5365039614048</v>
      </c>
      <c r="C132" s="88">
        <f>'Transmission Calculations'!L134*'Spectral Functions'!H132*'Spectral Functions'!D132</f>
        <v>1487.2758825580972</v>
      </c>
      <c r="D132" s="88">
        <f>'Transmission Calculations'!L134*'Spectral Functions'!H132*'Spectral Functions'!E132</f>
        <v>0.18673129754070958</v>
      </c>
      <c r="J132" s="13">
        <v>638</v>
      </c>
      <c r="K132" s="47">
        <f>'Transmission Calculations'!L134*'Spectral Functions'!J132*'Spectral Functions'!N132*'Spectral Functions'!C132</f>
        <v>37.002389114342328</v>
      </c>
      <c r="L132" s="47">
        <f>'Transmission Calculations'!L134*'Spectral Functions'!J132*'Spectral Functions'!N132*'Spectral Functions'!D132</f>
        <v>14.591602353308359</v>
      </c>
      <c r="M132" s="47">
        <f>'Transmission Calculations'!L134*'Spectral Functions'!J132*'Spectral Functions'!N132*'Spectral Functions'!E132</f>
        <v>1.8320130599743696E-3</v>
      </c>
      <c r="N132" s="47">
        <f>'Spectral Functions'!D132*'Spectral Functions'!J132*'Spectral Functions'!N132</f>
        <v>0.15681666512759998</v>
      </c>
      <c r="R132" s="13">
        <v>638</v>
      </c>
      <c r="S132" s="47">
        <f>'Transmission Calculations'!L134*'Spectral Functions'!J132*'Spectral Functions'!M132*'Spectral Functions'!C132</f>
        <v>6229.6770375329779</v>
      </c>
      <c r="T132" s="47">
        <f>'Transmission Calculations'!L134*'Spectral Functions'!J132*'Spectral Functions'!M132*'Spectral Functions'!D132</f>
        <v>2456.6243503985947</v>
      </c>
      <c r="U132" s="47">
        <f>'Transmission Calculations'!L134*'Spectral Functions'!J132*'Spectral Functions'!M132*'Spectral Functions'!E132</f>
        <v>0.30843548120408193</v>
      </c>
      <c r="V132" s="47">
        <f>'Spectral Functions'!D132*'Spectral Functions'!J132*'Spectral Functions'!M132</f>
        <v>26.401462209078002</v>
      </c>
      <c r="Z132" s="13">
        <v>638</v>
      </c>
      <c r="AA132" s="47">
        <f>'Transmission Calculations'!L134*'Spectral Functions'!J132*'Spectral Functions'!L132*'Spectral Functions'!D132</f>
        <v>2168.6908230451431</v>
      </c>
      <c r="AB132" s="47">
        <f>'Spectral Functions'!D132*'Spectral Functions'!J132*'Spectral Functions'!L132</f>
        <v>23.307026488811996</v>
      </c>
      <c r="AD132" s="42">
        <v>638</v>
      </c>
      <c r="AE132" s="152">
        <f>AF132*'Transmission Calculations'!L134</f>
        <v>0</v>
      </c>
      <c r="AF132" s="92"/>
      <c r="AO132" s="42">
        <v>638</v>
      </c>
      <c r="AP132" s="113">
        <f>'Transmission Calculations'!L134*'Spectral Functions'!K132*'Spectral Functions'!C132</f>
        <v>3961.1076655120855</v>
      </c>
      <c r="AQ132" s="113">
        <f>'Transmission Calculations'!L134*'Spectral Functions'!K132*'Spectral Functions'!D132</f>
        <v>1562.0317854392476</v>
      </c>
      <c r="AR132" s="47">
        <f>'Transmission Calculations'!L134*'Spectral Functions'!K132*'Spectral Functions'!E132</f>
        <v>0.19611709267631997</v>
      </c>
    </row>
    <row r="133" spans="1:44">
      <c r="A133" s="42">
        <v>640</v>
      </c>
      <c r="B133" s="88">
        <f>'Transmission Calculations'!L135*'Spectral Functions'!H133*'Spectral Functions'!C133</f>
        <v>3505.765387069272</v>
      </c>
      <c r="C133" s="88">
        <f>'Transmission Calculations'!L135*'Spectral Functions'!H133*'Spectral Functions'!D133</f>
        <v>1369.7453510540802</v>
      </c>
      <c r="D133" s="88">
        <f>'Transmission Calculations'!L135*'Spectral Functions'!H133*'Spectral Functions'!E133</f>
        <v>0.15654232583475203</v>
      </c>
      <c r="J133" s="13">
        <v>640</v>
      </c>
      <c r="K133" s="47">
        <f>'Transmission Calculations'!L135*'Spectral Functions'!J133*'Spectral Functions'!N133*'Spectral Functions'!C133</f>
        <v>30.438183714845014</v>
      </c>
      <c r="L133" s="47">
        <f>'Transmission Calculations'!L135*'Spectral Functions'!J133*'Spectral Functions'!N133*'Spectral Functions'!D133</f>
        <v>11.892570105152661</v>
      </c>
      <c r="M133" s="47">
        <f>'Transmission Calculations'!L135*'Spectral Functions'!J133*'Spectral Functions'!N133*'Spectral Functions'!E133</f>
        <v>1.3591508691603042E-3</v>
      </c>
      <c r="N133" s="47">
        <f>'Spectral Functions'!D133*'Spectral Functions'!J133*'Spectral Functions'!N133</f>
        <v>0.12717309500000001</v>
      </c>
      <c r="R133" s="13">
        <v>640</v>
      </c>
      <c r="S133" s="47">
        <f>'Transmission Calculations'!L135*'Spectral Functions'!J133*'Spectral Functions'!M133*'Spectral Functions'!C133</f>
        <v>5842.8078739582925</v>
      </c>
      <c r="T133" s="47">
        <f>'Transmission Calculations'!L135*'Spectral Functions'!J133*'Spectral Functions'!M133*'Spectral Functions'!D133</f>
        <v>2282.8563919238695</v>
      </c>
      <c r="U133" s="47">
        <f>'Transmission Calculations'!L135*'Spectral Functions'!J133*'Spectral Functions'!M133*'Spectral Functions'!E133</f>
        <v>0.26089787336272796</v>
      </c>
      <c r="V133" s="47">
        <f>'Spectral Functions'!D133*'Spectral Functions'!J133*'Spectral Functions'!M133</f>
        <v>24.411704974999999</v>
      </c>
      <c r="Z133" s="13">
        <v>640</v>
      </c>
      <c r="AA133" s="47">
        <f>'Transmission Calculations'!L135*'Spectral Functions'!J133*'Spectral Functions'!L133*'Spectral Functions'!D133</f>
        <v>2057.931696456852</v>
      </c>
      <c r="AB133" s="47">
        <f>'Spectral Functions'!D133*'Spectral Functions'!J133*'Spectral Functions'!L133</f>
        <v>22.006474700000002</v>
      </c>
      <c r="AD133" s="42">
        <v>640</v>
      </c>
      <c r="AE133" s="152">
        <f>AF133*'Transmission Calculations'!L135</f>
        <v>90.662625746000018</v>
      </c>
      <c r="AF133" s="92">
        <v>0.96950000000000003</v>
      </c>
      <c r="AO133" s="42">
        <v>640</v>
      </c>
      <c r="AP133" s="113">
        <f>'Transmission Calculations'!L135*'Spectral Functions'!K133*'Spectral Functions'!C133</f>
        <v>3677.5285902933601</v>
      </c>
      <c r="AQ133" s="113">
        <f>'Transmission Calculations'!L135*'Spectral Functions'!K133*'Spectral Functions'!D133</f>
        <v>1436.85533222</v>
      </c>
      <c r="AR133" s="47">
        <f>'Transmission Calculations'!L135*'Spectral Functions'!K133*'Spectral Functions'!E133</f>
        <v>0.16421203796800002</v>
      </c>
    </row>
    <row r="134" spans="1:44">
      <c r="A134" s="42">
        <v>642</v>
      </c>
      <c r="B134" s="88">
        <f>'Transmission Calculations'!L136*'Spectral Functions'!H134*'Spectral Functions'!C134</f>
        <v>3219.4919940647155</v>
      </c>
      <c r="C134" s="88">
        <f>'Transmission Calculations'!L136*'Spectral Functions'!H134*'Spectral Functions'!D134</f>
        <v>1247.2252204195497</v>
      </c>
      <c r="D134" s="88">
        <f>'Transmission Calculations'!L136*'Spectral Functions'!H134*'Spectral Functions'!E134</f>
        <v>0.12499908251201278</v>
      </c>
      <c r="J134" s="13">
        <v>642</v>
      </c>
      <c r="K134" s="47">
        <f>'Transmission Calculations'!L136*'Spectral Functions'!J134*'Spectral Functions'!N134*'Spectral Functions'!C134</f>
        <v>26.226479806501295</v>
      </c>
      <c r="L134" s="47">
        <f>'Transmission Calculations'!L136*'Spectral Functions'!J134*'Spectral Functions'!N134*'Spectral Functions'!D134</f>
        <v>10.16008957866504</v>
      </c>
      <c r="M134" s="47">
        <f>'Transmission Calculations'!L136*'Spectral Functions'!J134*'Spectral Functions'!N134*'Spectral Functions'!E134</f>
        <v>1.0182618622367025E-3</v>
      </c>
      <c r="N134" s="47">
        <f>'Spectral Functions'!D134*'Spectral Functions'!J134*'Spectral Functions'!N134</f>
        <v>0.10789567627888</v>
      </c>
      <c r="R134" s="13">
        <v>642</v>
      </c>
      <c r="S134" s="47">
        <f>'Transmission Calculations'!L136*'Spectral Functions'!J134*'Spectral Functions'!M134*'Spectral Functions'!C134</f>
        <v>5466.7365219306239</v>
      </c>
      <c r="T134" s="47">
        <f>'Transmission Calculations'!L136*'Spectral Functions'!J134*'Spectral Functions'!M134*'Spectral Functions'!D134</f>
        <v>2117.8035777415475</v>
      </c>
      <c r="U134" s="47">
        <f>'Transmission Calculations'!L136*'Spectral Functions'!J134*'Spectral Functions'!M134*'Spectral Functions'!E134</f>
        <v>0.21224996081245229</v>
      </c>
      <c r="V134" s="47">
        <f>'Spectral Functions'!D134*'Spectral Functions'!J134*'Spectral Functions'!M134</f>
        <v>22.490141201715602</v>
      </c>
      <c r="Z134" s="13">
        <v>642</v>
      </c>
      <c r="AA134" s="47">
        <f>'Transmission Calculations'!L136*'Spectral Functions'!J134*'Spectral Functions'!L134*'Spectral Functions'!D134</f>
        <v>1918.9150317440954</v>
      </c>
      <c r="AB134" s="47">
        <f>'Spectral Functions'!D134*'Spectral Functions'!J134*'Spectral Functions'!L134</f>
        <v>20.378032444369602</v>
      </c>
      <c r="AD134" s="42">
        <v>642</v>
      </c>
      <c r="AE134" s="152">
        <f>AF134*'Transmission Calculations'!L136</f>
        <v>0</v>
      </c>
      <c r="AF134" s="92"/>
      <c r="AO134" s="42">
        <v>642</v>
      </c>
      <c r="AP134" s="113">
        <f>'Transmission Calculations'!L136*'Spectral Functions'!K134*'Spectral Functions'!C134</f>
        <v>3410.2329838884157</v>
      </c>
      <c r="AQ134" s="113">
        <f>'Transmission Calculations'!L136*'Spectral Functions'!K134*'Spectral Functions'!D134</f>
        <v>1321.1179257017748</v>
      </c>
      <c r="AR134" s="47">
        <f>'Transmission Calculations'!L136*'Spectral Functions'!K134*'Spectral Functions'!E134</f>
        <v>0.13240473805312</v>
      </c>
    </row>
    <row r="135" spans="1:44">
      <c r="A135" s="42">
        <v>644</v>
      </c>
      <c r="B135" s="88">
        <f>'Transmission Calculations'!L137*'Spectral Functions'!H135*'Spectral Functions'!C135</f>
        <v>2917.8882771223034</v>
      </c>
      <c r="C135" s="88">
        <f>'Transmission Calculations'!L137*'Spectral Functions'!H135*'Spectral Functions'!D135</f>
        <v>1121.6541444208888</v>
      </c>
      <c r="D135" s="88">
        <f>'Transmission Calculations'!L137*'Spectral Functions'!H135*'Spectral Functions'!E135</f>
        <v>9.2745956844746402E-2</v>
      </c>
      <c r="J135" s="13">
        <v>644</v>
      </c>
      <c r="K135" s="47">
        <f>'Transmission Calculations'!L137*'Spectral Functions'!J135*'Spectral Functions'!N135*'Spectral Functions'!C135</f>
        <v>22.140365743016329</v>
      </c>
      <c r="L135" s="47">
        <f>'Transmission Calculations'!L137*'Spectral Functions'!J135*'Spectral Functions'!N135*'Spectral Functions'!D135</f>
        <v>8.5108923427117311</v>
      </c>
      <c r="M135" s="47">
        <f>'Transmission Calculations'!L137*'Spectral Functions'!J135*'Spectral Functions'!N135*'Spectral Functions'!E135</f>
        <v>7.0373818690338576E-4</v>
      </c>
      <c r="N135" s="47">
        <f>'Spectral Functions'!D135*'Spectral Functions'!J135*'Spectral Functions'!N135</f>
        <v>9.0550885881680004E-2</v>
      </c>
      <c r="R135" s="13">
        <v>644</v>
      </c>
      <c r="S135" s="47">
        <f>'Transmission Calculations'!L137*'Spectral Functions'!J135*'Spectral Functions'!M135*'Spectral Functions'!C135</f>
        <v>5047.7751382144961</v>
      </c>
      <c r="T135" s="47">
        <f>'Transmission Calculations'!L137*'Spectral Functions'!J135*'Spectral Functions'!M135*'Spectral Functions'!D135</f>
        <v>1940.3957129801024</v>
      </c>
      <c r="U135" s="47">
        <f>'Transmission Calculations'!L137*'Spectral Functions'!J135*'Spectral Functions'!M135*'Spectral Functions'!E135</f>
        <v>0.1604450515811173</v>
      </c>
      <c r="V135" s="47">
        <f>'Spectral Functions'!D135*'Spectral Functions'!J135*'Spectral Functions'!M135</f>
        <v>20.644668466735602</v>
      </c>
      <c r="Z135" s="13">
        <v>644</v>
      </c>
      <c r="AA135" s="47">
        <f>'Transmission Calculations'!L137*'Spectral Functions'!J135*'Spectral Functions'!L135*'Spectral Functions'!D135</f>
        <v>1767.1069255898378</v>
      </c>
      <c r="AB135" s="47">
        <f>'Spectral Functions'!D135*'Spectral Functions'!J135*'Spectral Functions'!L135</f>
        <v>18.800977749041603</v>
      </c>
      <c r="AD135" s="42">
        <v>644</v>
      </c>
      <c r="AE135" s="152">
        <f>AF135*'Transmission Calculations'!L137</f>
        <v>0</v>
      </c>
      <c r="AF135" s="92"/>
      <c r="AO135" s="42">
        <v>644</v>
      </c>
      <c r="AP135" s="113">
        <f>'Transmission Calculations'!L137*'Spectral Functions'!K135*'Spectral Functions'!C135</f>
        <v>3120.8518764749037</v>
      </c>
      <c r="AQ135" s="113">
        <f>'Transmission Calculations'!L137*'Spectral Functions'!K135*'Spectral Functions'!D135</f>
        <v>1199.6745964599038</v>
      </c>
      <c r="AR135" s="47">
        <f>'Transmission Calculations'!L137*'Spectral Functions'!K135*'Spectral Functions'!E135</f>
        <v>9.9197215919400006E-2</v>
      </c>
    </row>
    <row r="136" spans="1:44">
      <c r="A136" s="42">
        <v>646</v>
      </c>
      <c r="B136" s="88">
        <f>'Transmission Calculations'!L138*'Spectral Functions'!H136*'Spectral Functions'!C136</f>
        <v>2612.5931815547542</v>
      </c>
      <c r="C136" s="88">
        <f>'Transmission Calculations'!L138*'Spectral Functions'!H136*'Spectral Functions'!D136</f>
        <v>997.38719422640406</v>
      </c>
      <c r="D136" s="88">
        <f>'Transmission Calculations'!L138*'Spectral Functions'!H136*'Spectral Functions'!E136</f>
        <v>7.5846934922160006E-2</v>
      </c>
      <c r="J136" s="13">
        <v>646</v>
      </c>
      <c r="K136" s="47">
        <f>'Transmission Calculations'!L138*'Spectral Functions'!J136*'Spectral Functions'!N136*'Spectral Functions'!C136</f>
        <v>18.305698260984958</v>
      </c>
      <c r="L136" s="47">
        <f>'Transmission Calculations'!L138*'Spectral Functions'!J136*'Spectral Functions'!N136*'Spectral Functions'!D136</f>
        <v>6.9884087410860083</v>
      </c>
      <c r="M136" s="47">
        <f>'Transmission Calculations'!L138*'Spectral Functions'!J136*'Spectral Functions'!N136*'Spectral Functions'!E136</f>
        <v>5.3143792707878391E-4</v>
      </c>
      <c r="N136" s="47">
        <f>'Spectral Functions'!D136*'Spectral Functions'!J136*'Spectral Functions'!N136</f>
        <v>7.5088856479999994E-2</v>
      </c>
      <c r="R136" s="13">
        <v>646</v>
      </c>
      <c r="S136" s="47">
        <f>'Transmission Calculations'!L138*'Spectral Functions'!J136*'Spectral Functions'!M136*'Spectral Functions'!C136</f>
        <v>4604.5071705329783</v>
      </c>
      <c r="T136" s="47">
        <f>'Transmission Calculations'!L138*'Spectral Functions'!J136*'Spectral Functions'!M136*'Spectral Functions'!D136</f>
        <v>1757.823039590214</v>
      </c>
      <c r="U136" s="47">
        <f>'Transmission Calculations'!L138*'Spectral Functions'!J136*'Spectral Functions'!M136*'Spectral Functions'!E136</f>
        <v>0.13367475586237368</v>
      </c>
      <c r="V136" s="47">
        <f>'Spectral Functions'!D136*'Spectral Functions'!J136*'Spectral Functions'!M136</f>
        <v>18.887407252100004</v>
      </c>
      <c r="Z136" s="13">
        <v>646</v>
      </c>
      <c r="AA136" s="47">
        <f>'Transmission Calculations'!L138*'Spectral Functions'!J136*'Spectral Functions'!L136*'Spectral Functions'!D136</f>
        <v>1608.9222851636657</v>
      </c>
      <c r="AB136" s="47">
        <f>'Spectral Functions'!D136*'Spectral Functions'!J136*'Spectral Functions'!L136</f>
        <v>17.287502639600003</v>
      </c>
      <c r="AD136" s="42">
        <v>646</v>
      </c>
      <c r="AE136" s="152">
        <f>AF136*'Transmission Calculations'!L138</f>
        <v>0</v>
      </c>
      <c r="AF136" s="92"/>
      <c r="AO136" s="42">
        <v>646</v>
      </c>
      <c r="AP136" s="113">
        <f>'Transmission Calculations'!L138*'Spectral Functions'!K136*'Spectral Functions'!C136</f>
        <v>2822.0666313143138</v>
      </c>
      <c r="AQ136" s="113">
        <f>'Transmission Calculations'!L138*'Spectral Functions'!K136*'Spectral Functions'!D136</f>
        <v>1077.3560687514</v>
      </c>
      <c r="AR136" s="47">
        <f>'Transmission Calculations'!L138*'Spectral Functions'!K136*'Spectral Functions'!E136</f>
        <v>8.1928218156000016E-2</v>
      </c>
    </row>
    <row r="137" spans="1:44">
      <c r="A137" s="42">
        <v>648</v>
      </c>
      <c r="B137" s="88">
        <f>'Transmission Calculations'!L139*'Spectral Functions'!H137*'Spectral Functions'!C137</f>
        <v>2393.0946723479469</v>
      </c>
      <c r="C137" s="88">
        <f>'Transmission Calculations'!L139*'Spectral Functions'!H137*'Spectral Functions'!D137</f>
        <v>908.08989897359834</v>
      </c>
      <c r="D137" s="88">
        <f>'Transmission Calculations'!L139*'Spectral Functions'!H137*'Spectral Functions'!E137</f>
        <v>3.8226028968656012E-2</v>
      </c>
      <c r="J137" s="13">
        <v>648</v>
      </c>
      <c r="K137" s="47">
        <f>'Transmission Calculations'!L139*'Spectral Functions'!J137*'Spectral Functions'!N137*'Spectral Functions'!C137</f>
        <v>15.321312658290939</v>
      </c>
      <c r="L137" s="47">
        <f>'Transmission Calculations'!L139*'Spectral Functions'!J137*'Spectral Functions'!N137*'Spectral Functions'!D137</f>
        <v>5.8138649610379547</v>
      </c>
      <c r="M137" s="47">
        <f>'Transmission Calculations'!L139*'Spectral Functions'!J137*'Spectral Functions'!N137*'Spectral Functions'!E137</f>
        <v>2.4473454739633923E-4</v>
      </c>
      <c r="N137" s="47">
        <f>'Spectral Functions'!D137*'Spectral Functions'!J137*'Spectral Functions'!N137</f>
        <v>6.141565118663999E-2</v>
      </c>
      <c r="R137" s="13">
        <v>648</v>
      </c>
      <c r="S137" s="47">
        <f>'Transmission Calculations'!L139*'Spectral Functions'!J137*'Spectral Functions'!M137*'Spectral Functions'!C137</f>
        <v>4296.7554676510863</v>
      </c>
      <c r="T137" s="47">
        <f>'Transmission Calculations'!L139*'Spectral Functions'!J137*'Spectral Functions'!M137*'Spectral Functions'!D137</f>
        <v>1630.4579520480495</v>
      </c>
      <c r="U137" s="47">
        <f>'Transmission Calculations'!L139*'Spectral Functions'!J137*'Spectral Functions'!M137*'Spectral Functions'!E137</f>
        <v>6.8634099969188567E-2</v>
      </c>
      <c r="V137" s="47">
        <f>'Spectral Functions'!D137*'Spectral Functions'!J137*'Spectral Functions'!M137</f>
        <v>17.223591797974802</v>
      </c>
      <c r="Z137" s="13">
        <v>648</v>
      </c>
      <c r="AA137" s="47">
        <f>'Transmission Calculations'!L139*'Spectral Functions'!J137*'Spectral Functions'!L137*'Spectral Functions'!D137</f>
        <v>1499.8299734930829</v>
      </c>
      <c r="AB137" s="47">
        <f>'Spectral Functions'!D137*'Spectral Functions'!J137*'Spectral Functions'!L137</f>
        <v>15.843683179540802</v>
      </c>
      <c r="AD137" s="42">
        <v>648</v>
      </c>
      <c r="AE137" s="152">
        <f>AF137*'Transmission Calculations'!L139</f>
        <v>0</v>
      </c>
      <c r="AF137" s="92"/>
      <c r="AO137" s="42">
        <v>648</v>
      </c>
      <c r="AP137" s="113">
        <f>'Transmission Calculations'!L139*'Spectral Functions'!K137*'Spectral Functions'!C137</f>
        <v>2611.1454685263989</v>
      </c>
      <c r="AQ137" s="113">
        <f>'Transmission Calculations'!L139*'Spectral Functions'!K137*'Spectral Functions'!D137</f>
        <v>990.83201852314755</v>
      </c>
      <c r="AR137" s="47">
        <f>'Transmission Calculations'!L139*'Spectral Functions'!K137*'Spectral Functions'!E137</f>
        <v>4.1709057094400009E-2</v>
      </c>
    </row>
    <row r="138" spans="1:44">
      <c r="A138" s="42">
        <v>650</v>
      </c>
      <c r="B138" s="88">
        <f>'Transmission Calculations'!L140*'Spectral Functions'!H138*'Spectral Functions'!C138</f>
        <v>2129.0242107008571</v>
      </c>
      <c r="C138" s="88">
        <f>'Transmission Calculations'!L140*'Spectral Functions'!H138*'Spectral Functions'!D138</f>
        <v>803.54705659609078</v>
      </c>
      <c r="D138" s="88">
        <f>'Transmission Calculations'!L140*'Spectral Functions'!H138*'Spectral Functions'!E138</f>
        <v>0</v>
      </c>
      <c r="J138" s="13">
        <v>650</v>
      </c>
      <c r="K138" s="47">
        <f>'Transmission Calculations'!L140*'Spectral Functions'!J138*'Spectral Functions'!N138*'Spectral Functions'!C138</f>
        <v>12.293083077692911</v>
      </c>
      <c r="L138" s="47">
        <f>'Transmission Calculations'!L140*'Spectral Functions'!J138*'Spectral Functions'!N138*'Spectral Functions'!D138</f>
        <v>4.6397174226213105</v>
      </c>
      <c r="M138" s="47">
        <f>'Transmission Calculations'!L140*'Spectral Functions'!J138*'Spectral Functions'!N138*'Spectral Functions'!E138</f>
        <v>0</v>
      </c>
      <c r="N138" s="47">
        <f>'Spectral Functions'!D138*'Spectral Functions'!J138*'Spectral Functions'!N138</f>
        <v>4.9442388799999994E-2</v>
      </c>
      <c r="R138" s="13">
        <v>650</v>
      </c>
      <c r="S138" s="47">
        <f>'Transmission Calculations'!L140*'Spectral Functions'!J138*'Spectral Functions'!M138*'Spectral Functions'!C138</f>
        <v>3894.2731035405754</v>
      </c>
      <c r="T138" s="47">
        <f>'Transmission Calculations'!L140*'Spectral Functions'!J138*'Spectral Functions'!M138*'Spectral Functions'!D138</f>
        <v>1469.796197808965</v>
      </c>
      <c r="U138" s="47">
        <f>'Transmission Calculations'!L140*'Spectral Functions'!J138*'Spectral Functions'!M138*'Spectral Functions'!E138</f>
        <v>0</v>
      </c>
      <c r="V138" s="47">
        <f>'Spectral Functions'!D138*'Spectral Functions'!J138*'Spectral Functions'!M138</f>
        <v>15.662642451999998</v>
      </c>
      <c r="Z138" s="13">
        <v>650</v>
      </c>
      <c r="AA138" s="47">
        <f>'Transmission Calculations'!L140*'Spectral Functions'!J138*'Spectral Functions'!L138*'Spectral Functions'!D138</f>
        <v>1358.7743880533837</v>
      </c>
      <c r="AB138" s="47">
        <f>'Spectral Functions'!D138*'Spectral Functions'!J138*'Spectral Functions'!L138</f>
        <v>14.479556719999996</v>
      </c>
      <c r="AD138" s="42">
        <v>650</v>
      </c>
      <c r="AE138" s="152">
        <f>AF138*'Transmission Calculations'!L140</f>
        <v>210.7103186882</v>
      </c>
      <c r="AF138" s="92">
        <v>2.2454000000000001</v>
      </c>
      <c r="AO138" s="42">
        <v>650</v>
      </c>
      <c r="AP138" s="113">
        <f>'Transmission Calculations'!L140*'Spectral Functions'!K138*'Spectral Functions'!C138</f>
        <v>2346.4631271500998</v>
      </c>
      <c r="AQ138" s="113">
        <f>'Transmission Calculations'!L140*'Spectral Functions'!K138*'Spectral Functions'!D138</f>
        <v>885.61394922419993</v>
      </c>
      <c r="AR138" s="47">
        <f>'Transmission Calculations'!L140*'Spectral Functions'!K138*'Spectral Functions'!E138</f>
        <v>0</v>
      </c>
    </row>
    <row r="139" spans="1:44">
      <c r="A139" s="42">
        <v>652</v>
      </c>
      <c r="B139" s="88">
        <f>'Transmission Calculations'!L141*'Spectral Functions'!H139*'Spectral Functions'!C139</f>
        <v>1902.8478583726881</v>
      </c>
      <c r="C139" s="88">
        <f>'Transmission Calculations'!L141*'Spectral Functions'!H139*'Spectral Functions'!D139</f>
        <v>714.643377853218</v>
      </c>
      <c r="D139" s="88">
        <f>'Transmission Calculations'!L141*'Spectral Functions'!H139*'Spectral Functions'!E139</f>
        <v>0</v>
      </c>
      <c r="J139" s="13">
        <v>652</v>
      </c>
      <c r="K139" s="47">
        <f>'Transmission Calculations'!L141*'Spectral Functions'!J139*'Spectral Functions'!N139*'Spectral Functions'!C139</f>
        <v>10.2047007672959</v>
      </c>
      <c r="L139" s="47">
        <f>'Transmission Calculations'!L141*'Spectral Functions'!J139*'Spectral Functions'!N139*'Spectral Functions'!D139</f>
        <v>3.8325301700990373</v>
      </c>
      <c r="M139" s="47">
        <f>'Transmission Calculations'!L141*'Spectral Functions'!J139*'Spectral Functions'!N139*'Spectral Functions'!E139</f>
        <v>0</v>
      </c>
      <c r="N139" s="47">
        <f>'Spectral Functions'!D139*'Spectral Functions'!J139*'Spectral Functions'!N139</f>
        <v>4.1301047990879997E-2</v>
      </c>
      <c r="R139" s="13">
        <v>652</v>
      </c>
      <c r="S139" s="47">
        <f>'Transmission Calculations'!L141*'Spectral Functions'!J139*'Spectral Functions'!M139*'Spectral Functions'!C139</f>
        <v>3509.9424267047993</v>
      </c>
      <c r="T139" s="47">
        <f>'Transmission Calculations'!L141*'Spectral Functions'!J139*'Spectral Functions'!M139*'Spectral Functions'!D139</f>
        <v>1318.212121296855</v>
      </c>
      <c r="U139" s="47">
        <f>'Transmission Calculations'!L141*'Spectral Functions'!J139*'Spectral Functions'!M139*'Spectral Functions'!E139</f>
        <v>0</v>
      </c>
      <c r="V139" s="47">
        <f>'Spectral Functions'!D139*'Spectral Functions'!J139*'Spectral Functions'!M139</f>
        <v>14.205639529886398</v>
      </c>
      <c r="Z139" s="13">
        <v>652</v>
      </c>
      <c r="AA139" s="47">
        <f>'Transmission Calculations'!L141*'Spectral Functions'!J139*'Spectral Functions'!L139*'Spectral Functions'!D139</f>
        <v>1221.9532240013443</v>
      </c>
      <c r="AB139" s="47">
        <f>'Spectral Functions'!D139*'Spectral Functions'!J139*'Spectral Functions'!L139</f>
        <v>13.168310882673598</v>
      </c>
      <c r="AD139" s="42">
        <v>652</v>
      </c>
      <c r="AE139" s="152">
        <f>AF139*'Transmission Calculations'!L141</f>
        <v>0</v>
      </c>
      <c r="AF139" s="92"/>
      <c r="AO139" s="42">
        <v>652</v>
      </c>
      <c r="AP139" s="113">
        <f>'Transmission Calculations'!L141*'Spectral Functions'!K139*'Spectral Functions'!C139</f>
        <v>2096.2023209874937</v>
      </c>
      <c r="AQ139" s="113">
        <f>'Transmission Calculations'!L141*'Spectral Functions'!K139*'Spectral Functions'!D139</f>
        <v>787.26057931682283</v>
      </c>
      <c r="AR139" s="47">
        <f>'Transmission Calculations'!L141*'Spectral Functions'!K139*'Spectral Functions'!E139</f>
        <v>0</v>
      </c>
    </row>
    <row r="140" spans="1:44">
      <c r="A140" s="42">
        <v>654</v>
      </c>
      <c r="B140" s="88">
        <f>'Transmission Calculations'!L142*'Spectral Functions'!H140*'Spectral Functions'!C140</f>
        <v>1718.4116571425679</v>
      </c>
      <c r="C140" s="88">
        <f>'Transmission Calculations'!L142*'Spectral Functions'!H140*'Spectral Functions'!D140</f>
        <v>642.48562848476172</v>
      </c>
      <c r="D140" s="88">
        <f>'Transmission Calculations'!L142*'Spectral Functions'!H140*'Spectral Functions'!E140</f>
        <v>0</v>
      </c>
      <c r="J140" s="13">
        <v>654</v>
      </c>
      <c r="K140" s="47">
        <f>'Transmission Calculations'!L142*'Spectral Functions'!J140*'Spectral Functions'!N140*'Spectral Functions'!C140</f>
        <v>8.4962984741421561</v>
      </c>
      <c r="L140" s="47">
        <f>'Transmission Calculations'!L142*'Spectral Functions'!J140*'Spectral Functions'!N140*'Spectral Functions'!D140</f>
        <v>3.176625136511432</v>
      </c>
      <c r="M140" s="47">
        <f>'Transmission Calculations'!L142*'Spectral Functions'!J140*'Spectral Functions'!N140*'Spectral Functions'!E140</f>
        <v>0</v>
      </c>
      <c r="N140" s="47">
        <f>'Spectral Functions'!D140*'Spectral Functions'!J140*'Spectral Functions'!N140</f>
        <v>3.4164887486399995E-2</v>
      </c>
      <c r="R140" s="13">
        <v>654</v>
      </c>
      <c r="S140" s="47">
        <f>'Transmission Calculations'!L142*'Spectral Functions'!J140*'Spectral Functions'!M140*'Spectral Functions'!C140</f>
        <v>3196.1922819251722</v>
      </c>
      <c r="T140" s="47">
        <f>'Transmission Calculations'!L142*'Spectral Functions'!J140*'Spectral Functions'!M140*'Spectral Functions'!D140</f>
        <v>1195.0033034723938</v>
      </c>
      <c r="U140" s="47">
        <f>'Transmission Calculations'!L142*'Spectral Functions'!J140*'Spectral Functions'!M140*'Spectral Functions'!E140</f>
        <v>0</v>
      </c>
      <c r="V140" s="47">
        <f>'Spectral Functions'!D140*'Spectral Functions'!J140*'Spectral Functions'!M140</f>
        <v>12.852367419671999</v>
      </c>
      <c r="Z140" s="13">
        <v>654</v>
      </c>
      <c r="AA140" s="47">
        <f>'Transmission Calculations'!L142*'Spectral Functions'!J140*'Spectral Functions'!L140*'Spectral Functions'!D140</f>
        <v>1110.7419756988279</v>
      </c>
      <c r="AB140" s="47">
        <f>'Spectral Functions'!D140*'Spectral Functions'!J140*'Spectral Functions'!L140</f>
        <v>11.946129302448</v>
      </c>
      <c r="AD140" s="42">
        <v>654</v>
      </c>
      <c r="AE140" s="152">
        <f>AF140*'Transmission Calculations'!L142</f>
        <v>0</v>
      </c>
      <c r="AF140" s="92"/>
      <c r="AO140" s="42">
        <v>654</v>
      </c>
      <c r="AP140" s="113">
        <f>'Transmission Calculations'!L142*'Spectral Functions'!K140*'Spectral Functions'!C140</f>
        <v>1892.1387402792504</v>
      </c>
      <c r="AQ140" s="113">
        <f>'Transmission Calculations'!L142*'Spectral Functions'!K140*'Spectral Functions'!D140</f>
        <v>707.43930459022795</v>
      </c>
      <c r="AR140" s="47">
        <f>'Transmission Calculations'!L142*'Spectral Functions'!K140*'Spectral Functions'!E140</f>
        <v>0</v>
      </c>
    </row>
    <row r="141" spans="1:44">
      <c r="A141" s="42">
        <v>656</v>
      </c>
      <c r="B141" s="88">
        <f>'Transmission Calculations'!L143*'Spectral Functions'!H141*'Spectral Functions'!C141</f>
        <v>1544.9071511708426</v>
      </c>
      <c r="C141" s="88">
        <f>'Transmission Calculations'!L143*'Spectral Functions'!H141*'Spectral Functions'!D141</f>
        <v>575.30907934661798</v>
      </c>
      <c r="D141" s="88">
        <f>'Transmission Calculations'!L143*'Spectral Functions'!H141*'Spectral Functions'!E141</f>
        <v>0</v>
      </c>
      <c r="J141" s="13">
        <v>656</v>
      </c>
      <c r="K141" s="47">
        <f>'Transmission Calculations'!L143*'Spectral Functions'!J141*'Spectral Functions'!N141*'Spectral Functions'!C141</f>
        <v>6.9803562395205674</v>
      </c>
      <c r="L141" s="47">
        <f>'Transmission Calculations'!L143*'Spectral Functions'!J141*'Spectral Functions'!N141*'Spectral Functions'!D141</f>
        <v>2.59941985421356</v>
      </c>
      <c r="M141" s="47">
        <f>'Transmission Calculations'!L143*'Spectral Functions'!J141*'Spectral Functions'!N141*'Spectral Functions'!E141</f>
        <v>0</v>
      </c>
      <c r="N141" s="47">
        <f>'Spectral Functions'!D141*'Spectral Functions'!J141*'Spectral Functions'!N141</f>
        <v>2.7925083764819995E-2</v>
      </c>
      <c r="R141" s="13">
        <v>656</v>
      </c>
      <c r="S141" s="47">
        <f>'Transmission Calculations'!L143*'Spectral Functions'!J141*'Spectral Functions'!M141*'Spectral Functions'!C141</f>
        <v>2897.1740242720412</v>
      </c>
      <c r="T141" s="47">
        <f>'Transmission Calculations'!L143*'Spectral Functions'!J141*'Spectral Functions'!M141*'Spectral Functions'!D141</f>
        <v>1078.8807077161141</v>
      </c>
      <c r="U141" s="47">
        <f>'Transmission Calculations'!L143*'Spectral Functions'!J141*'Spectral Functions'!M141*'Spectral Functions'!E141</f>
        <v>0</v>
      </c>
      <c r="V141" s="47">
        <f>'Spectral Functions'!D141*'Spectral Functions'!J141*'Spectral Functions'!M141</f>
        <v>11.590214672856598</v>
      </c>
      <c r="Z141" s="13">
        <v>656</v>
      </c>
      <c r="AA141" s="47">
        <f>'Transmission Calculations'!L143*'Spectral Functions'!J141*'Spectral Functions'!L141*'Spectral Functions'!D141</f>
        <v>1005.5139043541989</v>
      </c>
      <c r="AB141" s="47">
        <f>'Spectral Functions'!D141*'Spectral Functions'!J141*'Spectral Functions'!L141</f>
        <v>10.802048757251402</v>
      </c>
      <c r="AD141" s="42">
        <v>656</v>
      </c>
      <c r="AE141" s="152">
        <f>AF141*'Transmission Calculations'!L143</f>
        <v>0</v>
      </c>
      <c r="AF141" s="92"/>
      <c r="AO141" s="42">
        <v>656</v>
      </c>
      <c r="AP141" s="113">
        <f>'Transmission Calculations'!L143*'Spectral Functions'!K141*'Spectral Functions'!C141</f>
        <v>1699.138580902028</v>
      </c>
      <c r="AQ141" s="113">
        <f>'Transmission Calculations'!L143*'Spectral Functions'!K141*'Spectral Functions'!D141</f>
        <v>632.74343181091615</v>
      </c>
      <c r="AR141" s="47">
        <f>'Transmission Calculations'!L143*'Spectral Functions'!K141*'Spectral Functions'!E141</f>
        <v>0</v>
      </c>
    </row>
    <row r="142" spans="1:44">
      <c r="A142" s="42">
        <v>658</v>
      </c>
      <c r="B142" s="88">
        <f>'Transmission Calculations'!L144*'Spectral Functions'!H142*'Spectral Functions'!C142</f>
        <v>1389.5890331957507</v>
      </c>
      <c r="C142" s="88">
        <f>'Transmission Calculations'!L144*'Spectral Functions'!H142*'Spectral Functions'!D142</f>
        <v>515.62427416215291</v>
      </c>
      <c r="D142" s="88">
        <f>'Transmission Calculations'!L144*'Spectral Functions'!H142*'Spectral Functions'!E142</f>
        <v>0</v>
      </c>
      <c r="J142" s="13">
        <v>658</v>
      </c>
      <c r="K142" s="47">
        <f>'Transmission Calculations'!L144*'Spectral Functions'!J142*'Spectral Functions'!N142*'Spectral Functions'!C142</f>
        <v>5.6765071635022784</v>
      </c>
      <c r="L142" s="47">
        <f>'Transmission Calculations'!L144*'Spectral Functions'!J142*'Spectral Functions'!N142*'Spectral Functions'!D142</f>
        <v>2.1063385044323435</v>
      </c>
      <c r="M142" s="47">
        <f>'Transmission Calculations'!L144*'Spectral Functions'!J142*'Spectral Functions'!N142*'Spectral Functions'!E142</f>
        <v>0</v>
      </c>
      <c r="N142" s="47">
        <f>'Spectral Functions'!D142*'Spectral Functions'!J142*'Spectral Functions'!N142</f>
        <v>2.2504250995199995E-2</v>
      </c>
      <c r="R142" s="13">
        <v>658</v>
      </c>
      <c r="S142" s="47">
        <f>'Transmission Calculations'!L144*'Spectral Functions'!J142*'Spectral Functions'!M142*'Spectral Functions'!C142</f>
        <v>2627.1584716083985</v>
      </c>
      <c r="T142" s="47">
        <f>'Transmission Calculations'!L144*'Spectral Functions'!J142*'Spectral Functions'!M142*'Spectral Functions'!D142</f>
        <v>974.83978908259405</v>
      </c>
      <c r="U142" s="47">
        <f>'Transmission Calculations'!L144*'Spectral Functions'!J142*'Spectral Functions'!M142*'Spectral Functions'!E142</f>
        <v>0</v>
      </c>
      <c r="V142" s="47">
        <f>'Spectral Functions'!D142*'Spectral Functions'!J142*'Spectral Functions'!M142</f>
        <v>10.415248663715998</v>
      </c>
      <c r="Z142" s="13">
        <v>658</v>
      </c>
      <c r="AA142" s="47">
        <f>'Transmission Calculations'!L144*'Spectral Functions'!J142*'Spectral Functions'!L142*'Spectral Functions'!D142</f>
        <v>910.9914031669889</v>
      </c>
      <c r="AB142" s="47">
        <f>'Spectral Functions'!D142*'Spectral Functions'!J142*'Spectral Functions'!L142</f>
        <v>9.7330885554240023</v>
      </c>
      <c r="AD142" s="42">
        <v>658</v>
      </c>
      <c r="AE142" s="152">
        <f>AF142*'Transmission Calculations'!L144</f>
        <v>0</v>
      </c>
      <c r="AF142" s="92"/>
      <c r="AO142" s="42">
        <v>658</v>
      </c>
      <c r="AP142" s="113">
        <f>'Transmission Calculations'!L144*'Spectral Functions'!K142*'Spectral Functions'!C142</f>
        <v>1525.520120507003</v>
      </c>
      <c r="AQ142" s="113">
        <f>'Transmission Calculations'!L144*'Spectral Functions'!K142*'Spectral Functions'!D142</f>
        <v>566.06319283276628</v>
      </c>
      <c r="AR142" s="47">
        <f>'Transmission Calculations'!L144*'Spectral Functions'!K142*'Spectral Functions'!E142</f>
        <v>0</v>
      </c>
    </row>
    <row r="143" spans="1:44">
      <c r="A143" s="42">
        <v>660</v>
      </c>
      <c r="B143" s="88">
        <f>'Transmission Calculations'!L145*'Spectral Functions'!H143*'Spectral Functions'!C143</f>
        <v>1245.1107350128254</v>
      </c>
      <c r="C143" s="88">
        <f>'Transmission Calculations'!L145*'Spectral Functions'!H143*'Spectral Functions'!D143</f>
        <v>460.59281283069959</v>
      </c>
      <c r="D143" s="88">
        <f>'Transmission Calculations'!L145*'Spectral Functions'!H143*'Spectral Functions'!E143</f>
        <v>0</v>
      </c>
      <c r="J143" s="13">
        <v>660</v>
      </c>
      <c r="K143" s="47">
        <f>'Transmission Calculations'!L145*'Spectral Functions'!J143*'Spectral Functions'!N143*'Spectral Functions'!C143</f>
        <v>4.5377283119596417</v>
      </c>
      <c r="L143" s="47">
        <f>'Transmission Calculations'!L145*'Spectral Functions'!J143*'Spectral Functions'!N143*'Spectral Functions'!D143</f>
        <v>1.6786017406278846</v>
      </c>
      <c r="M143" s="47">
        <f>'Transmission Calculations'!L145*'Spectral Functions'!J143*'Spectral Functions'!N143*'Spectral Functions'!E143</f>
        <v>0</v>
      </c>
      <c r="N143" s="47">
        <f>'Spectral Functions'!D143*'Spectral Functions'!J143*'Spectral Functions'!N143</f>
        <v>1.7832563099999997E-2</v>
      </c>
      <c r="R143" s="13">
        <v>660</v>
      </c>
      <c r="S143" s="47">
        <f>'Transmission Calculations'!L145*'Spectral Functions'!J143*'Spectral Functions'!M143*'Spectral Functions'!C143</f>
        <v>2372.9649819600713</v>
      </c>
      <c r="T143" s="47">
        <f>'Transmission Calculations'!L145*'Spectral Functions'!J143*'Spectral Functions'!M143*'Spectral Functions'!D143</f>
        <v>877.80996906952316</v>
      </c>
      <c r="U143" s="47">
        <f>'Transmission Calculations'!L145*'Spectral Functions'!J143*'Spectral Functions'!M143*'Spectral Functions'!E143</f>
        <v>0</v>
      </c>
      <c r="V143" s="47">
        <f>'Spectral Functions'!D143*'Spectral Functions'!J143*'Spectral Functions'!M143</f>
        <v>9.3253815269999993</v>
      </c>
      <c r="Z143" s="13">
        <v>660</v>
      </c>
      <c r="AA143" s="47">
        <f>'Transmission Calculations'!L145*'Spectral Functions'!J143*'Spectral Functions'!L143*'Spectral Functions'!D143</f>
        <v>822.51485290766334</v>
      </c>
      <c r="AB143" s="47">
        <f>'Spectral Functions'!D143*'Spectral Functions'!J143*'Spectral Functions'!L143</f>
        <v>8.7379559189999991</v>
      </c>
      <c r="AD143" s="42">
        <v>660</v>
      </c>
      <c r="AE143" s="152">
        <f>AF143*'Transmission Calculations'!L145</f>
        <v>128.00910863340002</v>
      </c>
      <c r="AF143" s="92">
        <v>1.3599000000000001</v>
      </c>
      <c r="AO143" s="42">
        <v>660</v>
      </c>
      <c r="AP143" s="113">
        <f>'Transmission Calculations'!L145*'Spectral Functions'!K143*'Spectral Functions'!C143</f>
        <v>1364.40540260286</v>
      </c>
      <c r="AQ143" s="113">
        <f>'Transmission Calculations'!L145*'Spectral Functions'!K143*'Spectral Functions'!D143</f>
        <v>504.72243516540004</v>
      </c>
      <c r="AR143" s="47">
        <f>'Transmission Calculations'!L145*'Spectral Functions'!K143*'Spectral Functions'!E143</f>
        <v>0</v>
      </c>
    </row>
    <row r="144" spans="1:44">
      <c r="A144" s="42">
        <v>662</v>
      </c>
      <c r="B144" s="88">
        <f>'Transmission Calculations'!L146*'Spectral Functions'!H144*'Spectral Functions'!C144</f>
        <v>1115.2092650691634</v>
      </c>
      <c r="C144" s="88">
        <f>'Transmission Calculations'!L146*'Spectral Functions'!H144*'Spectral Functions'!D144</f>
        <v>411.48270462153266</v>
      </c>
      <c r="D144" s="88">
        <f>'Transmission Calculations'!L146*'Spectral Functions'!H144*'Spectral Functions'!E144</f>
        <v>0</v>
      </c>
      <c r="J144" s="13">
        <v>662</v>
      </c>
      <c r="K144" s="47">
        <f>'Transmission Calculations'!L146*'Spectral Functions'!J144*'Spectral Functions'!N144*'Spectral Functions'!C144</f>
        <v>3.7401210115046908</v>
      </c>
      <c r="L144" s="47">
        <f>'Transmission Calculations'!L146*'Spectral Functions'!J144*'Spectral Functions'!N144*'Spectral Functions'!D144</f>
        <v>1.3800056703531123</v>
      </c>
      <c r="M144" s="47">
        <f>'Transmission Calculations'!L146*'Spectral Functions'!J144*'Spectral Functions'!N144*'Spectral Functions'!E144</f>
        <v>0</v>
      </c>
      <c r="N144" s="47">
        <f>'Spectral Functions'!D144*'Spectral Functions'!J144*'Spectral Functions'!N144</f>
        <v>1.4589572283E-2</v>
      </c>
      <c r="R144" s="13">
        <v>662</v>
      </c>
      <c r="S144" s="47">
        <f>'Transmission Calculations'!L146*'Spectral Functions'!J144*'Spectral Functions'!M144*'Spectral Functions'!C144</f>
        <v>2131.8689765576737</v>
      </c>
      <c r="T144" s="47">
        <f>'Transmission Calculations'!L146*'Spectral Functions'!J144*'Spectral Functions'!M144*'Spectral Functions'!D144</f>
        <v>786.60323210127399</v>
      </c>
      <c r="U144" s="47">
        <f>'Transmission Calculations'!L146*'Spectral Functions'!J144*'Spectral Functions'!M144*'Spectral Functions'!E144</f>
        <v>0</v>
      </c>
      <c r="V144" s="47">
        <f>'Spectral Functions'!D144*'Spectral Functions'!J144*'Spectral Functions'!M144</f>
        <v>8.3160562013100012</v>
      </c>
      <c r="Z144" s="13">
        <v>662</v>
      </c>
      <c r="AA144" s="47">
        <f>'Transmission Calculations'!L146*'Spectral Functions'!J144*'Spectral Functions'!L144*'Spectral Functions'!D144</f>
        <v>738.47995744280649</v>
      </c>
      <c r="AB144" s="47">
        <f>'Spectral Functions'!D144*'Spectral Functions'!J144*'Spectral Functions'!L144</f>
        <v>7.8072916293900008</v>
      </c>
      <c r="AD144" s="42">
        <v>662</v>
      </c>
      <c r="AE144" s="152">
        <f>AF144*'Transmission Calculations'!L146</f>
        <v>0</v>
      </c>
      <c r="AF144" s="92"/>
      <c r="AO144" s="42">
        <v>662</v>
      </c>
      <c r="AP144" s="113">
        <f>'Transmission Calculations'!L146*'Spectral Functions'!K144*'Spectral Functions'!C144</f>
        <v>1212.0697221038408</v>
      </c>
      <c r="AQ144" s="113">
        <f>'Transmission Calculations'!L146*'Spectral Functions'!K144*'Spectral Functions'!D144</f>
        <v>447.2216498400652</v>
      </c>
      <c r="AR144" s="47">
        <f>'Transmission Calculations'!L146*'Spectral Functions'!K144*'Spectral Functions'!E144</f>
        <v>0</v>
      </c>
    </row>
    <row r="145" spans="1:44">
      <c r="A145" s="42">
        <v>664</v>
      </c>
      <c r="B145" s="88">
        <f>'Transmission Calculations'!L147*'Spectral Functions'!H145*'Spectral Functions'!C145</f>
        <v>990.11798111986491</v>
      </c>
      <c r="C145" s="88">
        <f>'Transmission Calculations'!L147*'Spectral Functions'!H145*'Spectral Functions'!D145</f>
        <v>364.54667938279306</v>
      </c>
      <c r="D145" s="88">
        <f>'Transmission Calculations'!L147*'Spectral Functions'!H145*'Spectral Functions'!E145</f>
        <v>0</v>
      </c>
      <c r="J145" s="13">
        <v>664</v>
      </c>
      <c r="K145" s="47">
        <f>'Transmission Calculations'!L147*'Spectral Functions'!J145*'Spectral Functions'!N145*'Spectral Functions'!C145</f>
        <v>3.030918596683803</v>
      </c>
      <c r="L145" s="47">
        <f>'Transmission Calculations'!L147*'Spectral Functions'!J145*'Spectral Functions'!N145*'Spectral Functions'!D145</f>
        <v>1.1159390405686143</v>
      </c>
      <c r="M145" s="47">
        <f>'Transmission Calculations'!L147*'Spectral Functions'!J145*'Spectral Functions'!N145*'Spectral Functions'!E145</f>
        <v>0</v>
      </c>
      <c r="N145" s="47">
        <f>'Spectral Functions'!D145*'Spectral Functions'!J145*'Spectral Functions'!N145</f>
        <v>1.1796053742E-2</v>
      </c>
      <c r="R145" s="13">
        <v>664</v>
      </c>
      <c r="S145" s="47">
        <f>'Transmission Calculations'!L147*'Spectral Functions'!J145*'Spectral Functions'!M145*'Spectral Functions'!C145</f>
        <v>1898.3795773877284</v>
      </c>
      <c r="T145" s="47">
        <f>'Transmission Calculations'!L147*'Spectral Functions'!J145*'Spectral Functions'!M145*'Spectral Functions'!D145</f>
        <v>698.95505822656719</v>
      </c>
      <c r="U145" s="47">
        <f>'Transmission Calculations'!L147*'Spectral Functions'!J145*'Spectral Functions'!M145*'Spectral Functions'!E145</f>
        <v>0</v>
      </c>
      <c r="V145" s="47">
        <f>'Spectral Functions'!D145*'Spectral Functions'!J145*'Spectral Functions'!M145</f>
        <v>7.3883170409399996</v>
      </c>
      <c r="Z145" s="13">
        <v>664</v>
      </c>
      <c r="AA145" s="47">
        <f>'Transmission Calculations'!L147*'Spectral Functions'!J145*'Spectral Functions'!L145*'Spectral Functions'!D145</f>
        <v>657.46098685894549</v>
      </c>
      <c r="AB145" s="47">
        <f>'Spectral Functions'!D145*'Spectral Functions'!J145*'Spectral Functions'!L145</f>
        <v>6.9497032116600002</v>
      </c>
      <c r="AD145" s="42">
        <v>664</v>
      </c>
      <c r="AE145" s="152">
        <f>AF145*'Transmission Calculations'!L147</f>
        <v>0</v>
      </c>
      <c r="AF145" s="92"/>
      <c r="AO145" s="42">
        <v>664</v>
      </c>
      <c r="AP145" s="113">
        <f>'Transmission Calculations'!L147*'Spectral Functions'!K145*'Spectral Functions'!C145</f>
        <v>1067.3348169313065</v>
      </c>
      <c r="AQ145" s="113">
        <f>'Transmission Calculations'!L147*'Spectral Functions'!K145*'Spectral Functions'!D145</f>
        <v>392.97676713422396</v>
      </c>
      <c r="AR145" s="47">
        <f>'Transmission Calculations'!L147*'Spectral Functions'!K145*'Spectral Functions'!E145</f>
        <v>0</v>
      </c>
    </row>
    <row r="146" spans="1:44">
      <c r="A146" s="42">
        <v>666</v>
      </c>
      <c r="B146" s="88">
        <f>'Transmission Calculations'!L148*'Spectral Functions'!H146*'Spectral Functions'!C146</f>
        <v>879.92306414329028</v>
      </c>
      <c r="C146" s="88">
        <f>'Transmission Calculations'!L148*'Spectral Functions'!H146*'Spectral Functions'!D146</f>
        <v>323.34307669447071</v>
      </c>
      <c r="D146" s="88">
        <f>'Transmission Calculations'!L148*'Spectral Functions'!H146*'Spectral Functions'!E146</f>
        <v>0</v>
      </c>
      <c r="J146" s="13">
        <v>666</v>
      </c>
      <c r="K146" s="47">
        <f>'Transmission Calculations'!L148*'Spectral Functions'!J146*'Spectral Functions'!N146*'Spectral Functions'!C146</f>
        <v>2.4345480480782413</v>
      </c>
      <c r="L146" s="47">
        <f>'Transmission Calculations'!L148*'Spectral Functions'!J146*'Spectral Functions'!N146*'Spectral Functions'!D146</f>
        <v>0.89461714132083126</v>
      </c>
      <c r="M146" s="47">
        <f>'Transmission Calculations'!L148*'Spectral Functions'!J146*'Spectral Functions'!N146*'Spectral Functions'!E146</f>
        <v>0</v>
      </c>
      <c r="N146" s="47">
        <f>'Spectral Functions'!D146*'Spectral Functions'!J146*'Spectral Functions'!N146</f>
        <v>9.4108349657599996E-3</v>
      </c>
      <c r="R146" s="13">
        <v>666</v>
      </c>
      <c r="S146" s="47">
        <f>'Transmission Calculations'!L148*'Spectral Functions'!J146*'Spectral Functions'!M146*'Spectral Functions'!C146</f>
        <v>1692.0108934143775</v>
      </c>
      <c r="T146" s="47">
        <f>'Transmission Calculations'!L148*'Spectral Functions'!J146*'Spectral Functions'!M146*'Spectral Functions'!D146</f>
        <v>621.75891321797769</v>
      </c>
      <c r="U146" s="47">
        <f>'Transmission Calculations'!L148*'Spectral Functions'!J146*'Spectral Functions'!M146*'Spectral Functions'!E146</f>
        <v>0</v>
      </c>
      <c r="V146" s="47">
        <f>'Spectral Functions'!D146*'Spectral Functions'!J146*'Spectral Functions'!M146</f>
        <v>6.5405303012031988</v>
      </c>
      <c r="Z146" s="13">
        <v>666</v>
      </c>
      <c r="AA146" s="47">
        <f>'Transmission Calculations'!L148*'Spectral Functions'!J146*'Spectral Functions'!L146*'Spectral Functions'!D146</f>
        <v>585.97422756514447</v>
      </c>
      <c r="AB146" s="47">
        <f>'Spectral Functions'!D146*'Spectral Functions'!J146*'Spectral Functions'!L146</f>
        <v>6.1640969025727994</v>
      </c>
      <c r="AD146" s="42">
        <v>666</v>
      </c>
      <c r="AE146" s="152">
        <f>AF146*'Transmission Calculations'!L148</f>
        <v>0</v>
      </c>
      <c r="AF146" s="92"/>
      <c r="AO146" s="42">
        <v>666</v>
      </c>
      <c r="AP146" s="113">
        <f>'Transmission Calculations'!L148*'Spectral Functions'!K146*'Spectral Functions'!C146</f>
        <v>940.28425773342735</v>
      </c>
      <c r="AQ146" s="113">
        <f>'Transmission Calculations'!L148*'Spectral Functions'!K146*'Spectral Functions'!D146</f>
        <v>345.52385004127234</v>
      </c>
      <c r="AR146" s="47">
        <f>'Transmission Calculations'!L148*'Spectral Functions'!K146*'Spectral Functions'!E146</f>
        <v>0</v>
      </c>
    </row>
    <row r="147" spans="1:44">
      <c r="A147" s="42">
        <v>668</v>
      </c>
      <c r="B147" s="88">
        <f>'Transmission Calculations'!L149*'Spectral Functions'!H147*'Spectral Functions'!C147</f>
        <v>770.67613233085513</v>
      </c>
      <c r="C147" s="88">
        <f>'Transmission Calculations'!L149*'Spectral Functions'!H147*'Spectral Functions'!D147</f>
        <v>282.66628651364618</v>
      </c>
      <c r="D147" s="88">
        <f>'Transmission Calculations'!L149*'Spectral Functions'!H147*'Spectral Functions'!E147</f>
        <v>0</v>
      </c>
      <c r="J147" s="13">
        <v>668</v>
      </c>
      <c r="K147" s="47">
        <f>'Transmission Calculations'!L149*'Spectral Functions'!J147*'Spectral Functions'!N147*'Spectral Functions'!C147</f>
        <v>1.904046544112628</v>
      </c>
      <c r="L147" s="47">
        <f>'Transmission Calculations'!L149*'Spectral Functions'!J147*'Spectral Functions'!N147*'Spectral Functions'!D147</f>
        <v>0.69836049592671412</v>
      </c>
      <c r="M147" s="47">
        <f>'Transmission Calculations'!L149*'Spectral Functions'!J147*'Spectral Functions'!N147*'Spectral Functions'!E147</f>
        <v>0</v>
      </c>
      <c r="N147" s="47">
        <f>'Spectral Functions'!D147*'Spectral Functions'!J147*'Spectral Functions'!N147</f>
        <v>7.3953490802400011E-3</v>
      </c>
      <c r="R147" s="13">
        <v>668</v>
      </c>
      <c r="S147" s="47">
        <f>'Transmission Calculations'!L149*'Spectral Functions'!J147*'Spectral Functions'!M147*'Spectral Functions'!C147</f>
        <v>1486.1584341679088</v>
      </c>
      <c r="T147" s="47">
        <f>'Transmission Calculations'!L149*'Spectral Functions'!J147*'Spectral Functions'!M147*'Spectral Functions'!D147</f>
        <v>545.08874497858778</v>
      </c>
      <c r="U147" s="47">
        <f>'Transmission Calculations'!L149*'Spectral Functions'!J147*'Spectral Functions'!M147*'Spectral Functions'!E147</f>
        <v>0</v>
      </c>
      <c r="V147" s="47">
        <f>'Spectral Functions'!D147*'Spectral Functions'!J147*'Spectral Functions'!M147</f>
        <v>5.7722645715767991</v>
      </c>
      <c r="Z147" s="13">
        <v>668</v>
      </c>
      <c r="AA147" s="47">
        <f>'Transmission Calculations'!L149*'Spectral Functions'!J147*'Spectral Functions'!L147*'Spectral Functions'!D147</f>
        <v>514.70393743651334</v>
      </c>
      <c r="AB147" s="47">
        <f>'Spectral Functions'!D147*'Spectral Functions'!J147*'Spectral Functions'!L147</f>
        <v>5.4505020151032006</v>
      </c>
      <c r="AD147" s="42">
        <v>668</v>
      </c>
      <c r="AE147" s="152">
        <f>AF147*'Transmission Calculations'!L149</f>
        <v>0</v>
      </c>
      <c r="AF147" s="92"/>
      <c r="AO147" s="42">
        <v>668</v>
      </c>
      <c r="AP147" s="113">
        <f>'Transmission Calculations'!L149*'Spectral Functions'!K147*'Spectral Functions'!C147</f>
        <v>815.90835164532928</v>
      </c>
      <c r="AQ147" s="113">
        <f>'Transmission Calculations'!L149*'Spectral Functions'!K147*'Spectral Functions'!D147</f>
        <v>299.25642461189506</v>
      </c>
      <c r="AR147" s="47">
        <f>'Transmission Calculations'!L149*'Spectral Functions'!K147*'Spectral Functions'!E147</f>
        <v>0</v>
      </c>
    </row>
    <row r="148" spans="1:44">
      <c r="A148" s="42">
        <v>670</v>
      </c>
      <c r="B148" s="88">
        <f>'Transmission Calculations'!L150*'Spectral Functions'!H148*'Spectral Functions'!C148</f>
        <v>679.42990244163013</v>
      </c>
      <c r="C148" s="88">
        <f>'Transmission Calculations'!L150*'Spectral Functions'!H148*'Spectral Functions'!D148</f>
        <v>248.76152034476161</v>
      </c>
      <c r="D148" s="88">
        <f>'Transmission Calculations'!L150*'Spectral Functions'!H148*'Spectral Functions'!E148</f>
        <v>0</v>
      </c>
      <c r="J148" s="13">
        <v>670</v>
      </c>
      <c r="K148" s="47">
        <f>'Transmission Calculations'!L150*'Spectral Functions'!J148*'Spectral Functions'!N148*'Spectral Functions'!C148</f>
        <v>1.4762305777450029</v>
      </c>
      <c r="L148" s="47">
        <f>'Transmission Calculations'!L150*'Spectral Functions'!J148*'Spectral Functions'!N148*'Spectral Functions'!D148</f>
        <v>0.5404963213711681</v>
      </c>
      <c r="M148" s="47">
        <f>'Transmission Calculations'!L150*'Spectral Functions'!J148*'Spectral Functions'!N148*'Spectral Functions'!E148</f>
        <v>0</v>
      </c>
      <c r="N148" s="47">
        <f>'Spectral Functions'!D148*'Spectral Functions'!J148*'Spectral Functions'!N148</f>
        <v>5.7206080000000003E-3</v>
      </c>
      <c r="R148" s="13">
        <v>670</v>
      </c>
      <c r="S148" s="47">
        <f>'Transmission Calculations'!L150*'Spectral Functions'!J148*'Spectral Functions'!M148*'Spectral Functions'!C148</f>
        <v>1313.8452141930525</v>
      </c>
      <c r="T148" s="47">
        <f>'Transmission Calculations'!L150*'Spectral Functions'!J148*'Spectral Functions'!M148*'Spectral Functions'!D148</f>
        <v>481.04172602033952</v>
      </c>
      <c r="U148" s="47">
        <f>'Transmission Calculations'!L150*'Spectral Functions'!J148*'Spectral Functions'!M148*'Spectral Functions'!E148</f>
        <v>0</v>
      </c>
      <c r="V148" s="47">
        <f>'Spectral Functions'!D148*'Spectral Functions'!J148*'Spectral Functions'!M148</f>
        <v>5.0913411200000001</v>
      </c>
      <c r="Z148" s="13">
        <v>670</v>
      </c>
      <c r="AA148" s="47">
        <f>'Transmission Calculations'!L150*'Spectral Functions'!J148*'Spectral Functions'!L148*'Spectral Functions'!D148</f>
        <v>455.09790259452348</v>
      </c>
      <c r="AB148" s="47">
        <f>'Spectral Functions'!D148*'Spectral Functions'!J148*'Spectral Functions'!L148</f>
        <v>4.8167519360000002</v>
      </c>
      <c r="AD148" s="42">
        <v>670</v>
      </c>
      <c r="AE148" s="152">
        <f>AF148*'Transmission Calculations'!L150</f>
        <v>59.599448086800002</v>
      </c>
      <c r="AF148" s="92">
        <v>0.63080000000000003</v>
      </c>
      <c r="AO148" s="42">
        <v>670</v>
      </c>
      <c r="AP148" s="113">
        <f>'Transmission Calculations'!L150*'Spectral Functions'!K148*'Spectral Functions'!C148</f>
        <v>712.64424402101997</v>
      </c>
      <c r="AQ148" s="113">
        <f>'Transmission Calculations'!L150*'Spectral Functions'!K148*'Spectral Functions'!D148</f>
        <v>260.92237767360001</v>
      </c>
      <c r="AR148" s="47">
        <f>'Transmission Calculations'!L150*'Spectral Functions'!K148*'Spectral Functions'!E148</f>
        <v>0</v>
      </c>
    </row>
    <row r="149" spans="1:44">
      <c r="A149" s="42">
        <v>672</v>
      </c>
      <c r="B149" s="88">
        <f>'Transmission Calculations'!L151*'Spectral Functions'!H149*'Spectral Functions'!C149</f>
        <v>591.64099131047976</v>
      </c>
      <c r="C149" s="88">
        <f>'Transmission Calculations'!L151*'Spectral Functions'!H149*'Spectral Functions'!D149</f>
        <v>216.28436166116794</v>
      </c>
      <c r="D149" s="88">
        <f>'Transmission Calculations'!L151*'Spectral Functions'!H149*'Spectral Functions'!E149</f>
        <v>0</v>
      </c>
      <c r="J149" s="13">
        <v>672</v>
      </c>
      <c r="K149" s="47">
        <f>'Transmission Calculations'!L151*'Spectral Functions'!J149*'Spectral Functions'!N149*'Spectral Functions'!C149</f>
        <v>1.2293766111288684</v>
      </c>
      <c r="L149" s="47">
        <f>'Transmission Calculations'!L151*'Spectral Functions'!J149*'Spectral Functions'!N149*'Spectral Functions'!D149</f>
        <v>0.44941939366003386</v>
      </c>
      <c r="M149" s="47">
        <f>'Transmission Calculations'!L151*'Spectral Functions'!J149*'Spectral Functions'!N149*'Spectral Functions'!E149</f>
        <v>0</v>
      </c>
      <c r="N149" s="47">
        <f>'Spectral Functions'!D149*'Spectral Functions'!J149*'Spectral Functions'!N149</f>
        <v>4.7536107389399996E-3</v>
      </c>
      <c r="R149" s="13">
        <v>672</v>
      </c>
      <c r="S149" s="47">
        <f>'Transmission Calculations'!L151*'Spectral Functions'!J149*'Spectral Functions'!M149*'Spectral Functions'!C149</f>
        <v>1164.2458076882115</v>
      </c>
      <c r="T149" s="47">
        <f>'Transmission Calculations'!L151*'Spectral Functions'!J149*'Spectral Functions'!M149*'Spectral Functions'!D149</f>
        <v>425.60972791081082</v>
      </c>
      <c r="U149" s="47">
        <f>'Transmission Calculations'!L151*'Spectral Functions'!J149*'Spectral Functions'!M149*'Spectral Functions'!E149</f>
        <v>0</v>
      </c>
      <c r="V149" s="47">
        <f>'Spectral Functions'!D149*'Spectral Functions'!J149*'Spectral Functions'!M149</f>
        <v>4.5017705104301999</v>
      </c>
      <c r="Z149" s="13">
        <v>672</v>
      </c>
      <c r="AA149" s="47">
        <f>'Transmission Calculations'!L151*'Spectral Functions'!J149*'Spectral Functions'!L149*'Spectral Functions'!D149</f>
        <v>403.13875822780909</v>
      </c>
      <c r="AB149" s="47">
        <f>'Spectral Functions'!D149*'Spectral Functions'!J149*'Spectral Functions'!L149</f>
        <v>4.2640899734831992</v>
      </c>
      <c r="AD149" s="42">
        <v>672</v>
      </c>
      <c r="AE149" s="152">
        <f>AF149*'Transmission Calculations'!L151</f>
        <v>0</v>
      </c>
      <c r="AF149" s="92"/>
      <c r="AO149" s="42">
        <v>672</v>
      </c>
      <c r="AP149" s="113">
        <f>'Transmission Calculations'!L151*'Spectral Functions'!K149*'Spectral Functions'!C149</f>
        <v>623.74229898919134</v>
      </c>
      <c r="AQ149" s="113">
        <f>'Transmission Calculations'!L151*'Spectral Functions'!K149*'Spectral Functions'!D149</f>
        <v>228.01953711681065</v>
      </c>
      <c r="AR149" s="47">
        <f>'Transmission Calculations'!L151*'Spectral Functions'!K149*'Spectral Functions'!E149</f>
        <v>0</v>
      </c>
    </row>
    <row r="150" spans="1:44">
      <c r="A150" s="42">
        <v>674</v>
      </c>
      <c r="B150" s="88">
        <f>'Transmission Calculations'!L152*'Spectral Functions'!H150*'Spectral Functions'!C150</f>
        <v>519.69002544146815</v>
      </c>
      <c r="C150" s="88">
        <f>'Transmission Calculations'!L152*'Spectral Functions'!H150*'Spectral Functions'!D150</f>
        <v>189.70409603923645</v>
      </c>
      <c r="D150" s="88">
        <f>'Transmission Calculations'!L152*'Spectral Functions'!H150*'Spectral Functions'!E150</f>
        <v>0</v>
      </c>
      <c r="J150" s="13">
        <v>674</v>
      </c>
      <c r="K150" s="47">
        <f>'Transmission Calculations'!L152*'Spectral Functions'!J150*'Spectral Functions'!N150*'Spectral Functions'!C150</f>
        <v>1.028533346756018</v>
      </c>
      <c r="L150" s="47">
        <f>'Transmission Calculations'!L152*'Spectral Functions'!J150*'Spectral Functions'!N150*'Spectral Functions'!D150</f>
        <v>0.37544878531546233</v>
      </c>
      <c r="M150" s="47">
        <f>'Transmission Calculations'!L152*'Spectral Functions'!J150*'Spectral Functions'!N150*'Spectral Functions'!E150</f>
        <v>0</v>
      </c>
      <c r="N150" s="47">
        <f>'Spectral Functions'!D150*'Spectral Functions'!J150*'Spectral Functions'!N150</f>
        <v>3.9452963510400001E-3</v>
      </c>
      <c r="R150" s="13">
        <v>674</v>
      </c>
      <c r="S150" s="47">
        <f>'Transmission Calculations'!L152*'Spectral Functions'!J150*'Spectral Functions'!M150*'Spectral Functions'!C150</f>
        <v>1040.6887408540438</v>
      </c>
      <c r="T150" s="47">
        <f>'Transmission Calculations'!L152*'Spectral Functions'!J150*'Spectral Functions'!M150*'Spectral Functions'!D150</f>
        <v>379.88590732373598</v>
      </c>
      <c r="U150" s="47">
        <f>'Transmission Calculations'!L152*'Spectral Functions'!J150*'Spectral Functions'!M150*'Spectral Functions'!E150</f>
        <v>0</v>
      </c>
      <c r="V150" s="47">
        <f>'Spectral Functions'!D150*'Spectral Functions'!J150*'Spectral Functions'!M150</f>
        <v>3.9919225806431999</v>
      </c>
      <c r="Z150" s="13">
        <v>674</v>
      </c>
      <c r="AA150" s="47">
        <f>'Transmission Calculations'!L152*'Spectral Functions'!J150*'Spectral Functions'!L150*'Spectral Functions'!D150</f>
        <v>360.26017536406403</v>
      </c>
      <c r="AB150" s="47">
        <f>'Spectral Functions'!D150*'Spectral Functions'!J150*'Spectral Functions'!L150</f>
        <v>3.7856911804751996</v>
      </c>
      <c r="AD150" s="42">
        <v>674</v>
      </c>
      <c r="AE150" s="152">
        <f>AF150*'Transmission Calculations'!L152</f>
        <v>0</v>
      </c>
      <c r="AF150" s="92"/>
      <c r="AO150" s="42">
        <v>674</v>
      </c>
      <c r="AP150" s="113">
        <f>'Transmission Calculations'!L152*'Spectral Functions'!K150*'Spectral Functions'!C150</f>
        <v>550.73471593157115</v>
      </c>
      <c r="AQ150" s="113">
        <f>'Transmission Calculations'!L152*'Spectral Functions'!K150*'Spectral Functions'!D150</f>
        <v>201.03643773896405</v>
      </c>
      <c r="AR150" s="47">
        <f>'Transmission Calculations'!L152*'Spectral Functions'!K150*'Spectral Functions'!E150</f>
        <v>0</v>
      </c>
    </row>
    <row r="151" spans="1:44">
      <c r="A151" s="42">
        <v>676</v>
      </c>
      <c r="B151" s="88">
        <f>'Transmission Calculations'!L153*'Spectral Functions'!H151*'Spectral Functions'!C151</f>
        <v>450.09944930326594</v>
      </c>
      <c r="C151" s="88">
        <f>'Transmission Calculations'!L153*'Spectral Functions'!H151*'Spectral Functions'!D151</f>
        <v>164.07139790092299</v>
      </c>
      <c r="D151" s="88">
        <f>'Transmission Calculations'!L153*'Spectral Functions'!H151*'Spectral Functions'!E151</f>
        <v>0</v>
      </c>
      <c r="J151" s="13">
        <v>676</v>
      </c>
      <c r="K151" s="47">
        <f>'Transmission Calculations'!L153*'Spectral Functions'!J151*'Spectral Functions'!N151*'Spectral Functions'!C151</f>
        <v>0.84452280207756281</v>
      </c>
      <c r="L151" s="47">
        <f>'Transmission Calculations'!L153*'Spectral Functions'!J151*'Spectral Functions'!N151*'Spectral Functions'!D151</f>
        <v>0.30784760325869798</v>
      </c>
      <c r="M151" s="47">
        <f>'Transmission Calculations'!L153*'Spectral Functions'!J151*'Spectral Functions'!N151*'Spectral Functions'!E151</f>
        <v>0</v>
      </c>
      <c r="N151" s="47">
        <f>'Spectral Functions'!D151*'Spectral Functions'!J151*'Spectral Functions'!N151</f>
        <v>3.2675787900599998E-3</v>
      </c>
      <c r="R151" s="13">
        <v>676</v>
      </c>
      <c r="S151" s="47">
        <f>'Transmission Calculations'!L153*'Spectral Functions'!J151*'Spectral Functions'!M151*'Spectral Functions'!C151</f>
        <v>917.23415552472864</v>
      </c>
      <c r="T151" s="47">
        <f>'Transmission Calculations'!L153*'Spectral Functions'!J151*'Spectral Functions'!M151*'Spectral Functions'!D151</f>
        <v>334.35253105145904</v>
      </c>
      <c r="U151" s="47">
        <f>'Transmission Calculations'!L153*'Spectral Functions'!J151*'Spectral Functions'!M151*'Spectral Functions'!E151</f>
        <v>0</v>
      </c>
      <c r="V151" s="47">
        <f>'Spectral Functions'!D151*'Spectral Functions'!J151*'Spectral Functions'!M151</f>
        <v>3.5489093541797998</v>
      </c>
      <c r="Z151" s="13">
        <v>676</v>
      </c>
      <c r="AA151" s="47">
        <f>'Transmission Calculations'!L153*'Spectral Functions'!J151*'Spectral Functions'!L151*'Spectral Functions'!D151</f>
        <v>317.45845526287195</v>
      </c>
      <c r="AB151" s="47">
        <f>'Spectral Functions'!D151*'Spectral Functions'!J151*'Spectral Functions'!L151</f>
        <v>3.3695910059447995</v>
      </c>
      <c r="AD151" s="42">
        <v>676</v>
      </c>
      <c r="AE151" s="152">
        <f>AF151*'Transmission Calculations'!L153</f>
        <v>0</v>
      </c>
      <c r="AF151" s="92"/>
      <c r="AO151" s="42">
        <v>676</v>
      </c>
      <c r="AP151" s="113">
        <f>'Transmission Calculations'!L153*'Spectral Functions'!K151*'Spectral Functions'!C151</f>
        <v>479.16487862974373</v>
      </c>
      <c r="AQ151" s="113">
        <f>'Transmission Calculations'!L153*'Spectral Functions'!K151*'Spectral Functions'!D151</f>
        <v>174.66640224400226</v>
      </c>
      <c r="AR151" s="47">
        <f>'Transmission Calculations'!L153*'Spectral Functions'!K151*'Spectral Functions'!E151</f>
        <v>0</v>
      </c>
    </row>
    <row r="152" spans="1:44">
      <c r="A152" s="42">
        <v>678</v>
      </c>
      <c r="B152" s="88">
        <f>'Transmission Calculations'!L154*'Spectral Functions'!H152*'Spectral Functions'!C152</f>
        <v>391.57894010004958</v>
      </c>
      <c r="C152" s="88">
        <f>'Transmission Calculations'!L154*'Spectral Functions'!H152*'Spectral Functions'!D152</f>
        <v>142.53145200334251</v>
      </c>
      <c r="D152" s="88">
        <f>'Transmission Calculations'!L154*'Spectral Functions'!H152*'Spectral Functions'!E152</f>
        <v>0</v>
      </c>
      <c r="J152" s="13">
        <v>678</v>
      </c>
      <c r="K152" s="47">
        <f>'Transmission Calculations'!L154*'Spectral Functions'!J152*'Spectral Functions'!N152*'Spectral Functions'!C152</f>
        <v>0.69282787281433555</v>
      </c>
      <c r="L152" s="47">
        <f>'Transmission Calculations'!L154*'Spectral Functions'!J152*'Spectral Functions'!N152*'Spectral Functions'!D152</f>
        <v>0.25218353845940616</v>
      </c>
      <c r="M152" s="47">
        <f>'Transmission Calculations'!L154*'Spectral Functions'!J152*'Spectral Functions'!N152*'Spectral Functions'!E152</f>
        <v>0</v>
      </c>
      <c r="N152" s="47">
        <f>'Spectral Functions'!D152*'Spectral Functions'!J152*'Spectral Functions'!N152</f>
        <v>2.6978522780399996E-3</v>
      </c>
      <c r="R152" s="13">
        <v>678</v>
      </c>
      <c r="S152" s="47">
        <f>'Transmission Calculations'!L154*'Spectral Functions'!J152*'Spectral Functions'!M152*'Spectral Functions'!C152</f>
        <v>812.06719618817124</v>
      </c>
      <c r="T152" s="47">
        <f>'Transmission Calculations'!L154*'Spectral Functions'!J152*'Spectral Functions'!M152*'Spectral Functions'!D152</f>
        <v>295.58565271005136</v>
      </c>
      <c r="U152" s="47">
        <f>'Transmission Calculations'!L154*'Spectral Functions'!J152*'Spectral Functions'!M152*'Spectral Functions'!E152</f>
        <v>0</v>
      </c>
      <c r="V152" s="47">
        <f>'Spectral Functions'!D152*'Spectral Functions'!J152*'Spectral Functions'!M152</f>
        <v>3.1621668543131998</v>
      </c>
      <c r="Z152" s="13">
        <v>678</v>
      </c>
      <c r="AA152" s="47">
        <f>'Transmission Calculations'!L154*'Spectral Functions'!J152*'Spectral Functions'!L152*'Spectral Functions'!D152</f>
        <v>280.9855531150331</v>
      </c>
      <c r="AB152" s="47">
        <f>'Spectral Functions'!D152*'Spectral Functions'!J152*'Spectral Functions'!L152</f>
        <v>3.0059754066371998</v>
      </c>
      <c r="AD152" s="42">
        <v>678</v>
      </c>
      <c r="AE152" s="152">
        <f>AF152*'Transmission Calculations'!L154</f>
        <v>0</v>
      </c>
      <c r="AF152" s="92"/>
      <c r="AO152" s="42">
        <v>678</v>
      </c>
      <c r="AP152" s="113">
        <f>'Transmission Calculations'!L154*'Spectral Functions'!K152*'Spectral Functions'!C152</f>
        <v>418.50073805154074</v>
      </c>
      <c r="AQ152" s="113">
        <f>'Transmission Calculations'!L154*'Spectral Functions'!K152*'Spectral Functions'!D152</f>
        <v>152.33076080065993</v>
      </c>
      <c r="AR152" s="47">
        <f>'Transmission Calculations'!L154*'Spectral Functions'!K152*'Spectral Functions'!E152</f>
        <v>0</v>
      </c>
    </row>
    <row r="153" spans="1:44">
      <c r="A153" s="42">
        <v>680</v>
      </c>
      <c r="B153" s="88">
        <f>'Transmission Calculations'!L155*'Spectral Functions'!H153*'Spectral Functions'!C153</f>
        <v>343.09317270820338</v>
      </c>
      <c r="C153" s="88">
        <f>'Transmission Calculations'!L155*'Spectral Functions'!H153*'Spectral Functions'!D153</f>
        <v>124.7078027804032</v>
      </c>
      <c r="D153" s="88">
        <f>'Transmission Calculations'!L155*'Spectral Functions'!H153*'Spectral Functions'!E153</f>
        <v>0</v>
      </c>
      <c r="J153" s="13">
        <v>680</v>
      </c>
      <c r="K153" s="47">
        <f>'Transmission Calculations'!L155*'Spectral Functions'!J153*'Spectral Functions'!N153*'Spectral Functions'!C153</f>
        <v>0.56887081614778723</v>
      </c>
      <c r="L153" s="47">
        <f>'Transmission Calculations'!L155*'Spectral Functions'!J153*'Spectral Functions'!N153*'Spectral Functions'!D153</f>
        <v>0.20677365564490879</v>
      </c>
      <c r="M153" s="47">
        <f>'Transmission Calculations'!L155*'Spectral Functions'!J153*'Spectral Functions'!N153*'Spectral Functions'!E153</f>
        <v>0</v>
      </c>
      <c r="N153" s="47">
        <f>'Spectral Functions'!D153*'Spectral Functions'!J153*'Spectral Functions'!N153</f>
        <v>2.2066051E-3</v>
      </c>
      <c r="R153" s="13">
        <v>680</v>
      </c>
      <c r="S153" s="47">
        <f>'Transmission Calculations'!L155*'Spectral Functions'!J153*'Spectral Functions'!M153*'Spectral Functions'!C153</f>
        <v>724.09128169668361</v>
      </c>
      <c r="T153" s="47">
        <f>'Transmission Calculations'!L155*'Spectral Functions'!J153*'Spectral Functions'!M153*'Spectral Functions'!D153</f>
        <v>263.19332454230539</v>
      </c>
      <c r="U153" s="47">
        <f>'Transmission Calculations'!L155*'Spectral Functions'!J153*'Spectral Functions'!M153*'Spectral Functions'!E153</f>
        <v>0</v>
      </c>
      <c r="V153" s="47">
        <f>'Spectral Functions'!D153*'Spectral Functions'!J153*'Spectral Functions'!M153</f>
        <v>2.8086930630000002</v>
      </c>
      <c r="Z153" s="13">
        <v>680</v>
      </c>
      <c r="AA153" s="47">
        <f>'Transmission Calculations'!L155*'Spectral Functions'!J153*'Spectral Functions'!L153*'Spectral Functions'!D153</f>
        <v>250.49151426697523</v>
      </c>
      <c r="AB153" s="47">
        <f>'Spectral Functions'!D153*'Spectral Functions'!J153*'Spectral Functions'!L153</f>
        <v>2.6731444639999999</v>
      </c>
      <c r="AD153" s="42">
        <v>680</v>
      </c>
      <c r="AE153" s="152">
        <f>AF153*'Transmission Calculations'!L155</f>
        <v>114.0035566208</v>
      </c>
      <c r="AF153" s="92">
        <v>1.2165999999999999</v>
      </c>
      <c r="AO153" s="42">
        <v>680</v>
      </c>
      <c r="AP153" s="113">
        <f>'Transmission Calculations'!L155*'Spectral Functions'!K153*'Spectral Functions'!C153</f>
        <v>368.14359101183999</v>
      </c>
      <c r="AQ153" s="113">
        <f>'Transmission Calculations'!L155*'Spectral Functions'!K153*'Spectral Functions'!D153</f>
        <v>133.81315046400002</v>
      </c>
      <c r="AR153" s="47">
        <f>'Transmission Calculations'!L155*'Spectral Functions'!K153*'Spectral Functions'!E153</f>
        <v>0</v>
      </c>
    </row>
    <row r="154" spans="1:44">
      <c r="A154" s="42">
        <v>682</v>
      </c>
      <c r="B154" s="88">
        <f>'Transmission Calculations'!L156*'Spectral Functions'!H154*'Spectral Functions'!C154</f>
        <v>293.24079064776305</v>
      </c>
      <c r="C154" s="88">
        <f>'Transmission Calculations'!L156*'Spectral Functions'!H154*'Spectral Functions'!D154</f>
        <v>106.44192320099963</v>
      </c>
      <c r="D154" s="88">
        <f>'Transmission Calculations'!L156*'Spectral Functions'!H154*'Spectral Functions'!E154</f>
        <v>0</v>
      </c>
      <c r="J154" s="13">
        <v>682</v>
      </c>
      <c r="K154" s="47">
        <f>'Transmission Calculations'!L156*'Spectral Functions'!J154*'Spectral Functions'!N154*'Spectral Functions'!C154</f>
        <v>0.45770005562739358</v>
      </c>
      <c r="L154" s="47">
        <f>'Transmission Calculations'!L156*'Spectral Functions'!J154*'Spectral Functions'!N154*'Spectral Functions'!D154</f>
        <v>0.16613812172094528</v>
      </c>
      <c r="M154" s="47">
        <f>'Transmission Calculations'!L156*'Spectral Functions'!J154*'Spectral Functions'!N154*'Spectral Functions'!E154</f>
        <v>0</v>
      </c>
      <c r="N154" s="47">
        <f>'Spectral Functions'!D154*'Spectral Functions'!J154*'Spectral Functions'!N154</f>
        <v>1.7732517702399998E-3</v>
      </c>
      <c r="R154" s="13">
        <v>682</v>
      </c>
      <c r="S154" s="47">
        <f>'Transmission Calculations'!L156*'Spectral Functions'!J154*'Spectral Functions'!M154*'Spectral Functions'!C154</f>
        <v>637.20429619376205</v>
      </c>
      <c r="T154" s="47">
        <f>'Transmission Calculations'!L156*'Spectral Functions'!J154*'Spectral Functions'!M154*'Spectral Functions'!D154</f>
        <v>231.29541633337854</v>
      </c>
      <c r="U154" s="47">
        <f>'Transmission Calculations'!L156*'Spectral Functions'!J154*'Spectral Functions'!M154*'Spectral Functions'!E154</f>
        <v>0</v>
      </c>
      <c r="V154" s="47">
        <f>'Spectral Functions'!D154*'Spectral Functions'!J154*'Spectral Functions'!M154</f>
        <v>2.4686989488809998</v>
      </c>
      <c r="Z154" s="13">
        <v>682</v>
      </c>
      <c r="AA154" s="47">
        <f>'Transmission Calculations'!L156*'Spectral Functions'!J154*'Spectral Functions'!L154*'Spectral Functions'!D154</f>
        <v>220.28876576936591</v>
      </c>
      <c r="AB154" s="47">
        <f>'Spectral Functions'!D154*'Spectral Functions'!J154*'Spectral Functions'!L154</f>
        <v>2.3512210191026002</v>
      </c>
      <c r="AD154" s="42">
        <v>682</v>
      </c>
      <c r="AE154" s="152">
        <f>AF154*'Transmission Calculations'!L156</f>
        <v>0</v>
      </c>
      <c r="AF154" s="92"/>
      <c r="AO154" s="42">
        <v>682</v>
      </c>
      <c r="AP154" s="113">
        <f>'Transmission Calculations'!L156*'Spectral Functions'!K154*'Spectral Functions'!C154</f>
        <v>318.93147126540003</v>
      </c>
      <c r="AQ154" s="113">
        <f>'Transmission Calculations'!L156*'Spectral Functions'!K154*'Spectral Functions'!D154</f>
        <v>115.76724744133921</v>
      </c>
      <c r="AR154" s="47">
        <f>'Transmission Calculations'!L156*'Spectral Functions'!K154*'Spectral Functions'!E154</f>
        <v>0</v>
      </c>
    </row>
    <row r="155" spans="1:44">
      <c r="A155" s="42">
        <v>684</v>
      </c>
      <c r="B155" s="88">
        <f>'Transmission Calculations'!L157*'Spectral Functions'!H155*'Spectral Functions'!C155</f>
        <v>250.11272183599695</v>
      </c>
      <c r="C155" s="88">
        <f>'Transmission Calculations'!L157*'Spectral Functions'!H155*'Spectral Functions'!D155</f>
        <v>90.670718394718847</v>
      </c>
      <c r="D155" s="88">
        <f>'Transmission Calculations'!L157*'Spectral Functions'!H155*'Spectral Functions'!E155</f>
        <v>0</v>
      </c>
      <c r="J155" s="13">
        <v>684</v>
      </c>
      <c r="K155" s="47">
        <f>'Transmission Calculations'!L157*'Spectral Functions'!J155*'Spectral Functions'!N155*'Spectral Functions'!C155</f>
        <v>0.36441235466584315</v>
      </c>
      <c r="L155" s="47">
        <f>'Transmission Calculations'!L157*'Spectral Functions'!J155*'Spectral Functions'!N155*'Spectral Functions'!D155</f>
        <v>0.13210655478424224</v>
      </c>
      <c r="M155" s="47">
        <f>'Transmission Calculations'!L157*'Spectral Functions'!J155*'Spectral Functions'!N155*'Spectral Functions'!E155</f>
        <v>0</v>
      </c>
      <c r="N155" s="47">
        <f>'Spectral Functions'!D155*'Spectral Functions'!J155*'Spectral Functions'!N155</f>
        <v>1.3999006149999999E-3</v>
      </c>
      <c r="R155" s="13">
        <v>684</v>
      </c>
      <c r="S155" s="47">
        <f>'Transmission Calculations'!L157*'Spectral Functions'!J155*'Spectral Functions'!M155*'Spectral Functions'!C155</f>
        <v>559.81277242632109</v>
      </c>
      <c r="T155" s="47">
        <f>'Transmission Calculations'!L157*'Spectral Functions'!J155*'Spectral Functions'!M155*'Spectral Functions'!D155</f>
        <v>202.9430005392411</v>
      </c>
      <c r="U155" s="47">
        <f>'Transmission Calculations'!L157*'Spectral Functions'!J155*'Spectral Functions'!M155*'Spectral Functions'!E155</f>
        <v>0</v>
      </c>
      <c r="V155" s="47">
        <f>'Spectral Functions'!D155*'Spectral Functions'!J155*'Spectral Functions'!M155</f>
        <v>2.15053697925</v>
      </c>
      <c r="Z155" s="13">
        <v>684</v>
      </c>
      <c r="AA155" s="47">
        <f>'Transmission Calculations'!L157*'Spectral Functions'!J155*'Spectral Functions'!L155*'Spectral Functions'!D155</f>
        <v>193.42221779789401</v>
      </c>
      <c r="AB155" s="47">
        <f>'Spectral Functions'!D155*'Spectral Functions'!J155*'Spectral Functions'!L155</f>
        <v>2.0496475901000002</v>
      </c>
      <c r="AD155" s="42">
        <v>684</v>
      </c>
      <c r="AE155" s="152">
        <f>AF155*'Transmission Calculations'!L157</f>
        <v>0</v>
      </c>
      <c r="AF155" s="92"/>
      <c r="AO155" s="42">
        <v>684</v>
      </c>
      <c r="AP155" s="113">
        <f>'Transmission Calculations'!L157*'Spectral Functions'!K155*'Spectral Functions'!C155</f>
        <v>275.87607958960535</v>
      </c>
      <c r="AQ155" s="113">
        <f>'Transmission Calculations'!L157*'Spectral Functions'!K155*'Spectral Functions'!D155</f>
        <v>100.01043585743778</v>
      </c>
      <c r="AR155" s="47">
        <f>'Transmission Calculations'!L157*'Spectral Functions'!K155*'Spectral Functions'!E155</f>
        <v>0</v>
      </c>
    </row>
    <row r="156" spans="1:44">
      <c r="A156" s="42">
        <v>686</v>
      </c>
      <c r="B156" s="88">
        <f>'Transmission Calculations'!L158*'Spectral Functions'!H156*'Spectral Functions'!C156</f>
        <v>209.78191437775487</v>
      </c>
      <c r="C156" s="88">
        <f>'Transmission Calculations'!L158*'Spectral Functions'!H156*'Spectral Functions'!D156</f>
        <v>75.96735467651456</v>
      </c>
      <c r="D156" s="88">
        <f>'Transmission Calculations'!L158*'Spectral Functions'!H156*'Spectral Functions'!E156</f>
        <v>0</v>
      </c>
      <c r="J156" s="13">
        <v>686</v>
      </c>
      <c r="K156" s="47">
        <f>'Transmission Calculations'!L158*'Spectral Functions'!J156*'Spectral Functions'!N156*'Spectral Functions'!C156</f>
        <v>0.28238599049117191</v>
      </c>
      <c r="L156" s="47">
        <f>'Transmission Calculations'!L158*'Spectral Functions'!J156*'Spectral Functions'!N156*'Spectral Functions'!D156</f>
        <v>0.10225913305707009</v>
      </c>
      <c r="M156" s="47">
        <f>'Transmission Calculations'!L158*'Spectral Functions'!J156*'Spectral Functions'!N156*'Spectral Functions'!E156</f>
        <v>0</v>
      </c>
      <c r="N156" s="47">
        <f>'Spectral Functions'!D156*'Spectral Functions'!J156*'Spectral Functions'!N156</f>
        <v>1.089777416E-3</v>
      </c>
      <c r="R156" s="13">
        <v>686</v>
      </c>
      <c r="S156" s="47">
        <f>'Transmission Calculations'!L158*'Spectral Functions'!J156*'Spectral Functions'!M156*'Spectral Functions'!C156</f>
        <v>483.8575337069887</v>
      </c>
      <c r="T156" s="47">
        <f>'Transmission Calculations'!L158*'Spectral Functions'!J156*'Spectral Functions'!M156*'Spectral Functions'!D156</f>
        <v>175.21709144971047</v>
      </c>
      <c r="U156" s="47">
        <f>'Transmission Calculations'!L158*'Spectral Functions'!J156*'Spectral Functions'!M156*'Spectral Functions'!E156</f>
        <v>0</v>
      </c>
      <c r="V156" s="47">
        <f>'Spectral Functions'!D156*'Spectral Functions'!J156*'Spectral Functions'!M156</f>
        <v>1.8672916877999999</v>
      </c>
      <c r="Z156" s="13">
        <v>686</v>
      </c>
      <c r="AA156" s="47">
        <f>'Transmission Calculations'!L158*'Spectral Functions'!J156*'Spectral Functions'!L156*'Spectral Functions'!D156</f>
        <v>167.11502167672722</v>
      </c>
      <c r="AB156" s="47">
        <f>'Spectral Functions'!D156*'Spectral Functions'!J156*'Spectral Functions'!L156</f>
        <v>1.7809477848400002</v>
      </c>
      <c r="AD156" s="42">
        <v>686</v>
      </c>
      <c r="AE156" s="152">
        <f>AF156*'Transmission Calculations'!L158</f>
        <v>0</v>
      </c>
      <c r="AF156" s="92"/>
      <c r="AO156" s="42">
        <v>686</v>
      </c>
      <c r="AP156" s="113">
        <f>'Transmission Calculations'!L158*'Spectral Functions'!K156*'Spectral Functions'!C156</f>
        <v>234.62856616849922</v>
      </c>
      <c r="AQ156" s="113">
        <f>'Transmission Calculations'!L158*'Spectral Functions'!K156*'Spectral Functions'!D156</f>
        <v>84.964957805030394</v>
      </c>
      <c r="AR156" s="47">
        <f>'Transmission Calculations'!L158*'Spectral Functions'!K156*'Spectral Functions'!E156</f>
        <v>0</v>
      </c>
    </row>
    <row r="157" spans="1:44">
      <c r="A157" s="42">
        <v>688</v>
      </c>
      <c r="B157" s="88">
        <f>'Transmission Calculations'!L159*'Spectral Functions'!H157*'Spectral Functions'!C157</f>
        <v>178.40850965416521</v>
      </c>
      <c r="C157" s="88">
        <f>'Transmission Calculations'!L159*'Spectral Functions'!H157*'Spectral Functions'!D157</f>
        <v>64.557537389757329</v>
      </c>
      <c r="D157" s="88">
        <f>'Transmission Calculations'!L159*'Spectral Functions'!H157*'Spectral Functions'!E157</f>
        <v>0</v>
      </c>
      <c r="J157" s="13">
        <v>688</v>
      </c>
      <c r="K157" s="47">
        <f>'Transmission Calculations'!L159*'Spectral Functions'!J157*'Spectral Functions'!N157*'Spectral Functions'!C157</f>
        <v>0.21902423752131681</v>
      </c>
      <c r="L157" s="47">
        <f>'Transmission Calculations'!L159*'Spectral Functions'!J157*'Spectral Functions'!N157*'Spectral Functions'!D157</f>
        <v>7.9254433717620532E-2</v>
      </c>
      <c r="M157" s="47">
        <f>'Transmission Calculations'!L159*'Spectral Functions'!J157*'Spectral Functions'!N157*'Spectral Functions'!E157</f>
        <v>0</v>
      </c>
      <c r="N157" s="47">
        <f>'Spectral Functions'!D157*'Spectral Functions'!J157*'Spectral Functions'!N157</f>
        <v>8.360082559200001E-4</v>
      </c>
      <c r="R157" s="13">
        <v>688</v>
      </c>
      <c r="S157" s="47">
        <f>'Transmission Calculations'!L159*'Spectral Functions'!J157*'Spectral Functions'!M157*'Spectral Functions'!C157</f>
        <v>424.24042528585494</v>
      </c>
      <c r="T157" s="47">
        <f>'Transmission Calculations'!L159*'Spectral Functions'!J157*'Spectral Functions'!M157*'Spectral Functions'!D157</f>
        <v>153.51239226608672</v>
      </c>
      <c r="U157" s="47">
        <f>'Transmission Calculations'!L159*'Spectral Functions'!J157*'Spectral Functions'!M157*'Spectral Functions'!E157</f>
        <v>0</v>
      </c>
      <c r="V157" s="47">
        <f>'Spectral Functions'!D157*'Spectral Functions'!J157*'Spectral Functions'!M157</f>
        <v>1.6193116435320001</v>
      </c>
      <c r="Z157" s="13">
        <v>688</v>
      </c>
      <c r="AA157" s="47">
        <f>'Transmission Calculations'!L159*'Spectral Functions'!J157*'Spectral Functions'!L157*'Spectral Functions'!D157</f>
        <v>146.51732702927069</v>
      </c>
      <c r="AB157" s="47">
        <f>'Spectral Functions'!D157*'Spectral Functions'!J157*'Spectral Functions'!L157</f>
        <v>1.5455248279008003</v>
      </c>
      <c r="AD157" s="42">
        <v>688</v>
      </c>
      <c r="AE157" s="152">
        <f>AF157*'Transmission Calculations'!L159</f>
        <v>0</v>
      </c>
      <c r="AF157" s="92"/>
      <c r="AO157" s="42">
        <v>688</v>
      </c>
      <c r="AP157" s="113">
        <f>'Transmission Calculations'!L159*'Spectral Functions'!K157*'Spectral Functions'!C157</f>
        <v>202.30015835601</v>
      </c>
      <c r="AQ157" s="113">
        <f>'Transmission Calculations'!L159*'Spectral Functions'!K157*'Spectral Functions'!D157</f>
        <v>73.202786472113999</v>
      </c>
      <c r="AR157" s="47">
        <f>'Transmission Calculations'!L159*'Spectral Functions'!K157*'Spectral Functions'!E157</f>
        <v>0</v>
      </c>
    </row>
    <row r="158" spans="1:44">
      <c r="A158" s="42">
        <v>690</v>
      </c>
      <c r="B158" s="88">
        <f>'Transmission Calculations'!L160*'Spectral Functions'!H158*'Spectral Functions'!C158</f>
        <v>149.93667676027127</v>
      </c>
      <c r="C158" s="88">
        <f>'Transmission Calculations'!L160*'Spectral Functions'!H158*'Spectral Functions'!D158</f>
        <v>54.228198951622346</v>
      </c>
      <c r="D158" s="88">
        <f>'Transmission Calculations'!L160*'Spectral Functions'!H158*'Spectral Functions'!E158</f>
        <v>0</v>
      </c>
      <c r="J158" s="13">
        <v>690</v>
      </c>
      <c r="K158" s="47">
        <f>'Transmission Calculations'!L160*'Spectral Functions'!J158*'Spectral Functions'!N158*'Spectral Functions'!C158</f>
        <v>0.16510017057786147</v>
      </c>
      <c r="L158" s="47">
        <f>'Transmission Calculations'!L160*'Spectral Functions'!J158*'Spectral Functions'!N158*'Spectral Functions'!D158</f>
        <v>5.9712440548204522E-2</v>
      </c>
      <c r="M158" s="47">
        <f>'Transmission Calculations'!L160*'Spectral Functions'!J158*'Spectral Functions'!N158*'Spectral Functions'!E158</f>
        <v>0</v>
      </c>
      <c r="N158" s="47">
        <f>'Spectral Functions'!D158*'Spectral Functions'!J158*'Spectral Functions'!N158</f>
        <v>6.3030140400000012E-4</v>
      </c>
      <c r="R158" s="13">
        <v>690</v>
      </c>
      <c r="S158" s="47">
        <f>'Transmission Calculations'!L160*'Spectral Functions'!J158*'Spectral Functions'!M158*'Spectral Functions'!C158</f>
        <v>367.76062996218644</v>
      </c>
      <c r="T158" s="47">
        <f>'Transmission Calculations'!L160*'Spectral Functions'!J158*'Spectral Functions'!M158*'Spectral Functions'!D158</f>
        <v>133.00946132112557</v>
      </c>
      <c r="U158" s="47">
        <f>'Transmission Calculations'!L160*'Spectral Functions'!J158*'Spectral Functions'!M158*'Spectral Functions'!E158</f>
        <v>0</v>
      </c>
      <c r="V158" s="47">
        <f>'Spectral Functions'!D158*'Spectral Functions'!J158*'Spectral Functions'!M158</f>
        <v>1.4039963774100002</v>
      </c>
      <c r="Z158" s="13">
        <v>690</v>
      </c>
      <c r="AA158" s="47">
        <f>'Transmission Calculations'!L160*'Spectral Functions'!J158*'Spectral Functions'!L158*'Spectral Functions'!D158</f>
        <v>127.03821726630513</v>
      </c>
      <c r="AB158" s="47">
        <f>'Spectral Functions'!D158*'Spectral Functions'!J158*'Spectral Functions'!L158</f>
        <v>1.3409662370100002</v>
      </c>
      <c r="AD158" s="42">
        <v>690</v>
      </c>
      <c r="AE158" s="152">
        <f>AF158*'Transmission Calculations'!L160</f>
        <v>108.8804617704</v>
      </c>
      <c r="AF158" s="92">
        <v>1.1493</v>
      </c>
      <c r="AO158" s="42">
        <v>690</v>
      </c>
      <c r="AP158" s="113">
        <f>'Transmission Calculations'!L160*'Spectral Functions'!K158*'Spectral Functions'!C158</f>
        <v>172.47127457712</v>
      </c>
      <c r="AQ158" s="113">
        <f>'Transmission Calculations'!L160*'Spectral Functions'!K158*'Spectral Functions'!D158</f>
        <v>62.378377280976004</v>
      </c>
      <c r="AR158" s="47">
        <f>'Transmission Calculations'!L160*'Spectral Functions'!K158*'Spectral Functions'!E158</f>
        <v>0</v>
      </c>
    </row>
    <row r="159" spans="1:44">
      <c r="A159" s="42">
        <v>692</v>
      </c>
      <c r="B159" s="88">
        <f>'Transmission Calculations'!L161*'Spectral Functions'!H159*'Spectral Functions'!C159</f>
        <v>129.8331445749248</v>
      </c>
      <c r="C159" s="88">
        <f>'Transmission Calculations'!L161*'Spectral Functions'!H159*'Spectral Functions'!D159</f>
        <v>46.932032107823588</v>
      </c>
      <c r="D159" s="88">
        <f>'Transmission Calculations'!L161*'Spectral Functions'!H159*'Spectral Functions'!E159</f>
        <v>0</v>
      </c>
      <c r="J159" s="13">
        <v>692</v>
      </c>
      <c r="K159" s="47">
        <f>'Transmission Calculations'!L161*'Spectral Functions'!J159*'Spectral Functions'!N159*'Spectral Functions'!C159</f>
        <v>0.1359846280705832</v>
      </c>
      <c r="L159" s="47">
        <f>'Transmission Calculations'!L161*'Spectral Functions'!J159*'Spectral Functions'!N159*'Spectral Functions'!D159</f>
        <v>4.9155667851024598E-2</v>
      </c>
      <c r="M159" s="47">
        <f>'Transmission Calculations'!L161*'Spectral Functions'!J159*'Spectral Functions'!N159*'Spectral Functions'!E159</f>
        <v>0</v>
      </c>
      <c r="N159" s="47">
        <f>'Spectral Functions'!D159*'Spectral Functions'!J159*'Spectral Functions'!N159</f>
        <v>5.2018197530000014E-4</v>
      </c>
      <c r="R159" s="13">
        <v>692</v>
      </c>
      <c r="S159" s="47">
        <f>'Transmission Calculations'!L161*'Spectral Functions'!J159*'Spectral Functions'!M159*'Spectral Functions'!C159</f>
        <v>318.84816739707799</v>
      </c>
      <c r="T159" s="47">
        <f>'Transmission Calculations'!L161*'Spectral Functions'!J159*'Spectral Functions'!M159*'Spectral Functions'!D159</f>
        <v>115.25710540858661</v>
      </c>
      <c r="U159" s="47">
        <f>'Transmission Calculations'!L161*'Spectral Functions'!J159*'Spectral Functions'!M159*'Spectral Functions'!E159</f>
        <v>0</v>
      </c>
      <c r="V159" s="47">
        <f>'Spectral Functions'!D159*'Spectral Functions'!J159*'Spectral Functions'!M159</f>
        <v>1.2196898420850002</v>
      </c>
      <c r="Z159" s="13">
        <v>692</v>
      </c>
      <c r="AA159" s="47">
        <f>'Transmission Calculations'!L161*'Spectral Functions'!J159*'Spectral Functions'!L159*'Spectral Functions'!D159</f>
        <v>110.13456739042719</v>
      </c>
      <c r="AB159" s="47">
        <f>'Spectral Functions'!D159*'Spectral Functions'!J159*'Spectral Functions'!L159</f>
        <v>1.1654814046590001</v>
      </c>
      <c r="AD159" s="42">
        <v>692</v>
      </c>
      <c r="AE159" s="152">
        <f>AF159*'Transmission Calculations'!L161</f>
        <v>0</v>
      </c>
      <c r="AF159" s="92"/>
      <c r="AO159" s="42">
        <v>692</v>
      </c>
      <c r="AP159" s="113">
        <f>'Transmission Calculations'!L161*'Spectral Functions'!K159*'Spectral Functions'!C159</f>
        <v>147.09714905855199</v>
      </c>
      <c r="AQ159" s="113">
        <f>'Transmission Calculations'!L161*'Spectral Functions'!K159*'Spectral Functions'!D159</f>
        <v>53.172617402032699</v>
      </c>
      <c r="AR159" s="47">
        <f>'Transmission Calculations'!L161*'Spectral Functions'!K159*'Spectral Functions'!E159</f>
        <v>0</v>
      </c>
    </row>
    <row r="160" spans="1:44">
      <c r="A160" s="42">
        <v>694</v>
      </c>
      <c r="B160" s="88">
        <f>'Transmission Calculations'!L162*'Spectral Functions'!H160*'Spectral Functions'!C160</f>
        <v>112.40253516410564</v>
      </c>
      <c r="C160" s="88">
        <f>'Transmission Calculations'!L162*'Spectral Functions'!H160*'Spectral Functions'!D160</f>
        <v>40.614985626495589</v>
      </c>
      <c r="D160" s="88">
        <f>'Transmission Calculations'!L162*'Spectral Functions'!H160*'Spectral Functions'!E160</f>
        <v>0</v>
      </c>
      <c r="J160" s="13">
        <v>694</v>
      </c>
      <c r="K160" s="47">
        <f>'Transmission Calculations'!L162*'Spectral Functions'!J160*'Spectral Functions'!N160*'Spectral Functions'!C160</f>
        <v>0.11166543798474572</v>
      </c>
      <c r="L160" s="47">
        <f>'Transmission Calculations'!L162*'Spectral Functions'!J160*'Spectral Functions'!N160*'Spectral Functions'!D160</f>
        <v>4.0348646515003785E-2</v>
      </c>
      <c r="M160" s="47">
        <f>'Transmission Calculations'!L162*'Spectral Functions'!J160*'Spectral Functions'!N160*'Spectral Functions'!E160</f>
        <v>0</v>
      </c>
      <c r="N160" s="47">
        <f>'Spectral Functions'!D160*'Spectral Functions'!J160*'Spectral Functions'!N160</f>
        <v>4.2974740512000006E-4</v>
      </c>
      <c r="R160" s="13">
        <v>694</v>
      </c>
      <c r="S160" s="47">
        <f>'Transmission Calculations'!L162*'Spectral Functions'!J160*'Spectral Functions'!M160*'Spectral Functions'!C160</f>
        <v>276.37195901224561</v>
      </c>
      <c r="T160" s="47">
        <f>'Transmission Calculations'!L162*'Spectral Functions'!J160*'Spectral Functions'!M160*'Spectral Functions'!D160</f>
        <v>99.862900124634365</v>
      </c>
      <c r="U160" s="47">
        <f>'Transmission Calculations'!L162*'Spectral Functions'!J160*'Spectral Functions'!M160*'Spectral Functions'!E160</f>
        <v>0</v>
      </c>
      <c r="V160" s="47">
        <f>'Spectral Functions'!D160*'Spectral Functions'!J160*'Spectral Functions'!M160</f>
        <v>1.0636248276720002</v>
      </c>
      <c r="Z160" s="13">
        <v>694</v>
      </c>
      <c r="AA160" s="47">
        <f>'Transmission Calculations'!L162*'Spectral Functions'!J160*'Spectral Functions'!L160*'Spectral Functions'!D160</f>
        <v>95.469380837445044</v>
      </c>
      <c r="AB160" s="47">
        <f>'Spectral Functions'!D160*'Spectral Functions'!J160*'Spectral Functions'!L160</f>
        <v>1.0168301102255999</v>
      </c>
      <c r="AD160" s="42">
        <v>694</v>
      </c>
      <c r="AE160" s="152">
        <f>AF160*'Transmission Calculations'!L162</f>
        <v>0</v>
      </c>
      <c r="AF160" s="92"/>
      <c r="AO160" s="42">
        <v>694</v>
      </c>
      <c r="AP160" s="113">
        <f>'Transmission Calculations'!L162*'Spectral Functions'!K160*'Spectral Functions'!C160</f>
        <v>125.40667996596912</v>
      </c>
      <c r="AQ160" s="113">
        <f>'Transmission Calculations'!L162*'Spectral Functions'!K160*'Spectral Functions'!D160</f>
        <v>45.313840091312095</v>
      </c>
      <c r="AR160" s="47">
        <f>'Transmission Calculations'!L162*'Spectral Functions'!K160*'Spectral Functions'!E160</f>
        <v>0</v>
      </c>
    </row>
    <row r="161" spans="1:44">
      <c r="A161" s="42">
        <v>696</v>
      </c>
      <c r="B161" s="88">
        <f>'Transmission Calculations'!L163*'Spectral Functions'!H161*'Spectral Functions'!C161</f>
        <v>98.522827739436735</v>
      </c>
      <c r="C161" s="88">
        <f>'Transmission Calculations'!L163*'Spectral Functions'!H161*'Spectral Functions'!D161</f>
        <v>35.589714597512703</v>
      </c>
      <c r="D161" s="88">
        <f>'Transmission Calculations'!L163*'Spectral Functions'!H161*'Spectral Functions'!E161</f>
        <v>0</v>
      </c>
      <c r="J161" s="13">
        <v>696</v>
      </c>
      <c r="K161" s="47">
        <f>'Transmission Calculations'!L163*'Spectral Functions'!J161*'Spectral Functions'!N161*'Spectral Functions'!C161</f>
        <v>9.2545047565390989E-2</v>
      </c>
      <c r="L161" s="47">
        <f>'Transmission Calculations'!L163*'Spectral Functions'!J161*'Spectral Functions'!N161*'Spectral Functions'!D161</f>
        <v>3.343034204190954E-2</v>
      </c>
      <c r="M161" s="47">
        <f>'Transmission Calculations'!L163*'Spectral Functions'!J161*'Spectral Functions'!N161*'Spectral Functions'!E161</f>
        <v>0</v>
      </c>
      <c r="N161" s="47">
        <f>'Spectral Functions'!D161*'Spectral Functions'!J161*'Spectral Functions'!N161</f>
        <v>3.5560336499999997E-4</v>
      </c>
      <c r="R161" s="13">
        <v>696</v>
      </c>
      <c r="S161" s="47">
        <f>'Transmission Calculations'!L163*'Spectral Functions'!J161*'Spectral Functions'!M161*'Spectral Functions'!C161</f>
        <v>242.5224628845981</v>
      </c>
      <c r="T161" s="47">
        <f>'Transmission Calculations'!L163*'Spectral Functions'!J161*'Spectral Functions'!M161*'Spectral Functions'!D161</f>
        <v>87.607161056886454</v>
      </c>
      <c r="U161" s="47">
        <f>'Transmission Calculations'!L163*'Spectral Functions'!J161*'Spectral Functions'!M161*'Spectral Functions'!E161</f>
        <v>0</v>
      </c>
      <c r="V161" s="47">
        <f>'Spectral Functions'!D161*'Spectral Functions'!J161*'Spectral Functions'!M161</f>
        <v>0.93188999474999989</v>
      </c>
      <c r="Z161" s="13">
        <v>696</v>
      </c>
      <c r="AA161" s="47">
        <f>'Transmission Calculations'!L163*'Spectral Functions'!J161*'Spectral Functions'!L161*'Spectral Functions'!D161</f>
        <v>83.792169082692055</v>
      </c>
      <c r="AB161" s="47">
        <f>'Spectral Functions'!D161*'Spectral Functions'!J161*'Spectral Functions'!L161</f>
        <v>0.89130937544999966</v>
      </c>
      <c r="AD161" s="42">
        <v>696</v>
      </c>
      <c r="AE161" s="152">
        <f>AF161*'Transmission Calculations'!L163</f>
        <v>0</v>
      </c>
      <c r="AF161" s="92"/>
      <c r="AO161" s="42">
        <v>696</v>
      </c>
      <c r="AP161" s="113">
        <f>'Transmission Calculations'!L163*'Spectral Functions'!K161*'Spectral Functions'!C161</f>
        <v>108.25079938345259</v>
      </c>
      <c r="AQ161" s="113">
        <f>'Transmission Calculations'!L163*'Spectral Functions'!K161*'Spectral Functions'!D161</f>
        <v>39.103780752199789</v>
      </c>
      <c r="AR161" s="47">
        <f>'Transmission Calculations'!L163*'Spectral Functions'!K161*'Spectral Functions'!E161</f>
        <v>0</v>
      </c>
    </row>
    <row r="162" spans="1:44">
      <c r="A162" s="42">
        <v>698</v>
      </c>
      <c r="B162" s="88">
        <f>'Transmission Calculations'!L164*'Spectral Functions'!H162*'Spectral Functions'!C162</f>
        <v>86.446770787307329</v>
      </c>
      <c r="C162" s="88">
        <f>'Transmission Calculations'!L164*'Spectral Functions'!H162*'Spectral Functions'!D162</f>
        <v>31.21670400814341</v>
      </c>
      <c r="D162" s="88">
        <f>'Transmission Calculations'!L164*'Spectral Functions'!H162*'Spectral Functions'!E162</f>
        <v>0</v>
      </c>
      <c r="J162" s="13">
        <v>698</v>
      </c>
      <c r="K162" s="47">
        <f>'Transmission Calculations'!L164*'Spectral Functions'!J162*'Spectral Functions'!N162*'Spectral Functions'!C162</f>
        <v>7.6509035990140889E-2</v>
      </c>
      <c r="L162" s="47">
        <f>'Transmission Calculations'!L164*'Spectral Functions'!J162*'Spectral Functions'!N162*'Spectral Functions'!D162</f>
        <v>2.7628098871719728E-2</v>
      </c>
      <c r="M162" s="47">
        <f>'Transmission Calculations'!L164*'Spectral Functions'!J162*'Spectral Functions'!N162*'Spectral Functions'!E162</f>
        <v>0</v>
      </c>
      <c r="N162" s="47">
        <f>'Spectral Functions'!D162*'Spectral Functions'!J162*'Spectral Functions'!N162</f>
        <v>2.9478850687999998E-4</v>
      </c>
      <c r="R162" s="13">
        <v>698</v>
      </c>
      <c r="S162" s="47">
        <f>'Transmission Calculations'!L164*'Spectral Functions'!J162*'Spectral Functions'!M162*'Spectral Functions'!C162</f>
        <v>213.02984708504852</v>
      </c>
      <c r="T162" s="47">
        <f>'Transmission Calculations'!L164*'Spectral Functions'!J162*'Spectral Functions'!M162*'Spectral Functions'!D162</f>
        <v>76.926987795944612</v>
      </c>
      <c r="U162" s="47">
        <f>'Transmission Calculations'!L164*'Spectral Functions'!J162*'Spectral Functions'!M162*'Spectral Functions'!E162</f>
        <v>0</v>
      </c>
      <c r="V162" s="47">
        <f>'Spectral Functions'!D162*'Spectral Functions'!J162*'Spectral Functions'!M162</f>
        <v>0.82080174884399981</v>
      </c>
      <c r="Z162" s="13">
        <v>698</v>
      </c>
      <c r="AA162" s="47">
        <f>'Transmission Calculations'!L164*'Spectral Functions'!J162*'Spectral Functions'!L162*'Spectral Functions'!D162</f>
        <v>73.611615931338235</v>
      </c>
      <c r="AB162" s="47">
        <f>'Spectral Functions'!D162*'Spectral Functions'!J162*'Spectral Functions'!L162</f>
        <v>0.78542712801839965</v>
      </c>
      <c r="AD162" s="42">
        <v>698</v>
      </c>
      <c r="AE162" s="152">
        <f>AF162*'Transmission Calculations'!L164</f>
        <v>0</v>
      </c>
      <c r="AF162" s="92"/>
      <c r="AO162" s="42">
        <v>698</v>
      </c>
      <c r="AP162" s="113">
        <f>'Transmission Calculations'!L164*'Spectral Functions'!K162*'Spectral Functions'!C162</f>
        <v>93.544528646534872</v>
      </c>
      <c r="AQ162" s="113">
        <f>'Transmission Calculations'!L164*'Spectral Functions'!K162*'Spectral Functions'!D162</f>
        <v>33.779768009205114</v>
      </c>
      <c r="AR162" s="47">
        <f>'Transmission Calculations'!L164*'Spectral Functions'!K162*'Spectral Functions'!E162</f>
        <v>0</v>
      </c>
    </row>
    <row r="163" spans="1:44">
      <c r="A163" s="42">
        <v>700</v>
      </c>
      <c r="B163" s="88">
        <f>'Transmission Calculations'!L165*'Spectral Functions'!H163*'Spectral Functions'!C163</f>
        <v>75.990793708788033</v>
      </c>
      <c r="C163" s="88">
        <f>'Transmission Calculations'!L165*'Spectral Functions'!H163*'Spectral Functions'!D163</f>
        <v>27.442049105858658</v>
      </c>
      <c r="D163" s="88">
        <f>'Transmission Calculations'!L165*'Spectral Functions'!H163*'Spectral Functions'!E163</f>
        <v>0</v>
      </c>
      <c r="J163" s="13">
        <v>700</v>
      </c>
      <c r="K163" s="47">
        <f>'Transmission Calculations'!L165*'Spectral Functions'!J163*'Spectral Functions'!N163*'Spectral Functions'!C163</f>
        <v>6.3117721427156701E-2</v>
      </c>
      <c r="L163" s="47">
        <f>'Transmission Calculations'!L165*'Spectral Functions'!J163*'Spectral Functions'!N163*'Spectral Functions'!D163</f>
        <v>2.2793282269055092E-2</v>
      </c>
      <c r="M163" s="47">
        <f>'Transmission Calculations'!L165*'Spectral Functions'!J163*'Spectral Functions'!N163*'Spectral Functions'!E163</f>
        <v>0</v>
      </c>
      <c r="N163" s="47">
        <f>'Spectral Functions'!D163*'Spectral Functions'!J163*'Spectral Functions'!N163</f>
        <v>2.4397998659999996E-4</v>
      </c>
      <c r="R163" s="13">
        <v>700</v>
      </c>
      <c r="S163" s="47">
        <f>'Transmission Calculations'!L165*'Spectral Functions'!J163*'Spectral Functions'!M163*'Spectral Functions'!C163</f>
        <v>187.45963263865542</v>
      </c>
      <c r="T163" s="47">
        <f>'Transmission Calculations'!L165*'Spectral Functions'!J163*'Spectral Functions'!M163*'Spectral Functions'!D163</f>
        <v>67.696048339093636</v>
      </c>
      <c r="U163" s="47">
        <f>'Transmission Calculations'!L165*'Spectral Functions'!J163*'Spectral Functions'!M163*'Spectral Functions'!E163</f>
        <v>0</v>
      </c>
      <c r="V163" s="47">
        <f>'Spectral Functions'!D163*'Spectral Functions'!J163*'Spectral Functions'!M163</f>
        <v>0.72462056020199994</v>
      </c>
      <c r="Z163" s="13">
        <v>700</v>
      </c>
      <c r="AA163" s="47">
        <f>'Transmission Calculations'!L165*'Spectral Functions'!J163*'Spectral Functions'!L163*'Spectral Functions'!D163</f>
        <v>64.808899251679975</v>
      </c>
      <c r="AB163" s="47">
        <f>'Spectral Functions'!D163*'Spectral Functions'!J163*'Spectral Functions'!L163</f>
        <v>0.69371642856599991</v>
      </c>
      <c r="AD163" s="42">
        <v>700</v>
      </c>
      <c r="AE163" s="152">
        <f>AF163*'Transmission Calculations'!L165</f>
        <v>66.517000847999995</v>
      </c>
      <c r="AF163" s="92">
        <v>0.71199999999999997</v>
      </c>
      <c r="AO163" s="42">
        <v>700</v>
      </c>
      <c r="AP163" s="113">
        <f>'Transmission Calculations'!L165*'Spectral Functions'!K163*'Spectral Functions'!C163</f>
        <v>80.968725482941792</v>
      </c>
      <c r="AQ163" s="113">
        <f>'Transmission Calculations'!L165*'Spectral Functions'!K163*'Spectral Functions'!D163</f>
        <v>29.239696446080398</v>
      </c>
      <c r="AR163" s="47">
        <f>'Transmission Calculations'!L165*'Spectral Functions'!K163*'Spectral Functions'!E163</f>
        <v>0</v>
      </c>
    </row>
    <row r="164" spans="1:44">
      <c r="A164" s="42">
        <v>702</v>
      </c>
      <c r="B164" s="88">
        <f>'Transmission Calculations'!L166*'Spectral Functions'!H164*'Spectral Functions'!C164</f>
        <v>67.846305195710173</v>
      </c>
      <c r="C164" s="88">
        <f>'Transmission Calculations'!L166*'Spectral Functions'!H164*'Spectral Functions'!D164</f>
        <v>22.895312166859036</v>
      </c>
      <c r="D164" s="88">
        <f>'Transmission Calculations'!L166*'Spectral Functions'!H164*'Spectral Functions'!E164</f>
        <v>0</v>
      </c>
      <c r="J164" s="13">
        <v>702</v>
      </c>
      <c r="K164" s="47">
        <f>'Transmission Calculations'!L166*'Spectral Functions'!J164*'Spectral Functions'!N164*'Spectral Functions'!C164</f>
        <v>5.2524402865762328E-2</v>
      </c>
      <c r="L164" s="47">
        <f>'Transmission Calculations'!L166*'Spectral Functions'!J164*'Spectral Functions'!N164*'Spectral Functions'!D164</f>
        <v>1.7724806038008536E-2</v>
      </c>
      <c r="M164" s="47">
        <f>'Transmission Calculations'!L166*'Spectral Functions'!J164*'Spectral Functions'!N164*'Spectral Functions'!E164</f>
        <v>0</v>
      </c>
      <c r="N164" s="47">
        <f>'Spectral Functions'!D164*'Spectral Functions'!J164*'Spectral Functions'!N164</f>
        <v>1.8736007472000001E-4</v>
      </c>
      <c r="R164" s="13">
        <v>702</v>
      </c>
      <c r="S164" s="47">
        <f>'Transmission Calculations'!L166*'Spectral Functions'!J164*'Spectral Functions'!M164*'Spectral Functions'!C164</f>
        <v>167.14015340497943</v>
      </c>
      <c r="T164" s="47">
        <f>'Transmission Calculations'!L166*'Spectral Functions'!J164*'Spectral Functions'!M164*'Spectral Functions'!D164</f>
        <v>56.402864928091461</v>
      </c>
      <c r="U164" s="47">
        <f>'Transmission Calculations'!L166*'Spectral Functions'!J164*'Spectral Functions'!M164*'Spectral Functions'!E164</f>
        <v>0</v>
      </c>
      <c r="V164" s="47">
        <f>'Spectral Functions'!D164*'Spectral Functions'!J164*'Spectral Functions'!M164</f>
        <v>0.59620652348400005</v>
      </c>
      <c r="Z164" s="13">
        <v>702</v>
      </c>
      <c r="AA164" s="47">
        <f>'Transmission Calculations'!L166*'Spectral Functions'!J164*'Spectral Functions'!L164*'Spectral Functions'!D164</f>
        <v>53.984694961477437</v>
      </c>
      <c r="AB164" s="47">
        <f>'Spectral Functions'!D164*'Spectral Functions'!J164*'Spectral Functions'!L164</f>
        <v>0.57064525614720008</v>
      </c>
      <c r="AD164" s="42">
        <v>702</v>
      </c>
      <c r="AE164" s="152">
        <f>AF164*'Transmission Calculations'!L166</f>
        <v>0</v>
      </c>
      <c r="AF164" s="92"/>
      <c r="AO164" s="42">
        <v>702</v>
      </c>
      <c r="AP164" s="113">
        <f>'Transmission Calculations'!L166*'Spectral Functions'!K164*'Spectral Functions'!C164</f>
        <v>71.008299507325432</v>
      </c>
      <c r="AQ164" s="113">
        <f>'Transmission Calculations'!L166*'Spectral Functions'!K164*'Spectral Functions'!D164</f>
        <v>23.962354014243839</v>
      </c>
      <c r="AR164" s="47">
        <f>'Transmission Calculations'!L166*'Spectral Functions'!K164*'Spectral Functions'!E164</f>
        <v>0</v>
      </c>
    </row>
    <row r="165" spans="1:44">
      <c r="A165" s="42">
        <v>704</v>
      </c>
      <c r="B165" s="88">
        <f>'Transmission Calculations'!L167*'Spectral Functions'!H165*'Spectral Functions'!C165</f>
        <v>59.362627733903935</v>
      </c>
      <c r="C165" s="88">
        <f>'Transmission Calculations'!L167*'Spectral Functions'!H165*'Spectral Functions'!D165</f>
        <v>20.033775392626413</v>
      </c>
      <c r="D165" s="88">
        <f>'Transmission Calculations'!L167*'Spectral Functions'!H165*'Spectral Functions'!E165</f>
        <v>0</v>
      </c>
      <c r="J165" s="13">
        <v>704</v>
      </c>
      <c r="K165" s="47">
        <f>'Transmission Calculations'!L167*'Spectral Functions'!J165*'Spectral Functions'!N165*'Spectral Functions'!C165</f>
        <v>4.2614951558950329E-2</v>
      </c>
      <c r="L165" s="47">
        <f>'Transmission Calculations'!L167*'Spectral Functions'!J165*'Spectral Functions'!N165*'Spectral Functions'!D165</f>
        <v>1.4381748256269793E-2</v>
      </c>
      <c r="M165" s="47">
        <f>'Transmission Calculations'!L167*'Spectral Functions'!J165*'Spectral Functions'!N165*'Spectral Functions'!E165</f>
        <v>0</v>
      </c>
      <c r="N165" s="47">
        <f>'Spectral Functions'!D165*'Spectral Functions'!J165*'Spectral Functions'!N165</f>
        <v>1.5287382422000002E-4</v>
      </c>
      <c r="R165" s="13">
        <v>704</v>
      </c>
      <c r="S165" s="47">
        <f>'Transmission Calculations'!L167*'Spectral Functions'!J165*'Spectral Functions'!M165*'Spectral Functions'!C165</f>
        <v>146.03816091932595</v>
      </c>
      <c r="T165" s="47">
        <f>'Transmission Calculations'!L167*'Spectral Functions'!J165*'Spectral Functions'!M165*'Spectral Functions'!D165</f>
        <v>49.285144985909184</v>
      </c>
      <c r="U165" s="47">
        <f>'Transmission Calculations'!L167*'Spectral Functions'!J165*'Spectral Functions'!M165*'Spectral Functions'!E165</f>
        <v>0</v>
      </c>
      <c r="V165" s="47">
        <f>'Spectral Functions'!D165*'Spectral Functions'!J165*'Spectral Functions'!M165</f>
        <v>0.52388683607700004</v>
      </c>
      <c r="Z165" s="13">
        <v>704</v>
      </c>
      <c r="AA165" s="47">
        <f>'Transmission Calculations'!L167*'Spectral Functions'!J165*'Spectral Functions'!L165*'Spectral Functions'!D165</f>
        <v>47.161071397290875</v>
      </c>
      <c r="AB165" s="47">
        <f>'Spectral Functions'!D165*'Spectral Functions'!J165*'Spectral Functions'!L165</f>
        <v>0.50130854819220005</v>
      </c>
      <c r="AD165" s="42">
        <v>704</v>
      </c>
      <c r="AE165" s="152">
        <f>AF165*'Transmission Calculations'!L167</f>
        <v>0</v>
      </c>
      <c r="AF165" s="92"/>
      <c r="AO165" s="42">
        <v>704</v>
      </c>
      <c r="AP165" s="113">
        <f>'Transmission Calculations'!L167*'Spectral Functions'!K165*'Spectral Functions'!C165</f>
        <v>61.032258027419239</v>
      </c>
      <c r="AQ165" s="113">
        <f>'Transmission Calculations'!L167*'Spectral Functions'!K165*'Spectral Functions'!D165</f>
        <v>20.597244355606751</v>
      </c>
      <c r="AR165" s="47">
        <f>'Transmission Calculations'!L167*'Spectral Functions'!K165*'Spectral Functions'!E165</f>
        <v>0</v>
      </c>
    </row>
    <row r="166" spans="1:44">
      <c r="A166" s="42">
        <v>706</v>
      </c>
      <c r="B166" s="88">
        <f>'Transmission Calculations'!L168*'Spectral Functions'!H166*'Spectral Functions'!C166</f>
        <v>53.05812363450169</v>
      </c>
      <c r="C166" s="88">
        <f>'Transmission Calculations'!L168*'Spectral Functions'!H166*'Spectral Functions'!D166</f>
        <v>19.160266751683675</v>
      </c>
      <c r="D166" s="88">
        <f>'Transmission Calculations'!L168*'Spectral Functions'!H166*'Spectral Functions'!E166</f>
        <v>0</v>
      </c>
      <c r="J166" s="13">
        <v>706</v>
      </c>
      <c r="K166" s="47">
        <f>'Transmission Calculations'!L168*'Spectral Functions'!J166*'Spectral Functions'!N166*'Spectral Functions'!C166</f>
        <v>3.5109842371094942E-2</v>
      </c>
      <c r="L166" s="47">
        <f>'Transmission Calculations'!L168*'Spectral Functions'!J166*'Spectral Functions'!N166*'Spectral Functions'!D166</f>
        <v>1.2678811449757049E-2</v>
      </c>
      <c r="M166" s="47">
        <f>'Transmission Calculations'!L168*'Spectral Functions'!J166*'Spectral Functions'!N166*'Spectral Functions'!E166</f>
        <v>0</v>
      </c>
      <c r="N166" s="47">
        <f>'Spectral Functions'!D166*'Spectral Functions'!J166*'Spectral Functions'!N166</f>
        <v>1.3271984063999999E-4</v>
      </c>
      <c r="R166" s="13">
        <v>706</v>
      </c>
      <c r="S166" s="47">
        <f>'Transmission Calculations'!L168*'Spectral Functions'!J166*'Spectral Functions'!M166*'Spectral Functions'!C166</f>
        <v>130.34528980268996</v>
      </c>
      <c r="T166" s="47">
        <f>'Transmission Calculations'!L168*'Spectral Functions'!J166*'Spectral Functions'!M166*'Spectral Functions'!D166</f>
        <v>47.070087507223043</v>
      </c>
      <c r="U166" s="47">
        <f>'Transmission Calculations'!L168*'Spectral Functions'!J166*'Spectral Functions'!M166*'Spectral Functions'!E166</f>
        <v>0</v>
      </c>
      <c r="V166" s="47">
        <f>'Spectral Functions'!D166*'Spectral Functions'!J166*'Spectral Functions'!M166</f>
        <v>0.49272240837600007</v>
      </c>
      <c r="Z166" s="13">
        <v>706</v>
      </c>
      <c r="AA166" s="47">
        <f>'Transmission Calculations'!L168*'Spectral Functions'!J166*'Spectral Functions'!L166*'Spectral Functions'!D166</f>
        <v>45.030911999053792</v>
      </c>
      <c r="AB166" s="47">
        <f>'Spectral Functions'!D166*'Spectral Functions'!J166*'Spectral Functions'!L166</f>
        <v>0.47137663400640006</v>
      </c>
      <c r="AD166" s="42">
        <v>706</v>
      </c>
      <c r="AE166" s="152">
        <f>AF166*'Transmission Calculations'!L168</f>
        <v>0</v>
      </c>
      <c r="AF166" s="92"/>
      <c r="AO166" s="42">
        <v>706</v>
      </c>
      <c r="AP166" s="113">
        <f>'Transmission Calculations'!L168*'Spectral Functions'!K166*'Spectral Functions'!C166</f>
        <v>53.577456284986141</v>
      </c>
      <c r="AQ166" s="113">
        <f>'Transmission Calculations'!L168*'Spectral Functions'!K166*'Spectral Functions'!D166</f>
        <v>19.347807347440259</v>
      </c>
      <c r="AR166" s="47">
        <f>'Transmission Calculations'!L168*'Spectral Functions'!K166*'Spectral Functions'!E166</f>
        <v>0</v>
      </c>
    </row>
    <row r="167" spans="1:44">
      <c r="A167" s="42">
        <v>708</v>
      </c>
      <c r="B167" s="88">
        <f>'Transmission Calculations'!L169*'Spectral Functions'!H167*'Spectral Functions'!C167</f>
        <v>45.95111304601982</v>
      </c>
      <c r="C167" s="88">
        <f>'Transmission Calculations'!L169*'Spectral Functions'!H167*'Spectral Functions'!D167</f>
        <v>16.592879661856863</v>
      </c>
      <c r="D167" s="88">
        <f>'Transmission Calculations'!L169*'Spectral Functions'!H167*'Spectral Functions'!E167</f>
        <v>0</v>
      </c>
      <c r="J167" s="13">
        <v>708</v>
      </c>
      <c r="K167" s="47">
        <f>'Transmission Calculations'!L169*'Spectral Functions'!J167*'Spectral Functions'!N167*'Spectral Functions'!C167</f>
        <v>2.7833606744961711E-2</v>
      </c>
      <c r="L167" s="47">
        <f>'Transmission Calculations'!L169*'Spectral Functions'!J167*'Spectral Functions'!N167*'Spectral Functions'!D167</f>
        <v>1.0050674655303059E-2</v>
      </c>
      <c r="M167" s="47">
        <f>'Transmission Calculations'!L169*'Spectral Functions'!J167*'Spectral Functions'!N167*'Spectral Functions'!E167</f>
        <v>0</v>
      </c>
      <c r="N167" s="47">
        <f>'Spectral Functions'!D167*'Spectral Functions'!J167*'Spectral Functions'!N167</f>
        <v>1.069740397E-4</v>
      </c>
      <c r="R167" s="13">
        <v>708</v>
      </c>
      <c r="S167" s="47">
        <f>'Transmission Calculations'!L169*'Spectral Functions'!J167*'Spectral Functions'!M167*'Spectral Functions'!C167</f>
        <v>112.72610731709494</v>
      </c>
      <c r="T167" s="47">
        <f>'Transmission Calculations'!L169*'Spectral Functions'!J167*'Spectral Functions'!M167*'Spectral Functions'!D167</f>
        <v>40.705232353977394</v>
      </c>
      <c r="U167" s="47">
        <f>'Transmission Calculations'!L169*'Spectral Functions'!J167*'Spectral Functions'!M167*'Spectral Functions'!E167</f>
        <v>0</v>
      </c>
      <c r="V167" s="47">
        <f>'Spectral Functions'!D167*'Spectral Functions'!J167*'Spectral Functions'!M167</f>
        <v>0.43324486078500002</v>
      </c>
      <c r="Z167" s="13">
        <v>708</v>
      </c>
      <c r="AA167" s="47">
        <f>'Transmission Calculations'!L169*'Spectral Functions'!J167*'Spectral Functions'!L167*'Spectral Functions'!D167</f>
        <v>38.932658823860315</v>
      </c>
      <c r="AB167" s="47">
        <f>'Spectral Functions'!D167*'Spectral Functions'!J167*'Spectral Functions'!L167</f>
        <v>0.41437853014700005</v>
      </c>
      <c r="AD167" s="42">
        <v>708</v>
      </c>
      <c r="AE167" s="152">
        <f>AF167*'Transmission Calculations'!L169</f>
        <v>0</v>
      </c>
      <c r="AF167" s="92"/>
      <c r="AO167" s="42">
        <v>708</v>
      </c>
      <c r="AP167" s="113">
        <f>'Transmission Calculations'!L169*'Spectral Functions'!K167*'Spectral Functions'!C167</f>
        <v>45.564456480369252</v>
      </c>
      <c r="AQ167" s="113">
        <f>'Transmission Calculations'!L169*'Spectral Functions'!K167*'Spectral Functions'!D167</f>
        <v>16.453258541953165</v>
      </c>
      <c r="AR167" s="47">
        <f>'Transmission Calculations'!L169*'Spectral Functions'!K167*'Spectral Functions'!E167</f>
        <v>0</v>
      </c>
    </row>
    <row r="168" spans="1:44">
      <c r="A168" s="42">
        <v>710</v>
      </c>
      <c r="B168" s="88">
        <f>'Transmission Calculations'!L170*'Spectral Functions'!H168*'Spectral Functions'!C168</f>
        <v>41.243066295827028</v>
      </c>
      <c r="C168" s="88">
        <f>'Transmission Calculations'!L170*'Spectral Functions'!H168*'Spectral Functions'!D168</f>
        <v>14.891944677011622</v>
      </c>
      <c r="D168" s="88">
        <f>'Transmission Calculations'!L170*'Spectral Functions'!H168*'Spectral Functions'!E168</f>
        <v>0</v>
      </c>
      <c r="J168" s="13">
        <v>710</v>
      </c>
      <c r="K168" s="47">
        <f>'Transmission Calculations'!L170*'Spectral Functions'!J168*'Spectral Functions'!N168*'Spectral Functions'!C168</f>
        <v>2.2678056028900741E-2</v>
      </c>
      <c r="L168" s="47">
        <f>'Transmission Calculations'!L170*'Spectral Functions'!J168*'Spectral Functions'!N168*'Spectral Functions'!D168</f>
        <v>8.188536549202461E-3</v>
      </c>
      <c r="M168" s="47">
        <f>'Transmission Calculations'!L170*'Spectral Functions'!J168*'Spectral Functions'!N168*'Spectral Functions'!E168</f>
        <v>0</v>
      </c>
      <c r="N168" s="47">
        <f>'Spectral Functions'!D168*'Spectral Functions'!J168*'Spectral Functions'!N168</f>
        <v>8.54838438E-5</v>
      </c>
      <c r="R168" s="13">
        <v>710</v>
      </c>
      <c r="S168" s="47">
        <f>'Transmission Calculations'!L170*'Spectral Functions'!J168*'Spectral Functions'!M168*'Spectral Functions'!C168</f>
        <v>101.03073960875281</v>
      </c>
      <c r="T168" s="47">
        <f>'Transmission Calculations'!L170*'Spectral Functions'!J168*'Spectral Functions'!M168*'Spectral Functions'!D168</f>
        <v>36.479930326696966</v>
      </c>
      <c r="U168" s="47">
        <f>'Transmission Calculations'!L170*'Spectral Functions'!J168*'Spectral Functions'!M168*'Spectral Functions'!E168</f>
        <v>0</v>
      </c>
      <c r="V168" s="47">
        <f>'Spectral Functions'!D168*'Spectral Functions'!J168*'Spectral Functions'!M168</f>
        <v>0.38083052412899998</v>
      </c>
      <c r="Z168" s="13">
        <v>710</v>
      </c>
      <c r="AA168" s="47">
        <f>'Transmission Calculations'!L170*'Spectral Functions'!J168*'Spectral Functions'!L168*'Spectral Functions'!D168</f>
        <v>34.883165699602479</v>
      </c>
      <c r="AB168" s="47">
        <f>'Spectral Functions'!D168*'Spectral Functions'!J168*'Spectral Functions'!L168</f>
        <v>0.36416117458799996</v>
      </c>
      <c r="AD168" s="42">
        <v>710</v>
      </c>
      <c r="AE168" s="152">
        <f>AF168*'Transmission Calculations'!L170</f>
        <v>37.530701444400002</v>
      </c>
      <c r="AF168" s="92">
        <v>0.39179999999999998</v>
      </c>
      <c r="AO168" s="42">
        <v>710</v>
      </c>
      <c r="AP168" s="113">
        <f>'Transmission Calculations'!L170*'Spectral Functions'!K168*'Spectral Functions'!C168</f>
        <v>40.161912060927207</v>
      </c>
      <c r="AQ168" s="113">
        <f>'Transmission Calculations'!L170*'Spectral Functions'!K168*'Spectral Functions'!D168</f>
        <v>14.501564171887201</v>
      </c>
      <c r="AR168" s="47">
        <f>'Transmission Calculations'!L170*'Spectral Functions'!K168*'Spectral Functions'!E168</f>
        <v>0</v>
      </c>
    </row>
    <row r="169" spans="1:44">
      <c r="A169" s="42">
        <v>712</v>
      </c>
      <c r="B169" s="88">
        <f>'Transmission Calculations'!L171*'Spectral Functions'!H169*'Spectral Functions'!C169</f>
        <v>34.560995145073399</v>
      </c>
      <c r="C169" s="88">
        <f>'Transmission Calculations'!L171*'Spectral Functions'!H169*'Spectral Functions'!D169</f>
        <v>12.482449265734999</v>
      </c>
      <c r="D169" s="88">
        <f>'Transmission Calculations'!L171*'Spectral Functions'!H169*'Spectral Functions'!E169</f>
        <v>0</v>
      </c>
      <c r="J169" s="13">
        <v>712</v>
      </c>
      <c r="K169" s="47">
        <f>'Transmission Calculations'!L171*'Spectral Functions'!J169*'Spectral Functions'!N169*'Spectral Functions'!C169</f>
        <v>1.7815220668452567E-2</v>
      </c>
      <c r="L169" s="47">
        <f>'Transmission Calculations'!L171*'Spectral Functions'!J169*'Spectral Functions'!N169*'Spectral Functions'!D169</f>
        <v>6.4343514189443762E-3</v>
      </c>
      <c r="M169" s="47">
        <f>'Transmission Calculations'!L171*'Spectral Functions'!J169*'Spectral Functions'!N169*'Spectral Functions'!E169</f>
        <v>0</v>
      </c>
      <c r="N169" s="47">
        <f>'Spectral Functions'!D169*'Spectral Functions'!J169*'Spectral Functions'!N169</f>
        <v>6.7544856000000011E-5</v>
      </c>
      <c r="R169" s="13">
        <v>712</v>
      </c>
      <c r="S169" s="47">
        <f>'Transmission Calculations'!L171*'Spectral Functions'!J169*'Spectral Functions'!M169*'Spectral Functions'!C169</f>
        <v>88.165547619208596</v>
      </c>
      <c r="T169" s="47">
        <f>'Transmission Calculations'!L171*'Spectral Functions'!J169*'Spectral Functions'!M169*'Spectral Functions'!D169</f>
        <v>31.842890244420282</v>
      </c>
      <c r="U169" s="47">
        <f>'Transmission Calculations'!L171*'Spectral Functions'!J169*'Spectral Functions'!M169*'Spectral Functions'!E169</f>
        <v>0</v>
      </c>
      <c r="V169" s="47">
        <f>'Spectral Functions'!D169*'Spectral Functions'!J169*'Spectral Functions'!M169</f>
        <v>0.33427198736000002</v>
      </c>
      <c r="Z169" s="13">
        <v>712</v>
      </c>
      <c r="AA169" s="47">
        <f>'Transmission Calculations'!L171*'Spectral Functions'!J169*'Spectral Functions'!L169*'Spectral Functions'!D169</f>
        <v>30.441631490961282</v>
      </c>
      <c r="AB169" s="47">
        <f>'Spectral Functions'!D169*'Spectral Functions'!J169*'Spectral Functions'!L169</f>
        <v>0.31956221872000001</v>
      </c>
      <c r="AD169" s="42">
        <v>712</v>
      </c>
      <c r="AE169" s="152">
        <f>AF169*'Transmission Calculations'!L171</f>
        <v>0</v>
      </c>
      <c r="AF169" s="92"/>
      <c r="AO169" s="42">
        <v>712</v>
      </c>
      <c r="AP169" s="113">
        <f>'Transmission Calculations'!L171*'Spectral Functions'!K169*'Spectral Functions'!C169</f>
        <v>34.464724963610799</v>
      </c>
      <c r="AQ169" s="113">
        <f>'Transmission Calculations'!L171*'Spectral Functions'!K169*'Spectral Functions'!D169</f>
        <v>12.447679212069998</v>
      </c>
      <c r="AR169" s="47">
        <f>'Transmission Calculations'!L171*'Spectral Functions'!K169*'Spectral Functions'!E169</f>
        <v>0</v>
      </c>
    </row>
    <row r="170" spans="1:44">
      <c r="A170" s="42">
        <v>714</v>
      </c>
      <c r="B170" s="88">
        <f>'Transmission Calculations'!L172*'Spectral Functions'!H170*'Spectral Functions'!C170</f>
        <v>29.00298706079284</v>
      </c>
      <c r="C170" s="88">
        <f>'Transmission Calculations'!L172*'Spectral Functions'!H170*'Spectral Functions'!D170</f>
        <v>10.471105682711311</v>
      </c>
      <c r="D170" s="88">
        <f>'Transmission Calculations'!L172*'Spectral Functions'!H170*'Spectral Functions'!E170</f>
        <v>0</v>
      </c>
      <c r="J170" s="13">
        <v>714</v>
      </c>
      <c r="K170" s="47">
        <f>'Transmission Calculations'!L172*'Spectral Functions'!J170*'Spectral Functions'!N170*'Spectral Functions'!C170</f>
        <v>1.3858578836933175E-2</v>
      </c>
      <c r="L170" s="47">
        <f>'Transmission Calculations'!L172*'Spectral Functions'!J170*'Spectral Functions'!N170*'Spectral Functions'!D170</f>
        <v>5.0034378634704248E-3</v>
      </c>
      <c r="M170" s="47">
        <f>'Transmission Calculations'!L172*'Spectral Functions'!J170*'Spectral Functions'!N170*'Spectral Functions'!E170</f>
        <v>0</v>
      </c>
      <c r="N170" s="47">
        <f>'Spectral Functions'!D170*'Spectral Functions'!J170*'Spectral Functions'!N170</f>
        <v>5.2613735999999999E-5</v>
      </c>
      <c r="R170" s="13">
        <v>714</v>
      </c>
      <c r="S170" s="47">
        <f>'Transmission Calculations'!L172*'Spectral Functions'!J170*'Spectral Functions'!M170*'Spectral Functions'!C170</f>
        <v>77.140314451079291</v>
      </c>
      <c r="T170" s="47">
        <f>'Transmission Calculations'!L172*'Spectral Functions'!J170*'Spectral Functions'!M170*'Spectral Functions'!D170</f>
        <v>27.850386007542252</v>
      </c>
      <c r="U170" s="47">
        <f>'Transmission Calculations'!L172*'Spectral Functions'!J170*'Spectral Functions'!M170*'Spectral Functions'!E170</f>
        <v>0</v>
      </c>
      <c r="V170" s="47">
        <f>'Spectral Functions'!D170*'Spectral Functions'!J170*'Spectral Functions'!M170</f>
        <v>0.29286120800999998</v>
      </c>
      <c r="Z170" s="13">
        <v>714</v>
      </c>
      <c r="AA170" s="47">
        <f>'Transmission Calculations'!L172*'Spectral Functions'!J170*'Spectral Functions'!L170*'Spectral Functions'!D170</f>
        <v>26.618289433662657</v>
      </c>
      <c r="AB170" s="47">
        <f>'Spectral Functions'!D170*'Spectral Functions'!J170*'Spectral Functions'!L170</f>
        <v>0.27990507551999999</v>
      </c>
      <c r="AD170" s="42">
        <v>714</v>
      </c>
      <c r="AE170" s="152">
        <f>AF170*'Transmission Calculations'!L172</f>
        <v>0</v>
      </c>
      <c r="AF170" s="92"/>
      <c r="AO170" s="42">
        <v>714</v>
      </c>
      <c r="AP170" s="113">
        <f>'Transmission Calculations'!L172*'Spectral Functions'!K170*'Spectral Functions'!C170</f>
        <v>29.651723208388798</v>
      </c>
      <c r="AQ170" s="113">
        <f>'Transmission Calculations'!L172*'Spectral Functions'!K170*'Spectral Functions'!D170</f>
        <v>10.705322411748</v>
      </c>
      <c r="AR170" s="47">
        <f>'Transmission Calculations'!L172*'Spectral Functions'!K170*'Spectral Functions'!E170</f>
        <v>0</v>
      </c>
    </row>
    <row r="171" spans="1:44">
      <c r="A171" s="42">
        <v>716</v>
      </c>
      <c r="B171" s="88">
        <f>'Transmission Calculations'!L173*'Spectral Functions'!H171*'Spectral Functions'!C171</f>
        <v>24.193472904292676</v>
      </c>
      <c r="C171" s="88">
        <f>'Transmission Calculations'!L173*'Spectral Functions'!H171*'Spectral Functions'!D171</f>
        <v>8.7333767604436794</v>
      </c>
      <c r="D171" s="88">
        <f>'Transmission Calculations'!L173*'Spectral Functions'!H171*'Spectral Functions'!E171</f>
        <v>0</v>
      </c>
      <c r="J171" s="13">
        <v>716</v>
      </c>
      <c r="K171" s="47">
        <f>'Transmission Calculations'!L173*'Spectral Functions'!J171*'Spectral Functions'!N171*'Spectral Functions'!C171</f>
        <v>1.0562415722020966E-2</v>
      </c>
      <c r="L171" s="47">
        <f>'Transmission Calculations'!L173*'Spectral Functions'!J171*'Spectral Functions'!N171*'Spectral Functions'!D171</f>
        <v>3.8128282105573856E-3</v>
      </c>
      <c r="M171" s="47">
        <f>'Transmission Calculations'!L173*'Spectral Functions'!J171*'Spectral Functions'!N171*'Spectral Functions'!E171</f>
        <v>0</v>
      </c>
      <c r="N171" s="47">
        <f>'Spectral Functions'!D171*'Spectral Functions'!J171*'Spectral Functions'!N171</f>
        <v>4.0303242560000009E-5</v>
      </c>
      <c r="R171" s="13">
        <v>716</v>
      </c>
      <c r="S171" s="47">
        <f>'Transmission Calculations'!L173*'Spectral Functions'!J171*'Spectral Functions'!M171*'Spectral Functions'!C171</f>
        <v>67.176963992053331</v>
      </c>
      <c r="T171" s="47">
        <f>'Transmission Calculations'!L173*'Spectral Functions'!J171*'Spectral Functions'!M171*'Spectral Functions'!D171</f>
        <v>24.249587419144969</v>
      </c>
      <c r="U171" s="47">
        <f>'Transmission Calculations'!L173*'Spectral Functions'!J171*'Spectral Functions'!M171*'Spectral Functions'!E171</f>
        <v>0</v>
      </c>
      <c r="V171" s="47">
        <f>'Spectral Functions'!D171*'Spectral Functions'!J171*'Spectral Functions'!M171</f>
        <v>0.25632862268160006</v>
      </c>
      <c r="Z171" s="13">
        <v>716</v>
      </c>
      <c r="AA171" s="47">
        <f>'Transmission Calculations'!L173*'Spectral Functions'!J171*'Spectral Functions'!L171*'Spectral Functions'!D171</f>
        <v>23.1711017253016</v>
      </c>
      <c r="AB171" s="47">
        <f>'Spectral Functions'!D171*'Spectral Functions'!J171*'Spectral Functions'!L171</f>
        <v>0.24492856264320007</v>
      </c>
      <c r="AD171" s="42">
        <v>716</v>
      </c>
      <c r="AE171" s="152">
        <f>AF171*'Transmission Calculations'!L173</f>
        <v>0</v>
      </c>
      <c r="AF171" s="92"/>
      <c r="AO171" s="42">
        <v>716</v>
      </c>
      <c r="AP171" s="113">
        <f>'Transmission Calculations'!L173*'Spectral Functions'!K171*'Spectral Functions'!C171</f>
        <v>25.382435816653196</v>
      </c>
      <c r="AQ171" s="113">
        <f>'Transmission Calculations'!L173*'Spectral Functions'!K171*'Spectral Functions'!D171</f>
        <v>9.1625694236431983</v>
      </c>
      <c r="AR171" s="47">
        <f>'Transmission Calculations'!L173*'Spectral Functions'!K171*'Spectral Functions'!E171</f>
        <v>0</v>
      </c>
    </row>
    <row r="172" spans="1:44">
      <c r="A172" s="42">
        <v>718</v>
      </c>
      <c r="B172" s="88">
        <f>'Transmission Calculations'!L174*'Spectral Functions'!H172*'Spectral Functions'!C172</f>
        <v>20.370451183054833</v>
      </c>
      <c r="C172" s="88">
        <f>'Transmission Calculations'!L174*'Spectral Functions'!H172*'Spectral Functions'!D172</f>
        <v>7.3563357001793692</v>
      </c>
      <c r="D172" s="88">
        <f>'Transmission Calculations'!L174*'Spectral Functions'!H172*'Spectral Functions'!E172</f>
        <v>0</v>
      </c>
      <c r="J172" s="13">
        <v>718</v>
      </c>
      <c r="K172" s="47">
        <f>'Transmission Calculations'!L174*'Spectral Functions'!J172*'Spectral Functions'!N172*'Spectral Functions'!C172</f>
        <v>7.9708340608209572E-3</v>
      </c>
      <c r="L172" s="47">
        <f>'Transmission Calculations'!L174*'Spectral Functions'!J172*'Spectral Functions'!N172*'Spectral Functions'!D172</f>
        <v>2.8784895648555583E-3</v>
      </c>
      <c r="M172" s="47">
        <f>'Transmission Calculations'!L174*'Spectral Functions'!J172*'Spectral Functions'!N172*'Spectral Functions'!E172</f>
        <v>0</v>
      </c>
      <c r="N172" s="47">
        <f>'Spectral Functions'!D172*'Spectral Functions'!J172*'Spectral Functions'!N172</f>
        <v>3.0223626720000002E-5</v>
      </c>
      <c r="R172" s="13">
        <v>718</v>
      </c>
      <c r="S172" s="47">
        <f>'Transmission Calculations'!L174*'Spectral Functions'!J172*'Spectral Functions'!M172*'Spectral Functions'!C172</f>
        <v>59.130304007856807</v>
      </c>
      <c r="T172" s="47">
        <f>'Transmission Calculations'!L174*'Spectral Functions'!J172*'Spectral Functions'!M172*'Spectral Functions'!D172</f>
        <v>21.353595088620153</v>
      </c>
      <c r="U172" s="47">
        <f>'Transmission Calculations'!L174*'Spectral Functions'!J172*'Spectral Functions'!M172*'Spectral Functions'!E172</f>
        <v>0</v>
      </c>
      <c r="V172" s="47">
        <f>'Spectral Functions'!D172*'Spectral Functions'!J172*'Spectral Functions'!M172</f>
        <v>0.22420893755120003</v>
      </c>
      <c r="Z172" s="13">
        <v>718</v>
      </c>
      <c r="AA172" s="47">
        <f>'Transmission Calculations'!L174*'Spectral Functions'!J172*'Spectral Functions'!L172*'Spectral Functions'!D172</f>
        <v>20.398896049609728</v>
      </c>
      <c r="AB172" s="47">
        <f>'Spectral Functions'!D172*'Spectral Functions'!J172*'Spectral Functions'!L172</f>
        <v>0.21418476802240002</v>
      </c>
      <c r="AD172" s="42">
        <v>718</v>
      </c>
      <c r="AE172" s="152">
        <f>AF172*'Transmission Calculations'!L174</f>
        <v>0</v>
      </c>
      <c r="AF172" s="92"/>
      <c r="AO172" s="42">
        <v>718</v>
      </c>
      <c r="AP172" s="113">
        <f>'Transmission Calculations'!L174*'Spectral Functions'!K172*'Spectral Functions'!C172</f>
        <v>21.636440129274643</v>
      </c>
      <c r="AQ172" s="113">
        <f>'Transmission Calculations'!L174*'Spectral Functions'!K172*'Spectral Functions'!D172</f>
        <v>7.8135194707998403</v>
      </c>
      <c r="AR172" s="47">
        <f>'Transmission Calculations'!L174*'Spectral Functions'!K172*'Spectral Functions'!E172</f>
        <v>0</v>
      </c>
    </row>
    <row r="173" spans="1:44">
      <c r="A173" s="42">
        <v>720</v>
      </c>
      <c r="B173" s="88">
        <f>'Transmission Calculations'!L175*'Spectral Functions'!H173*'Spectral Functions'!C173</f>
        <v>16.994910834893577</v>
      </c>
      <c r="C173" s="88">
        <f>'Transmission Calculations'!L175*'Spectral Functions'!H173*'Spectral Functions'!D173</f>
        <v>6.1378653480971277</v>
      </c>
      <c r="D173" s="88">
        <f>'Transmission Calculations'!L175*'Spectral Functions'!H173*'Spectral Functions'!E173</f>
        <v>0</v>
      </c>
      <c r="J173" s="13">
        <v>720</v>
      </c>
      <c r="K173" s="47">
        <f>'Transmission Calculations'!L175*'Spectral Functions'!J173*'Spectral Functions'!N173*'Spectral Functions'!C173</f>
        <v>5.8034127942704818E-3</v>
      </c>
      <c r="L173" s="47">
        <f>'Transmission Calculations'!L175*'Spectral Functions'!J173*'Spectral Functions'!N173*'Spectral Functions'!D173</f>
        <v>2.0959548794760932E-3</v>
      </c>
      <c r="M173" s="47">
        <f>'Transmission Calculations'!L175*'Spectral Functions'!J173*'Spectral Functions'!N173*'Spectral Functions'!E173</f>
        <v>0</v>
      </c>
      <c r="N173" s="47">
        <f>'Spectral Functions'!D173*'Spectral Functions'!J173*'Spectral Functions'!N173</f>
        <v>2.2025215500000003E-5</v>
      </c>
      <c r="R173" s="13">
        <v>720</v>
      </c>
      <c r="S173" s="47">
        <f>'Transmission Calculations'!L175*'Spectral Functions'!J173*'Spectral Functions'!M173*'Spectral Functions'!C173</f>
        <v>51.650373869007289</v>
      </c>
      <c r="T173" s="47">
        <f>'Transmission Calculations'!L175*'Spectral Functions'!J173*'Spectral Functions'!M173*'Spectral Functions'!D173</f>
        <v>18.653998427337228</v>
      </c>
      <c r="U173" s="47">
        <f>'Transmission Calculations'!L175*'Spectral Functions'!J173*'Spectral Functions'!M173*'Spectral Functions'!E173</f>
        <v>0</v>
      </c>
      <c r="V173" s="47">
        <f>'Spectral Functions'!D173*'Spectral Functions'!J173*'Spectral Functions'!M173</f>
        <v>0.19602441795</v>
      </c>
      <c r="Z173" s="13">
        <v>720</v>
      </c>
      <c r="AA173" s="47">
        <f>'Transmission Calculations'!L175*'Spectral Functions'!J173*'Spectral Functions'!L173*'Spectral Functions'!D173</f>
        <v>17.81561647554679</v>
      </c>
      <c r="AB173" s="47">
        <f>'Spectral Functions'!D173*'Spectral Functions'!J173*'Spectral Functions'!L173</f>
        <v>0.18721433174999999</v>
      </c>
      <c r="AD173" s="42">
        <v>720</v>
      </c>
      <c r="AE173" s="152">
        <f>AF173*'Transmission Calculations'!L175</f>
        <v>19.555710033</v>
      </c>
      <c r="AF173" s="92">
        <v>0.20549999999999999</v>
      </c>
      <c r="AO173" s="42">
        <v>720</v>
      </c>
      <c r="AP173" s="113">
        <f>'Transmission Calculations'!L175*'Spectral Functions'!K173*'Spectral Functions'!C173</f>
        <v>18.842159762730201</v>
      </c>
      <c r="AQ173" s="113">
        <f>'Transmission Calculations'!L175*'Spectral Functions'!K173*'Spectral Functions'!D173</f>
        <v>6.8050159612206</v>
      </c>
      <c r="AR173" s="47">
        <f>'Transmission Calculations'!L175*'Spectral Functions'!K173*'Spectral Functions'!E173</f>
        <v>0</v>
      </c>
    </row>
    <row r="174" spans="1:44">
      <c r="A174" s="42">
        <v>722</v>
      </c>
      <c r="B174" s="88">
        <f>'Transmission Calculations'!L176*'Spectral Functions'!H174*'Spectral Functions'!C174</f>
        <v>15.160205504608522</v>
      </c>
      <c r="C174" s="88">
        <f>'Transmission Calculations'!L176*'Spectral Functions'!H174*'Spectral Functions'!D174</f>
        <v>5.4740179210060891</v>
      </c>
      <c r="D174" s="88">
        <f>'Transmission Calculations'!L176*'Spectral Functions'!H174*'Spectral Functions'!E174</f>
        <v>0</v>
      </c>
      <c r="J174" s="13">
        <v>722</v>
      </c>
      <c r="K174" s="47">
        <f>'Transmission Calculations'!L176*'Spectral Functions'!J174*'Spectral Functions'!N174*'Spectral Functions'!C174</f>
        <v>5.0693224515230726E-3</v>
      </c>
      <c r="L174" s="47">
        <f>'Transmission Calculations'!L176*'Spectral Functions'!J174*'Spectral Functions'!N174*'Spectral Functions'!D174</f>
        <v>1.8304212260552989E-3</v>
      </c>
      <c r="M174" s="47">
        <f>'Transmission Calculations'!L176*'Spectral Functions'!J174*'Spectral Functions'!N174*'Spectral Functions'!E174</f>
        <v>0</v>
      </c>
      <c r="N174" s="47">
        <f>'Spectral Functions'!D174*'Spectral Functions'!J174*'Spectral Functions'!N174</f>
        <v>1.9270565200000002E-5</v>
      </c>
      <c r="R174" s="13">
        <v>722</v>
      </c>
      <c r="S174" s="47">
        <f>'Transmission Calculations'!L176*'Spectral Functions'!J174*'Spectral Functions'!M174*'Spectral Functions'!C174</f>
        <v>45.106831173652296</v>
      </c>
      <c r="T174" s="47">
        <f>'Transmission Calculations'!L176*'Spectral Functions'!J174*'Spectral Functions'!M174*'Spectral Functions'!D174</f>
        <v>16.287088069440046</v>
      </c>
      <c r="U174" s="47">
        <f>'Transmission Calculations'!L176*'Spectral Functions'!J174*'Spectral Functions'!M174*'Spectral Functions'!E174</f>
        <v>0</v>
      </c>
      <c r="V174" s="47">
        <f>'Spectral Functions'!D174*'Spectral Functions'!J174*'Spectral Functions'!M174</f>
        <v>0.1714694891496</v>
      </c>
      <c r="Z174" s="13">
        <v>722</v>
      </c>
      <c r="AA174" s="47">
        <f>'Transmission Calculations'!L176*'Spectral Functions'!J174*'Spectral Functions'!L174*'Spectral Functions'!D174</f>
        <v>15.551258736565819</v>
      </c>
      <c r="AB174" s="47">
        <f>'Spectral Functions'!D174*'Spectral Functions'!J174*'Spectral Functions'!L174</f>
        <v>0.16372272193920001</v>
      </c>
      <c r="AD174" s="42">
        <v>722</v>
      </c>
      <c r="AE174" s="152">
        <f>AF174*'Transmission Calculations'!L176</f>
        <v>0</v>
      </c>
      <c r="AF174" s="92"/>
      <c r="AO174" s="42">
        <v>722</v>
      </c>
      <c r="AP174" s="113">
        <f>'Transmission Calculations'!L176*'Spectral Functions'!K174*'Spectral Functions'!C174</f>
        <v>16.176241205955002</v>
      </c>
      <c r="AQ174" s="113">
        <f>'Transmission Calculations'!L176*'Spectral Functions'!K174*'Spectral Functions'!D174</f>
        <v>5.8408861429350001</v>
      </c>
      <c r="AR174" s="47">
        <f>'Transmission Calculations'!L176*'Spectral Functions'!K174*'Spectral Functions'!E174</f>
        <v>0</v>
      </c>
    </row>
    <row r="175" spans="1:44">
      <c r="A175" s="42">
        <v>724</v>
      </c>
      <c r="B175" s="88">
        <f>'Transmission Calculations'!L177*'Spectral Functions'!H175*'Spectral Functions'!C175</f>
        <v>13.481132428091785</v>
      </c>
      <c r="C175" s="88">
        <f>'Transmission Calculations'!L177*'Spectral Functions'!H175*'Spectral Functions'!D175</f>
        <v>4.8659708764118266</v>
      </c>
      <c r="D175" s="88">
        <f>'Transmission Calculations'!L177*'Spectral Functions'!H175*'Spectral Functions'!E175</f>
        <v>0</v>
      </c>
      <c r="J175" s="13">
        <v>724</v>
      </c>
      <c r="K175" s="47">
        <f>'Transmission Calculations'!L177*'Spectral Functions'!J175*'Spectral Functions'!N175*'Spectral Functions'!C175</f>
        <v>4.4169219233035455E-3</v>
      </c>
      <c r="L175" s="47">
        <f>'Transmission Calculations'!L177*'Spectral Functions'!J175*'Spectral Functions'!N175*'Spectral Functions'!D175</f>
        <v>1.5942735936184393E-3</v>
      </c>
      <c r="M175" s="47">
        <f>'Transmission Calculations'!L177*'Spectral Functions'!J175*'Spectral Functions'!N175*'Spectral Functions'!E175</f>
        <v>0</v>
      </c>
      <c r="N175" s="47">
        <f>'Spectral Functions'!D175*'Spectral Functions'!J175*'Spectral Functions'!N175</f>
        <v>1.6866396300000002E-5</v>
      </c>
      <c r="R175" s="13">
        <v>724</v>
      </c>
      <c r="S175" s="47">
        <f>'Transmission Calculations'!L177*'Spectral Functions'!J175*'Spectral Functions'!M175*'Spectral Functions'!C175</f>
        <v>39.292937429708346</v>
      </c>
      <c r="T175" s="47">
        <f>'Transmission Calculations'!L177*'Spectral Functions'!J175*'Spectral Functions'!M175*'Spectral Functions'!D175</f>
        <v>14.18265788882964</v>
      </c>
      <c r="U175" s="47">
        <f>'Transmission Calculations'!L177*'Spectral Functions'!J175*'Spectral Functions'!M175*'Spectral Functions'!E175</f>
        <v>0</v>
      </c>
      <c r="V175" s="47">
        <f>'Spectral Functions'!D175*'Spectral Functions'!J175*'Spectral Functions'!M175</f>
        <v>0.15004346148480002</v>
      </c>
      <c r="Z175" s="13">
        <v>724</v>
      </c>
      <c r="AA175" s="47">
        <f>'Transmission Calculations'!L177*'Spectral Functions'!J175*'Spectral Functions'!L175*'Spectral Functions'!D175</f>
        <v>13.538571357007788</v>
      </c>
      <c r="AB175" s="47">
        <f>'Spectral Functions'!D175*'Spectral Functions'!J175*'Spectral Functions'!L175</f>
        <v>0.14322943737960001</v>
      </c>
      <c r="AD175" s="42">
        <v>724</v>
      </c>
      <c r="AE175" s="152">
        <f>AF175*'Transmission Calculations'!L177</f>
        <v>0</v>
      </c>
      <c r="AF175" s="92"/>
      <c r="AO175" s="42">
        <v>724</v>
      </c>
      <c r="AP175" s="113">
        <f>'Transmission Calculations'!L177*'Spectral Functions'!K175*'Spectral Functions'!C175</f>
        <v>13.851488416733501</v>
      </c>
      <c r="AQ175" s="113">
        <f>'Transmission Calculations'!L177*'Spectral Functions'!K175*'Spectral Functions'!D175</f>
        <v>4.9996496652114999</v>
      </c>
      <c r="AR175" s="47">
        <f>'Transmission Calculations'!L177*'Spectral Functions'!K175*'Spectral Functions'!E175</f>
        <v>0</v>
      </c>
    </row>
    <row r="176" spans="1:44">
      <c r="A176" s="42">
        <v>726</v>
      </c>
      <c r="B176" s="88">
        <f>'Transmission Calculations'!L178*'Spectral Functions'!H176*'Spectral Functions'!C176</f>
        <v>12.040880554579147</v>
      </c>
      <c r="C176" s="88">
        <f>'Transmission Calculations'!L178*'Spectral Functions'!H176*'Spectral Functions'!D176</f>
        <v>4.3475706868967094</v>
      </c>
      <c r="D176" s="88">
        <f>'Transmission Calculations'!L178*'Spectral Functions'!H176*'Spectral Functions'!E176</f>
        <v>0</v>
      </c>
      <c r="J176" s="13">
        <v>726</v>
      </c>
      <c r="K176" s="47">
        <f>'Transmission Calculations'!L178*'Spectral Functions'!J176*'Spectral Functions'!N176*'Spectral Functions'!C176</f>
        <v>3.8677030921729751E-3</v>
      </c>
      <c r="L176" s="47">
        <f>'Transmission Calculations'!L178*'Spectral Functions'!J176*'Spectral Functions'!N176*'Spectral Functions'!D176</f>
        <v>1.3965019014125341E-3</v>
      </c>
      <c r="M176" s="47">
        <f>'Transmission Calculations'!L178*'Spectral Functions'!J176*'Spectral Functions'!N176*'Spectral Functions'!E176</f>
        <v>0</v>
      </c>
      <c r="N176" s="47">
        <f>'Spectral Functions'!D176*'Spectral Functions'!J176*'Spectral Functions'!N176</f>
        <v>1.4755098E-5</v>
      </c>
      <c r="R176" s="13">
        <v>726</v>
      </c>
      <c r="S176" s="47">
        <f>'Transmission Calculations'!L178*'Spectral Functions'!J176*'Spectral Functions'!M176*'Spectral Functions'!C176</f>
        <v>34.399351301786439</v>
      </c>
      <c r="T176" s="47">
        <f>'Transmission Calculations'!L178*'Spectral Functions'!J176*'Spectral Functions'!M176*'Spectral Functions'!D176</f>
        <v>12.420487911163079</v>
      </c>
      <c r="U176" s="47">
        <f>'Transmission Calculations'!L178*'Spectral Functions'!J176*'Spectral Functions'!M176*'Spectral Functions'!E176</f>
        <v>0</v>
      </c>
      <c r="V176" s="47">
        <f>'Spectral Functions'!D176*'Spectral Functions'!J176*'Spectral Functions'!M176</f>
        <v>0.13123184161200002</v>
      </c>
      <c r="Z176" s="13">
        <v>726</v>
      </c>
      <c r="AA176" s="47">
        <f>'Transmission Calculations'!L178*'Spectral Functions'!J176*'Spectral Functions'!L176*'Spectral Functions'!D176</f>
        <v>11.853508139189591</v>
      </c>
      <c r="AB176" s="47">
        <f>'Spectral Functions'!D176*'Spectral Functions'!J176*'Spectral Functions'!L176</f>
        <v>0.12524127182400002</v>
      </c>
      <c r="AD176" s="42">
        <v>726</v>
      </c>
      <c r="AE176" s="152">
        <f>AF176*'Transmission Calculations'!L178</f>
        <v>0</v>
      </c>
      <c r="AF176" s="92"/>
      <c r="AO176" s="42">
        <v>726</v>
      </c>
      <c r="AP176" s="113">
        <f>'Transmission Calculations'!L178*'Spectral Functions'!K176*'Spectral Functions'!C176</f>
        <v>11.92277419010496</v>
      </c>
      <c r="AQ176" s="113">
        <f>'Transmission Calculations'!L178*'Spectral Functions'!K176*'Spectral Functions'!D176</f>
        <v>4.3049263166784</v>
      </c>
      <c r="AR176" s="47">
        <f>'Transmission Calculations'!L178*'Spectral Functions'!K176*'Spectral Functions'!E176</f>
        <v>0</v>
      </c>
    </row>
    <row r="177" spans="1:44">
      <c r="A177" s="42">
        <v>728</v>
      </c>
      <c r="B177" s="88">
        <f>'Transmission Calculations'!L179*'Spectral Functions'!H177*'Spectral Functions'!C177</f>
        <v>10.758447239641752</v>
      </c>
      <c r="C177" s="88">
        <f>'Transmission Calculations'!L179*'Spectral Functions'!H177*'Spectral Functions'!D177</f>
        <v>3.8821143955092827</v>
      </c>
      <c r="D177" s="88">
        <f>'Transmission Calculations'!L179*'Spectral Functions'!H177*'Spectral Functions'!E177</f>
        <v>0</v>
      </c>
      <c r="J177" s="13">
        <v>728</v>
      </c>
      <c r="K177" s="47">
        <f>'Transmission Calculations'!L179*'Spectral Functions'!J177*'Spectral Functions'!N177*'Spectral Functions'!C177</f>
        <v>3.3898996176340403E-3</v>
      </c>
      <c r="L177" s="47">
        <f>'Transmission Calculations'!L179*'Spectral Functions'!J177*'Spectral Functions'!N177*'Spectral Functions'!D177</f>
        <v>1.2232228138330061E-3</v>
      </c>
      <c r="M177" s="47">
        <f>'Transmission Calculations'!L179*'Spectral Functions'!J177*'Spectral Functions'!N177*'Spectral Functions'!E177</f>
        <v>0</v>
      </c>
      <c r="N177" s="47">
        <f>'Spectral Functions'!D177*'Spectral Functions'!J177*'Spectral Functions'!N177</f>
        <v>1.2877601500000003E-5</v>
      </c>
      <c r="R177" s="13">
        <v>728</v>
      </c>
      <c r="S177" s="47">
        <f>'Transmission Calculations'!L179*'Spectral Functions'!J177*'Spectral Functions'!M177*'Spectral Functions'!C177</f>
        <v>30.142987400001889</v>
      </c>
      <c r="T177" s="47">
        <f>'Transmission Calculations'!L179*'Spectral Functions'!J177*'Spectral Functions'!M177*'Spectral Functions'!D177</f>
        <v>10.876897260603092</v>
      </c>
      <c r="U177" s="47">
        <f>'Transmission Calculations'!L179*'Spectral Functions'!J177*'Spectral Functions'!M177*'Spectral Functions'!E177</f>
        <v>0</v>
      </c>
      <c r="V177" s="47">
        <f>'Spectral Functions'!D177*'Spectral Functions'!J177*'Spectral Functions'!M177</f>
        <v>0.11450763253800003</v>
      </c>
      <c r="Z177" s="13">
        <v>728</v>
      </c>
      <c r="AA177" s="47">
        <f>'Transmission Calculations'!L179*'Spectral Functions'!J177*'Spectral Functions'!L177*'Spectral Functions'!D177</f>
        <v>10.377822352559226</v>
      </c>
      <c r="AB177" s="47">
        <f>'Spectral Functions'!D177*'Spectral Functions'!J177*'Spectral Functions'!L177</f>
        <v>0.10925357112600004</v>
      </c>
      <c r="AD177" s="42">
        <v>728</v>
      </c>
      <c r="AE177" s="152">
        <f>AF177*'Transmission Calculations'!L179</f>
        <v>0</v>
      </c>
      <c r="AF177" s="92"/>
      <c r="AO177" s="42">
        <v>728</v>
      </c>
      <c r="AP177" s="113">
        <f>'Transmission Calculations'!L179*'Spectral Functions'!K177*'Spectral Functions'!C177</f>
        <v>10.274477711702399</v>
      </c>
      <c r="AQ177" s="113">
        <f>'Transmission Calculations'!L179*'Spectral Functions'!K177*'Spectral Functions'!D177</f>
        <v>3.70747719837936</v>
      </c>
      <c r="AR177" s="47">
        <f>'Transmission Calculations'!L179*'Spectral Functions'!K177*'Spectral Functions'!E177</f>
        <v>0</v>
      </c>
    </row>
    <row r="178" spans="1:44">
      <c r="A178" s="42">
        <v>730</v>
      </c>
      <c r="B178" s="88">
        <f>'Transmission Calculations'!L180*'Spectral Functions'!H178*'Spectral Functions'!C178</f>
        <v>9.372141304820353</v>
      </c>
      <c r="C178" s="88">
        <f>'Transmission Calculations'!L180*'Spectral Functions'!H178*'Spectral Functions'!D178</f>
        <v>3.3843843600740162</v>
      </c>
      <c r="D178" s="88">
        <f>'Transmission Calculations'!L180*'Spectral Functions'!H178*'Spectral Functions'!E178</f>
        <v>0</v>
      </c>
      <c r="J178" s="13">
        <v>730</v>
      </c>
      <c r="K178" s="47">
        <f>'Transmission Calculations'!L180*'Spectral Functions'!J178*'Spectral Functions'!N178*'Spectral Functions'!C178</f>
        <v>2.8983183642950403E-3</v>
      </c>
      <c r="L178" s="47">
        <f>'Transmission Calculations'!L180*'Spectral Functions'!J178*'Spectral Functions'!N178*'Spectral Functions'!D178</f>
        <v>1.04661496488432E-3</v>
      </c>
      <c r="M178" s="47">
        <f>'Transmission Calculations'!L180*'Spectral Functions'!J178*'Spectral Functions'!N178*'Spectral Functions'!E178</f>
        <v>0</v>
      </c>
      <c r="N178" s="47">
        <f>'Spectral Functions'!D178*'Spectral Functions'!J178*'Spectral Functions'!N178</f>
        <v>1.123824E-5</v>
      </c>
      <c r="R178" s="13">
        <v>730</v>
      </c>
      <c r="S178" s="47">
        <f>'Transmission Calculations'!L180*'Spectral Functions'!J178*'Spectral Functions'!M178*'Spectral Functions'!C178</f>
        <v>25.766050258582908</v>
      </c>
      <c r="T178" s="47">
        <f>'Transmission Calculations'!L180*'Spectral Functions'!J178*'Spectral Functions'!M178*'Spectral Functions'!D178</f>
        <v>9.3044070378216048</v>
      </c>
      <c r="U178" s="47">
        <f>'Transmission Calculations'!L180*'Spectral Functions'!J178*'Spectral Functions'!M178*'Spectral Functions'!E178</f>
        <v>0</v>
      </c>
      <c r="V178" s="47">
        <f>'Spectral Functions'!D178*'Spectral Functions'!J178*'Spectral Functions'!M178</f>
        <v>9.9907953600000002E-2</v>
      </c>
      <c r="Z178" s="13">
        <v>730</v>
      </c>
      <c r="AA178" s="47">
        <f>'Transmission Calculations'!L180*'Spectral Functions'!J178*'Spectral Functions'!L178*'Spectral Functions'!D178</f>
        <v>8.8752949022190339</v>
      </c>
      <c r="AB178" s="47">
        <f>'Spectral Functions'!D178*'Spectral Functions'!J178*'Spectral Functions'!L178</f>
        <v>9.5300275199999993E-2</v>
      </c>
      <c r="AD178" s="42">
        <v>730</v>
      </c>
      <c r="AE178" s="152">
        <f>AF178*'Transmission Calculations'!L180</f>
        <v>9.7693152856999994</v>
      </c>
      <c r="AF178" s="92">
        <v>0.10489999999999999</v>
      </c>
      <c r="AO178" s="42">
        <v>730</v>
      </c>
      <c r="AP178" s="113">
        <f>'Transmission Calculations'!L180*'Spectral Functions'!K178*'Spectral Functions'!C178</f>
        <v>8.636484483648001</v>
      </c>
      <c r="AQ178" s="113">
        <f>'Transmission Calculations'!L180*'Spectral Functions'!K178*'Spectral Functions'!D178</f>
        <v>3.118730507984</v>
      </c>
      <c r="AR178" s="47">
        <f>'Transmission Calculations'!L180*'Spectral Functions'!K178*'Spectral Functions'!E178</f>
        <v>0</v>
      </c>
    </row>
    <row r="179" spans="1:44">
      <c r="A179" s="42">
        <v>732</v>
      </c>
      <c r="B179" s="88">
        <f>'Transmission Calculations'!L181*'Spectral Functions'!H179*'Spectral Functions'!C179</f>
        <v>8.9836369128924822</v>
      </c>
      <c r="C179" s="88">
        <f>'Transmission Calculations'!L181*'Spectral Functions'!H179*'Spectral Functions'!D179</f>
        <v>3.0168929931355351</v>
      </c>
      <c r="D179" s="88">
        <f>'Transmission Calculations'!L181*'Spectral Functions'!H179*'Spectral Functions'!E179</f>
        <v>0</v>
      </c>
      <c r="J179" s="13">
        <v>732</v>
      </c>
      <c r="K179" s="47">
        <f>'Transmission Calculations'!L181*'Spectral Functions'!J179*'Spectral Functions'!N179*'Spectral Functions'!C179</f>
        <v>2.7516875848995082E-3</v>
      </c>
      <c r="L179" s="47">
        <f>'Transmission Calculations'!L181*'Spectral Functions'!J179*'Spectral Functions'!N179*'Spectral Functions'!D179</f>
        <v>9.2407418895879001E-4</v>
      </c>
      <c r="M179" s="47">
        <f>'Transmission Calculations'!L181*'Spectral Functions'!J179*'Spectral Functions'!N179*'Spectral Functions'!E179</f>
        <v>0</v>
      </c>
      <c r="N179" s="47">
        <f>'Spectral Functions'!D179*'Spectral Functions'!J179*'Spectral Functions'!N179</f>
        <v>9.7760700000000007E-6</v>
      </c>
      <c r="R179" s="13">
        <v>732</v>
      </c>
      <c r="S179" s="47">
        <f>'Transmission Calculations'!L181*'Spectral Functions'!J179*'Spectral Functions'!M179*'Spectral Functions'!C179</f>
        <v>24.45699925458683</v>
      </c>
      <c r="T179" s="47">
        <f>'Transmission Calculations'!L181*'Spectral Functions'!J179*'Spectral Functions'!M179*'Spectral Functions'!D179</f>
        <v>8.2131713914657247</v>
      </c>
      <c r="U179" s="47">
        <f>'Transmission Calculations'!L181*'Spectral Functions'!J179*'Spectral Functions'!M179*'Spectral Functions'!E179</f>
        <v>0</v>
      </c>
      <c r="V179" s="47">
        <f>'Spectral Functions'!D179*'Spectral Functions'!J179*'Spectral Functions'!M179</f>
        <v>8.6889710160000008E-2</v>
      </c>
      <c r="Z179" s="13">
        <v>732</v>
      </c>
      <c r="AA179" s="47">
        <f>'Transmission Calculations'!L181*'Spectral Functions'!J179*'Spectral Functions'!L179*'Spectral Functions'!D179</f>
        <v>7.8324528256147037</v>
      </c>
      <c r="AB179" s="47">
        <f>'Spectral Functions'!D179*'Spectral Functions'!J179*'Spectral Functions'!L179</f>
        <v>8.2861969320000006E-2</v>
      </c>
      <c r="AD179" s="42">
        <v>732</v>
      </c>
      <c r="AE179" s="152">
        <f>AF179*'Transmission Calculations'!L181</f>
        <v>0</v>
      </c>
      <c r="AF179" s="92"/>
      <c r="AO179" s="42">
        <v>732</v>
      </c>
      <c r="AP179" s="113">
        <f>'Transmission Calculations'!L181*'Spectral Functions'!K179*'Spectral Functions'!C179</f>
        <v>8.0759876091248</v>
      </c>
      <c r="AQ179" s="113">
        <f>'Transmission Calculations'!L181*'Spectral Functions'!K179*'Spectral Functions'!D179</f>
        <v>2.7120853911239995</v>
      </c>
      <c r="AR179" s="47">
        <f>'Transmission Calculations'!L181*'Spectral Functions'!K179*'Spectral Functions'!E179</f>
        <v>0</v>
      </c>
    </row>
    <row r="180" spans="1:44">
      <c r="A180" s="42">
        <v>734</v>
      </c>
      <c r="B180" s="88">
        <f>'Transmission Calculations'!L182*'Spectral Functions'!H180*'Spectral Functions'!C180</f>
        <v>7.2997338305703918</v>
      </c>
      <c r="C180" s="88">
        <f>'Transmission Calculations'!L182*'Spectral Functions'!H180*'Spectral Functions'!D180</f>
        <v>2.6390301673716383</v>
      </c>
      <c r="D180" s="88">
        <f>'Transmission Calculations'!L182*'Spectral Functions'!H180*'Spectral Functions'!E180</f>
        <v>0</v>
      </c>
      <c r="J180" s="13">
        <v>734</v>
      </c>
      <c r="K180" s="47">
        <f>'Transmission Calculations'!L182*'Spectral Functions'!J180*'Spectral Functions'!N180*'Spectral Functions'!C180</f>
        <v>2.214927393941424E-3</v>
      </c>
      <c r="L180" s="47">
        <f>'Transmission Calculations'!L182*'Spectral Functions'!J180*'Spectral Functions'!N180*'Spectral Functions'!D180</f>
        <v>8.0074977346023609E-4</v>
      </c>
      <c r="M180" s="47">
        <f>'Transmission Calculations'!L182*'Spectral Functions'!J180*'Spectral Functions'!N180*'Spectral Functions'!E180</f>
        <v>0</v>
      </c>
      <c r="N180" s="47">
        <f>'Spectral Functions'!D180*'Spectral Functions'!J180*'Spectral Functions'!N180</f>
        <v>8.494359600000002E-6</v>
      </c>
      <c r="R180" s="13">
        <v>734</v>
      </c>
      <c r="S180" s="47">
        <f>'Transmission Calculations'!L182*'Spectral Functions'!J180*'Spectral Functions'!M180*'Spectral Functions'!C180</f>
        <v>19.681844822563495</v>
      </c>
      <c r="T180" s="47">
        <f>'Transmission Calculations'!L182*'Spectral Functions'!J180*'Spectral Functions'!M180*'Spectral Functions'!D180</f>
        <v>7.115462486967659</v>
      </c>
      <c r="U180" s="47">
        <f>'Transmission Calculations'!L182*'Spectral Functions'!J180*'Spectral Functions'!M180*'Spectral Functions'!E180</f>
        <v>0</v>
      </c>
      <c r="V180" s="47">
        <f>'Spectral Functions'!D180*'Spectral Functions'!J180*'Spectral Functions'!M180</f>
        <v>7.5480879405600013E-2</v>
      </c>
      <c r="Z180" s="13">
        <v>734</v>
      </c>
      <c r="AA180" s="47">
        <f>'Transmission Calculations'!L182*'Spectral Functions'!J180*'Spectral Functions'!L180*'Spectral Functions'!D180</f>
        <v>6.7839520807551201</v>
      </c>
      <c r="AB180" s="47">
        <f>'Spectral Functions'!D180*'Spectral Functions'!J180*'Spectral Functions'!L180</f>
        <v>7.1964214531200013E-2</v>
      </c>
      <c r="AD180" s="42">
        <v>734</v>
      </c>
      <c r="AE180" s="152">
        <f>AF180*'Transmission Calculations'!L182</f>
        <v>0</v>
      </c>
      <c r="AF180" s="92"/>
      <c r="AO180" s="42">
        <v>734</v>
      </c>
      <c r="AP180" s="113">
        <f>'Transmission Calculations'!L182*'Spectral Functions'!K180*'Spectral Functions'!C180</f>
        <v>6.4024389141791991</v>
      </c>
      <c r="AQ180" s="113">
        <f>'Transmission Calculations'!L182*'Spectral Functions'!K180*'Spectral Functions'!D180</f>
        <v>2.3146363732488</v>
      </c>
      <c r="AR180" s="47">
        <f>'Transmission Calculations'!L182*'Spectral Functions'!K180*'Spectral Functions'!E180</f>
        <v>0</v>
      </c>
    </row>
    <row r="181" spans="1:44">
      <c r="A181" s="42">
        <v>736</v>
      </c>
      <c r="B181" s="88">
        <f>'Transmission Calculations'!L183*'Spectral Functions'!H181*'Spectral Functions'!C181</f>
        <v>6.4696952125823213</v>
      </c>
      <c r="C181" s="88">
        <f>'Transmission Calculations'!L183*'Spectral Functions'!H181*'Spectral Functions'!D181</f>
        <v>2.3329902004468006</v>
      </c>
      <c r="D181" s="88">
        <f>'Transmission Calculations'!L183*'Spectral Functions'!H181*'Spectral Functions'!E181</f>
        <v>0</v>
      </c>
      <c r="J181" s="13">
        <v>736</v>
      </c>
      <c r="K181" s="47">
        <f>'Transmission Calculations'!L183*'Spectral Functions'!J181*'Spectral Functions'!N181*'Spectral Functions'!C181</f>
        <v>1.9449300573526154E-3</v>
      </c>
      <c r="L181" s="47">
        <f>'Transmission Calculations'!L183*'Spectral Functions'!J181*'Spectral Functions'!N181*'Spectral Functions'!D181</f>
        <v>7.0134722197322513E-4</v>
      </c>
      <c r="M181" s="47">
        <f>'Transmission Calculations'!L183*'Spectral Functions'!J181*'Spectral Functions'!N181*'Spectral Functions'!E181</f>
        <v>0</v>
      </c>
      <c r="N181" s="47">
        <f>'Spectral Functions'!D181*'Spectral Functions'!J181*'Spectral Functions'!N181</f>
        <v>7.3523455000000002E-6</v>
      </c>
      <c r="R181" s="13">
        <v>736</v>
      </c>
      <c r="S181" s="47">
        <f>'Transmission Calculations'!L183*'Spectral Functions'!J181*'Spectral Functions'!M181*'Spectral Functions'!C181</f>
        <v>17.278758629520635</v>
      </c>
      <c r="T181" s="47">
        <f>'Transmission Calculations'!L183*'Spectral Functions'!J181*'Spectral Functions'!M181*'Spectral Functions'!D181</f>
        <v>6.2307687200101327</v>
      </c>
      <c r="U181" s="47">
        <f>'Transmission Calculations'!L183*'Spectral Functions'!J181*'Spectral Functions'!M181*'Spectral Functions'!E181</f>
        <v>0</v>
      </c>
      <c r="V181" s="47">
        <f>'Spectral Functions'!D181*'Spectral Functions'!J181*'Spectral Functions'!M181</f>
        <v>6.5318237422000006E-2</v>
      </c>
      <c r="Z181" s="13">
        <v>736</v>
      </c>
      <c r="AA181" s="47">
        <f>'Transmission Calculations'!L183*'Spectral Functions'!J181*'Spectral Functions'!L181*'Spectral Functions'!D181</f>
        <v>5.9390082756692708</v>
      </c>
      <c r="AB181" s="47">
        <f>'Spectral Functions'!D181*'Spectral Functions'!J181*'Spectral Functions'!L181</f>
        <v>6.2259661694000011E-2</v>
      </c>
      <c r="AD181" s="42">
        <v>736</v>
      </c>
      <c r="AE181" s="152">
        <f>AF181*'Transmission Calculations'!L183</f>
        <v>0</v>
      </c>
      <c r="AF181" s="92"/>
      <c r="AO181" s="42">
        <v>736</v>
      </c>
      <c r="AP181" s="113">
        <f>'Transmission Calculations'!L183*'Spectral Functions'!K181*'Spectral Functions'!C181</f>
        <v>5.5421817620770009</v>
      </c>
      <c r="AQ181" s="113">
        <f>'Transmission Calculations'!L183*'Spectral Functions'!K181*'Spectral Functions'!D181</f>
        <v>1.9985262543550004</v>
      </c>
      <c r="AR181" s="47">
        <f>'Transmission Calculations'!L183*'Spectral Functions'!K181*'Spectral Functions'!E181</f>
        <v>0</v>
      </c>
    </row>
    <row r="182" spans="1:44">
      <c r="A182" s="42">
        <v>738</v>
      </c>
      <c r="B182" s="88">
        <f>'Transmission Calculations'!L184*'Spectral Functions'!H182*'Spectral Functions'!C182</f>
        <v>5.6013839579768616</v>
      </c>
      <c r="C182" s="88">
        <f>'Transmission Calculations'!L184*'Spectral Functions'!H182*'Spectral Functions'!D182</f>
        <v>2.0209737376470822</v>
      </c>
      <c r="D182" s="88">
        <f>'Transmission Calculations'!L184*'Spectral Functions'!H182*'Spectral Functions'!E182</f>
        <v>0</v>
      </c>
      <c r="J182" s="13">
        <v>738</v>
      </c>
      <c r="K182" s="47">
        <f>'Transmission Calculations'!L184*'Spectral Functions'!J182*'Spectral Functions'!N182*'Spectral Functions'!C182</f>
        <v>1.6685681673143952E-3</v>
      </c>
      <c r="L182" s="47">
        <f>'Transmission Calculations'!L184*'Spectral Functions'!J182*'Spectral Functions'!N182*'Spectral Functions'!D182</f>
        <v>6.0201772828197275E-4</v>
      </c>
      <c r="M182" s="47">
        <f>'Transmission Calculations'!L184*'Spectral Functions'!J182*'Spectral Functions'!N182*'Spectral Functions'!E182</f>
        <v>0</v>
      </c>
      <c r="N182" s="47">
        <f>'Spectral Functions'!D182*'Spectral Functions'!J182*'Spectral Functions'!N182</f>
        <v>6.3745886000000001E-6</v>
      </c>
      <c r="R182" s="13">
        <v>738</v>
      </c>
      <c r="S182" s="47">
        <f>'Transmission Calculations'!L184*'Spectral Functions'!J182*'Spectral Functions'!M182*'Spectral Functions'!C182</f>
        <v>14.820222462086459</v>
      </c>
      <c r="T182" s="47">
        <f>'Transmission Calculations'!L184*'Spectral Functions'!J182*'Spectral Functions'!M182*'Spectral Functions'!D182</f>
        <v>5.3471214626004828</v>
      </c>
      <c r="U182" s="47">
        <f>'Transmission Calculations'!L184*'Spectral Functions'!J182*'Spectral Functions'!M182*'Spectral Functions'!E182</f>
        <v>0</v>
      </c>
      <c r="V182" s="47">
        <f>'Spectral Functions'!D182*'Spectral Functions'!J182*'Spectral Functions'!M182</f>
        <v>5.661909594520001E-2</v>
      </c>
      <c r="Z182" s="13">
        <v>738</v>
      </c>
      <c r="AA182" s="47">
        <f>'Transmission Calculations'!L184*'Spectral Functions'!J182*'Spectral Functions'!L182*'Spectral Functions'!D182</f>
        <v>5.0954780521786178</v>
      </c>
      <c r="AB182" s="47">
        <f>'Spectral Functions'!D182*'Spectral Functions'!J182*'Spectral Functions'!L182</f>
        <v>5.3954517910400013E-2</v>
      </c>
      <c r="AD182" s="42">
        <v>738</v>
      </c>
      <c r="AE182" s="152">
        <f>AF182*'Transmission Calculations'!L184</f>
        <v>0</v>
      </c>
      <c r="AF182" s="92"/>
      <c r="AO182" s="42">
        <v>738</v>
      </c>
      <c r="AP182" s="113">
        <f>'Transmission Calculations'!L184*'Spectral Functions'!K182*'Spectral Functions'!C182</f>
        <v>4.6916045289489601</v>
      </c>
      <c r="AQ182" s="113">
        <f>'Transmission Calculations'!L184*'Spectral Functions'!K182*'Spectral Functions'!D182</f>
        <v>1.6927262282974398</v>
      </c>
      <c r="AR182" s="47">
        <f>'Transmission Calculations'!L184*'Spectral Functions'!K182*'Spectral Functions'!E182</f>
        <v>0</v>
      </c>
    </row>
    <row r="183" spans="1:44">
      <c r="A183" s="42">
        <v>740</v>
      </c>
      <c r="B183" s="88">
        <f>'Transmission Calculations'!L185*'Spectral Functions'!H183*'Spectral Functions'!C183</f>
        <v>4.9516370440182902</v>
      </c>
      <c r="C183" s="88">
        <f>'Transmission Calculations'!L185*'Spectral Functions'!H183*'Spectral Functions'!D183</f>
        <v>1.786895107189209</v>
      </c>
      <c r="D183" s="88">
        <f>'Transmission Calculations'!L185*'Spectral Functions'!H183*'Spectral Functions'!E183</f>
        <v>0</v>
      </c>
      <c r="J183" s="13">
        <v>740</v>
      </c>
      <c r="K183" s="47">
        <f>'Transmission Calculations'!L185*'Spectral Functions'!J183*'Spectral Functions'!N183*'Spectral Functions'!C183</f>
        <v>1.461790361362689E-3</v>
      </c>
      <c r="L183" s="47">
        <f>'Transmission Calculations'!L185*'Spectral Functions'!J183*'Spectral Functions'!N183*'Spectral Functions'!D183</f>
        <v>5.2751565214392696E-4</v>
      </c>
      <c r="M183" s="47">
        <f>'Transmission Calculations'!L185*'Spectral Functions'!J183*'Spectral Functions'!N183*'Spectral Functions'!E183</f>
        <v>0</v>
      </c>
      <c r="N183" s="47">
        <f>'Spectral Functions'!D183*'Spectral Functions'!J183*'Spectral Functions'!N183</f>
        <v>5.5195083000000003E-6</v>
      </c>
      <c r="R183" s="13">
        <v>740</v>
      </c>
      <c r="S183" s="47">
        <f>'Transmission Calculations'!L185*'Spectral Functions'!J183*'Spectral Functions'!M183*'Spectral Functions'!C183</f>
        <v>12.980698408900677</v>
      </c>
      <c r="T183" s="47">
        <f>'Transmission Calculations'!L185*'Spectral Functions'!J183*'Spectral Functions'!M183*'Spectral Functions'!D183</f>
        <v>4.6843389910380706</v>
      </c>
      <c r="U183" s="47">
        <f>'Transmission Calculations'!L185*'Spectral Functions'!J183*'Spectral Functions'!M183*'Spectral Functions'!E183</f>
        <v>0</v>
      </c>
      <c r="V183" s="47">
        <f>'Spectral Functions'!D183*'Spectral Functions'!J183*'Spectral Functions'!M183</f>
        <v>4.9013233704E-2</v>
      </c>
      <c r="Z183" s="13">
        <v>740</v>
      </c>
      <c r="AA183" s="47">
        <f>'Transmission Calculations'!L185*'Spectral Functions'!J183*'Spectral Functions'!L183*'Spectral Functions'!D183</f>
        <v>4.4627824171376211</v>
      </c>
      <c r="AB183" s="47">
        <f>'Spectral Functions'!D183*'Spectral Functions'!J183*'Spectral Functions'!L183</f>
        <v>4.6695040218E-2</v>
      </c>
      <c r="AD183" s="42">
        <v>740</v>
      </c>
      <c r="AE183" s="152">
        <f>AF183*'Transmission Calculations'!L185</f>
        <v>4.9315638587999997</v>
      </c>
      <c r="AF183" s="92">
        <v>5.16E-2</v>
      </c>
      <c r="AO183" s="42">
        <v>740</v>
      </c>
      <c r="AP183" s="113">
        <f>'Transmission Calculations'!L185*'Spectral Functions'!K183*'Spectral Functions'!C183</f>
        <v>4.0556378362049994</v>
      </c>
      <c r="AQ183" s="113">
        <f>'Transmission Calculations'!L185*'Spectral Functions'!K183*'Spectral Functions'!D183</f>
        <v>1.4635562626304999</v>
      </c>
      <c r="AR183" s="47">
        <f>'Transmission Calculations'!L185*'Spectral Functions'!K183*'Spectral Functions'!E183</f>
        <v>0</v>
      </c>
    </row>
    <row r="184" spans="1:44">
      <c r="A184" s="42">
        <v>742</v>
      </c>
      <c r="B184" s="88">
        <f>'Transmission Calculations'!L186*'Spectral Functions'!H184*'Spectral Functions'!C184</f>
        <v>4.1276124414536559</v>
      </c>
      <c r="C184" s="88">
        <f>'Transmission Calculations'!L186*'Spectral Functions'!H184*'Spectral Functions'!D184</f>
        <v>1.4914902099370351</v>
      </c>
      <c r="D184" s="88">
        <f>'Transmission Calculations'!L186*'Spectral Functions'!H184*'Spectral Functions'!E184</f>
        <v>0</v>
      </c>
      <c r="J184" s="13">
        <v>742</v>
      </c>
      <c r="K184" s="47">
        <f>'Transmission Calculations'!L186*'Spectral Functions'!J184*'Spectral Functions'!N184*'Spectral Functions'!C184</f>
        <v>1.263159498525505E-3</v>
      </c>
      <c r="L184" s="47">
        <f>'Transmission Calculations'!L186*'Spectral Functions'!J184*'Spectral Functions'!N184*'Spectral Functions'!D184</f>
        <v>4.5643578518148498E-4</v>
      </c>
      <c r="M184" s="47">
        <f>'Transmission Calculations'!L186*'Spectral Functions'!J184*'Spectral Functions'!N184*'Spectral Functions'!E184</f>
        <v>0</v>
      </c>
      <c r="N184" s="47">
        <f>'Spectral Functions'!D184*'Spectral Functions'!J184*'Spectral Functions'!N184</f>
        <v>4.7891465000000001E-6</v>
      </c>
      <c r="R184" s="13">
        <v>742</v>
      </c>
      <c r="S184" s="47">
        <f>'Transmission Calculations'!L186*'Spectral Functions'!J184*'Spectral Functions'!M184*'Spectral Functions'!C184</f>
        <v>11.211803708912385</v>
      </c>
      <c r="T184" s="47">
        <f>'Transmission Calculations'!L186*'Spectral Functions'!J184*'Spectral Functions'!M184*'Spectral Functions'!D184</f>
        <v>4.0513240292708614</v>
      </c>
      <c r="U184" s="47">
        <f>'Transmission Calculations'!L186*'Spectral Functions'!J184*'Spectral Functions'!M184*'Spectral Functions'!E184</f>
        <v>0</v>
      </c>
      <c r="V184" s="47">
        <f>'Spectral Functions'!D184*'Spectral Functions'!J184*'Spectral Functions'!M184</f>
        <v>4.2508464334000004E-2</v>
      </c>
      <c r="Z184" s="13">
        <v>742</v>
      </c>
      <c r="AA184" s="47">
        <f>'Transmission Calculations'!L186*'Spectral Functions'!J184*'Spectral Functions'!L184*'Spectral Functions'!D184</f>
        <v>3.8587081279242739</v>
      </c>
      <c r="AB184" s="47">
        <f>'Spectral Functions'!D184*'Spectral Functions'!J184*'Spectral Functions'!L184</f>
        <v>4.0487444510999997E-2</v>
      </c>
      <c r="AD184" s="42">
        <v>742</v>
      </c>
      <c r="AE184" s="152">
        <f>AF184*'Transmission Calculations'!L186</f>
        <v>0</v>
      </c>
      <c r="AF184" s="92"/>
      <c r="AO184" s="42">
        <v>742</v>
      </c>
      <c r="AP184" s="113">
        <f>'Transmission Calculations'!L186*'Spectral Functions'!K184*'Spectral Functions'!C184</f>
        <v>3.4580076506989998</v>
      </c>
      <c r="AQ184" s="113">
        <f>'Transmission Calculations'!L186*'Spectral Functions'!K184*'Spectral Functions'!D184</f>
        <v>1.2495321763029998</v>
      </c>
      <c r="AR184" s="47">
        <f>'Transmission Calculations'!L186*'Spectral Functions'!K184*'Spectral Functions'!E184</f>
        <v>0</v>
      </c>
    </row>
    <row r="185" spans="1:44">
      <c r="A185" s="42">
        <v>744</v>
      </c>
      <c r="B185" s="88">
        <f>'Transmission Calculations'!L187*'Spectral Functions'!H185*'Spectral Functions'!C185</f>
        <v>3.4328866728798206</v>
      </c>
      <c r="C185" s="88">
        <f>'Transmission Calculations'!L187*'Spectral Functions'!H185*'Spectral Functions'!D185</f>
        <v>1.2403985048491539</v>
      </c>
      <c r="D185" s="88">
        <f>'Transmission Calculations'!L187*'Spectral Functions'!H185*'Spectral Functions'!E185</f>
        <v>0</v>
      </c>
      <c r="J185" s="13">
        <v>744</v>
      </c>
      <c r="K185" s="47">
        <f>'Transmission Calculations'!L187*'Spectral Functions'!J185*'Spectral Functions'!N185*'Spectral Functions'!C185</f>
        <v>1.0900509615558655E-3</v>
      </c>
      <c r="L185" s="47">
        <f>'Transmission Calculations'!L187*'Spectral Functions'!J185*'Spectral Functions'!N185*'Spectral Functions'!D185</f>
        <v>3.9386607009342801E-4</v>
      </c>
      <c r="M185" s="47">
        <f>'Transmission Calculations'!L187*'Spectral Functions'!J185*'Spectral Functions'!N185*'Spectral Functions'!E185</f>
        <v>0</v>
      </c>
      <c r="N185" s="47">
        <f>'Spectral Functions'!D185*'Spectral Functions'!J185*'Spectral Functions'!N185</f>
        <v>4.1407809999999999E-6</v>
      </c>
      <c r="R185" s="13">
        <v>744</v>
      </c>
      <c r="S185" s="47">
        <f>'Transmission Calculations'!L187*'Spectral Functions'!J185*'Spectral Functions'!M185*'Spectral Functions'!C185</f>
        <v>9.6709321309236387</v>
      </c>
      <c r="T185" s="47">
        <f>'Transmission Calculations'!L187*'Spectral Functions'!J185*'Spectral Functions'!M185*'Spectral Functions'!D185</f>
        <v>3.4943797738688933</v>
      </c>
      <c r="U185" s="47">
        <f>'Transmission Calculations'!L187*'Spectral Functions'!J185*'Spectral Functions'!M185*'Spectral Functions'!E185</f>
        <v>0</v>
      </c>
      <c r="V185" s="47">
        <f>'Spectral Functions'!D185*'Spectral Functions'!J185*'Spectral Functions'!M185</f>
        <v>3.6737009032000001E-2</v>
      </c>
      <c r="Z185" s="13">
        <v>744</v>
      </c>
      <c r="AA185" s="47">
        <f>'Transmission Calculations'!L187*'Spectral Functions'!J185*'Spectral Functions'!L185*'Spectral Functions'!D185</f>
        <v>3.3273805601492792</v>
      </c>
      <c r="AB185" s="47">
        <f>'Spectral Functions'!D185*'Spectral Functions'!J185*'Spectral Functions'!L185</f>
        <v>3.4981317887999991E-2</v>
      </c>
      <c r="AD185" s="42">
        <v>744</v>
      </c>
      <c r="AE185" s="152">
        <f>AF185*'Transmission Calculations'!L187</f>
        <v>0</v>
      </c>
      <c r="AF185" s="92"/>
      <c r="AO185" s="42">
        <v>744</v>
      </c>
      <c r="AP185" s="113">
        <f>'Transmission Calculations'!L187*'Spectral Functions'!K185*'Spectral Functions'!C185</f>
        <v>2.9444515443097599</v>
      </c>
      <c r="AQ185" s="113">
        <f>'Transmission Calculations'!L187*'Spectral Functions'!K185*'Spectral Functions'!D185</f>
        <v>1.0639131556588</v>
      </c>
      <c r="AR185" s="47">
        <f>'Transmission Calculations'!L187*'Spectral Functions'!K185*'Spectral Functions'!E185</f>
        <v>0</v>
      </c>
    </row>
    <row r="186" spans="1:44">
      <c r="A186" s="42">
        <v>746</v>
      </c>
      <c r="B186" s="88">
        <f>'Transmission Calculations'!L188*'Spectral Functions'!H186*'Spectral Functions'!C186</f>
        <v>2.8985474734126147</v>
      </c>
      <c r="C186" s="88">
        <f>'Transmission Calculations'!L188*'Spectral Functions'!H186*'Spectral Functions'!D186</f>
        <v>1.0492479541765123</v>
      </c>
      <c r="D186" s="88">
        <f>'Transmission Calculations'!L188*'Spectral Functions'!H186*'Spectral Functions'!E186</f>
        <v>0</v>
      </c>
      <c r="J186" s="13">
        <v>746</v>
      </c>
      <c r="K186" s="47">
        <f>'Transmission Calculations'!L188*'Spectral Functions'!J186*'Spectral Functions'!N186*'Spectral Functions'!C186</f>
        <v>9.5594546584003499E-4</v>
      </c>
      <c r="L186" s="47">
        <f>'Transmission Calculations'!L188*'Spectral Functions'!J186*'Spectral Functions'!N186*'Spectral Functions'!D186</f>
        <v>3.4604360754390411E-4</v>
      </c>
      <c r="M186" s="47">
        <f>'Transmission Calculations'!L188*'Spectral Functions'!J186*'Spectral Functions'!N186*'Spectral Functions'!E186</f>
        <v>0</v>
      </c>
      <c r="N186" s="47">
        <f>'Spectral Functions'!D186*'Spectral Functions'!J186*'Spectral Functions'!N186</f>
        <v>3.5982880000000004E-6</v>
      </c>
      <c r="R186" s="13">
        <v>746</v>
      </c>
      <c r="S186" s="47">
        <f>'Transmission Calculations'!L188*'Spectral Functions'!J186*'Spectral Functions'!M186*'Spectral Functions'!C186</f>
        <v>8.4773243910694305</v>
      </c>
      <c r="T186" s="47">
        <f>'Transmission Calculations'!L188*'Spectral Functions'!J186*'Spectral Functions'!M186*'Spectral Functions'!D186</f>
        <v>3.0687147116993416</v>
      </c>
      <c r="U186" s="47">
        <f>'Transmission Calculations'!L188*'Spectral Functions'!J186*'Spectral Functions'!M186*'Spectral Functions'!E186</f>
        <v>0</v>
      </c>
      <c r="V186" s="47">
        <f>'Spectral Functions'!D186*'Spectral Functions'!J186*'Spectral Functions'!M186</f>
        <v>3.1909617984000008E-2</v>
      </c>
      <c r="Z186" s="13">
        <v>746</v>
      </c>
      <c r="AA186" s="47">
        <f>'Transmission Calculations'!L188*'Spectral Functions'!J186*'Spectral Functions'!L186*'Spectral Functions'!D186</f>
        <v>2.9213001348856373</v>
      </c>
      <c r="AB186" s="47">
        <f>'Spectral Functions'!D186*'Spectral Functions'!J186*'Spectral Functions'!L186</f>
        <v>3.0376747295999994E-2</v>
      </c>
      <c r="AD186" s="42">
        <v>746</v>
      </c>
      <c r="AE186" s="152">
        <f>AF186*'Transmission Calculations'!L188</f>
        <v>0</v>
      </c>
      <c r="AF186" s="92"/>
      <c r="AO186" s="42">
        <v>746</v>
      </c>
      <c r="AP186" s="113">
        <f>'Transmission Calculations'!L188*'Spectral Functions'!K186*'Spectral Functions'!C186</f>
        <v>2.5504007661600006</v>
      </c>
      <c r="AQ186" s="113">
        <f>'Transmission Calculations'!L188*'Spectral Functions'!K186*'Spectral Functions'!D186</f>
        <v>0.92322199680000028</v>
      </c>
      <c r="AR186" s="47">
        <f>'Transmission Calculations'!L188*'Spectral Functions'!K186*'Spectral Functions'!E186</f>
        <v>0</v>
      </c>
    </row>
    <row r="187" spans="1:44">
      <c r="A187" s="42">
        <v>748</v>
      </c>
      <c r="B187" s="88">
        <f>'Transmission Calculations'!L189*'Spectral Functions'!H187*'Spectral Functions'!C187</f>
        <v>2.3765928215490848</v>
      </c>
      <c r="C187" s="88">
        <f>'Transmission Calculations'!L189*'Spectral Functions'!H187*'Spectral Functions'!D187</f>
        <v>0.85631804014040136</v>
      </c>
      <c r="D187" s="88">
        <f>'Transmission Calculations'!L189*'Spectral Functions'!H187*'Spectral Functions'!E187</f>
        <v>0</v>
      </c>
      <c r="J187" s="13">
        <v>748</v>
      </c>
      <c r="K187" s="47">
        <f>'Transmission Calculations'!L189*'Spectral Functions'!J187*'Spectral Functions'!N187*'Spectral Functions'!C187</f>
        <v>8.1496507084641637E-4</v>
      </c>
      <c r="L187" s="47">
        <f>'Transmission Calculations'!L189*'Spectral Functions'!J187*'Spectral Functions'!N187*'Spectral Functions'!D187</f>
        <v>2.9364276704126752E-4</v>
      </c>
      <c r="M187" s="47">
        <f>'Transmission Calculations'!L189*'Spectral Functions'!J187*'Spectral Functions'!N187*'Spectral Functions'!E187</f>
        <v>0</v>
      </c>
      <c r="N187" s="47">
        <f>'Spectral Functions'!D187*'Spectral Functions'!J187*'Spectral Functions'!N187</f>
        <v>3.1181237999999998E-6</v>
      </c>
      <c r="R187" s="13">
        <v>748</v>
      </c>
      <c r="S187" s="47">
        <f>'Transmission Calculations'!L189*'Spectral Functions'!J187*'Spectral Functions'!M187*'Spectral Functions'!C187</f>
        <v>7.2238503879826377</v>
      </c>
      <c r="T187" s="47">
        <f>'Transmission Calculations'!L189*'Spectral Functions'!J187*'Spectral Functions'!M187*'Spectral Functions'!D187</f>
        <v>2.6028494870537964</v>
      </c>
      <c r="U187" s="47">
        <f>'Transmission Calculations'!L189*'Spectral Functions'!J187*'Spectral Functions'!M187*'Spectral Functions'!E187</f>
        <v>0</v>
      </c>
      <c r="V187" s="47">
        <f>'Spectral Functions'!D187*'Spectral Functions'!J187*'Spectral Functions'!M187</f>
        <v>2.7639049363200004E-2</v>
      </c>
      <c r="Z187" s="13">
        <v>748</v>
      </c>
      <c r="AA187" s="47">
        <f>'Transmission Calculations'!L189*'Spectral Functions'!J187*'Spectral Functions'!L187*'Spectral Functions'!D187</f>
        <v>2.4771703827601321</v>
      </c>
      <c r="AB187" s="47">
        <f>'Spectral Functions'!D187*'Spectral Functions'!J187*'Spectral Functions'!L187</f>
        <v>2.6304492376799989E-2</v>
      </c>
      <c r="AD187" s="42">
        <v>748</v>
      </c>
      <c r="AE187" s="152">
        <f>AF187*'Transmission Calculations'!L189</f>
        <v>0</v>
      </c>
      <c r="AF187" s="92"/>
      <c r="AO187" s="42">
        <v>748</v>
      </c>
      <c r="AP187" s="113">
        <f>'Transmission Calculations'!L189*'Spectral Functions'!K187*'Spectral Functions'!C187</f>
        <v>2.1496659993735991</v>
      </c>
      <c r="AQ187" s="113">
        <f>'Transmission Calculations'!L189*'Spectral Functions'!K187*'Spectral Functions'!D187</f>
        <v>0.7745532843695998</v>
      </c>
      <c r="AR187" s="47">
        <f>'Transmission Calculations'!L189*'Spectral Functions'!K187*'Spectral Functions'!E187</f>
        <v>0</v>
      </c>
    </row>
    <row r="188" spans="1:44">
      <c r="A188" s="42">
        <v>750</v>
      </c>
      <c r="B188" s="88">
        <f>'Transmission Calculations'!L190*'Spectral Functions'!H188*'Spectral Functions'!C188</f>
        <v>2.0078963757114558</v>
      </c>
      <c r="C188" s="88">
        <f>'Transmission Calculations'!L190*'Spectral Functions'!H188*'Spectral Functions'!D188</f>
        <v>0.72574567796799616</v>
      </c>
      <c r="D188" s="88">
        <f>'Transmission Calculations'!L190*'Spectral Functions'!H188*'Spectral Functions'!E188</f>
        <v>0</v>
      </c>
      <c r="J188" s="13">
        <v>750</v>
      </c>
      <c r="K188" s="47">
        <f>'Transmission Calculations'!L190*'Spectral Functions'!J188*'Spectral Functions'!N188*'Spectral Functions'!C188</f>
        <v>7.1673710549560005E-4</v>
      </c>
      <c r="L188" s="47">
        <f>'Transmission Calculations'!L190*'Spectral Functions'!J188*'Spectral Functions'!N188*'Spectral Functions'!D188</f>
        <v>2.5906160439600004E-4</v>
      </c>
      <c r="M188" s="47">
        <f>'Transmission Calculations'!L190*'Spectral Functions'!J188*'Spectral Functions'!N188*'Spectral Functions'!E188</f>
        <v>0</v>
      </c>
      <c r="N188" s="47">
        <f>'Spectral Functions'!D188*'Spectral Functions'!J188*'Spectral Functions'!N188</f>
        <v>2.7240000000000001E-6</v>
      </c>
      <c r="R188" s="13">
        <v>750</v>
      </c>
      <c r="S188" s="47">
        <f>'Transmission Calculations'!L190*'Spectral Functions'!J188*'Spectral Functions'!M188*'Spectral Functions'!C188</f>
        <v>6.3502907546910157</v>
      </c>
      <c r="T188" s="47">
        <f>'Transmission Calculations'!L190*'Spectral Functions'!J188*'Spectral Functions'!M188*'Spectral Functions'!D188</f>
        <v>2.29528581494856</v>
      </c>
      <c r="U188" s="47">
        <f>'Transmission Calculations'!L190*'Spectral Functions'!J188*'Spectral Functions'!M188*'Spectral Functions'!E188</f>
        <v>0</v>
      </c>
      <c r="V188" s="47">
        <f>'Spectral Functions'!D188*'Spectral Functions'!J188*'Spectral Functions'!M188</f>
        <v>2.4134639999999999E-2</v>
      </c>
      <c r="Z188" s="13">
        <v>750</v>
      </c>
      <c r="AA188" s="47">
        <f>'Transmission Calculations'!L190*'Spectral Functions'!J188*'Spectral Functions'!L188*'Spectral Functions'!D188</f>
        <v>2.18388932505828</v>
      </c>
      <c r="AB188" s="47">
        <f>'Spectral Functions'!D188*'Spectral Functions'!J188*'Spectral Functions'!L188</f>
        <v>2.2963319999999999E-2</v>
      </c>
      <c r="AD188" s="42">
        <v>750</v>
      </c>
      <c r="AE188" s="152">
        <f>AF188*'Transmission Calculations'!L190</f>
        <v>2.4156258265999999</v>
      </c>
      <c r="AF188" s="92">
        <v>2.5399999999999999E-2</v>
      </c>
      <c r="AO188" s="42">
        <v>750</v>
      </c>
      <c r="AP188" s="113">
        <f>'Transmission Calculations'!L190*'Spectral Functions'!K188*'Spectral Functions'!C188</f>
        <v>1.8691998522176003</v>
      </c>
      <c r="AQ188" s="113">
        <f>'Transmission Calculations'!L190*'Spectral Functions'!K188*'Spectral Functions'!D188</f>
        <v>0.67561440441600007</v>
      </c>
      <c r="AR188" s="47">
        <f>'Transmission Calculations'!L190*'Spectral Functions'!K188*'Spectral Functions'!E188</f>
        <v>0</v>
      </c>
    </row>
    <row r="189" spans="1:44">
      <c r="A189" s="42">
        <v>752</v>
      </c>
      <c r="B189" s="88">
        <f>'Transmission Calculations'!L191*'Spectral Functions'!H189*'Spectral Functions'!C189</f>
        <v>1.6641912031347454</v>
      </c>
      <c r="C189" s="88">
        <f>'Transmission Calculations'!L191*'Spectral Functions'!H189*'Spectral Functions'!D189</f>
        <v>0.59887849524572156</v>
      </c>
      <c r="D189" s="88">
        <f>'Transmission Calculations'!L191*'Spectral Functions'!H189*'Spectral Functions'!E189</f>
        <v>0</v>
      </c>
      <c r="J189" s="13">
        <v>752</v>
      </c>
      <c r="K189" s="47">
        <f>'Transmission Calculations'!L191*'Spectral Functions'!J189*'Spectral Functions'!N189*'Spectral Functions'!C189</f>
        <v>6.3084724865944321E-4</v>
      </c>
      <c r="L189" s="47">
        <f>'Transmission Calculations'!L191*'Spectral Functions'!J189*'Spectral Functions'!N189*'Spectral Functions'!D189</f>
        <v>2.2701769501931522E-4</v>
      </c>
      <c r="M189" s="47">
        <f>'Transmission Calculations'!L191*'Spectral Functions'!J189*'Spectral Functions'!N189*'Spectral Functions'!E189</f>
        <v>0</v>
      </c>
      <c r="N189" s="47">
        <f>'Spectral Functions'!D189*'Spectral Functions'!J189*'Spectral Functions'!N189</f>
        <v>2.3716263999999999E-6</v>
      </c>
      <c r="R189" s="13">
        <v>752</v>
      </c>
      <c r="S189" s="47">
        <f>'Transmission Calculations'!L191*'Spectral Functions'!J189*'Spectral Functions'!M189*'Spectral Functions'!C189</f>
        <v>5.5867832341280295</v>
      </c>
      <c r="T189" s="47">
        <f>'Transmission Calculations'!L191*'Spectral Functions'!J189*'Spectral Functions'!M189*'Spectral Functions'!D189</f>
        <v>2.0104687070910554</v>
      </c>
      <c r="U189" s="47">
        <f>'Transmission Calculations'!L191*'Spectral Functions'!J189*'Spectral Functions'!M189*'Spectral Functions'!E189</f>
        <v>0</v>
      </c>
      <c r="V189" s="47">
        <f>'Spectral Functions'!D189*'Spectral Functions'!J189*'Spectral Functions'!M189</f>
        <v>2.1003123398399999E-2</v>
      </c>
      <c r="Z189" s="13">
        <v>752</v>
      </c>
      <c r="AA189" s="47">
        <f>'Transmission Calculations'!L191*'Spectral Functions'!J189*'Spectral Functions'!L189*'Spectral Functions'!D189</f>
        <v>1.9123970628427109</v>
      </c>
      <c r="AB189" s="47">
        <f>'Spectral Functions'!D189*'Spectral Functions'!J189*'Spectral Functions'!L189</f>
        <v>1.9978580793599997E-2</v>
      </c>
      <c r="AD189" s="42">
        <v>752</v>
      </c>
      <c r="AE189" s="152">
        <f>AF189*'Transmission Calculations'!L191</f>
        <v>0</v>
      </c>
      <c r="AF189" s="92"/>
      <c r="AO189" s="42">
        <v>752</v>
      </c>
      <c r="AP189" s="113">
        <f>'Transmission Calculations'!L191*'Spectral Functions'!K189*'Spectral Functions'!C189</f>
        <v>1.6299489956198399</v>
      </c>
      <c r="AQ189" s="113">
        <f>'Transmission Calculations'!L191*'Spectral Functions'!K189*'Spectral Functions'!D189</f>
        <v>0.58655603994623995</v>
      </c>
      <c r="AR189" s="47">
        <f>'Transmission Calculations'!L191*'Spectral Functions'!K189*'Spectral Functions'!E189</f>
        <v>0</v>
      </c>
    </row>
    <row r="190" spans="1:44">
      <c r="A190" s="42">
        <v>754</v>
      </c>
      <c r="B190" s="88">
        <f>'Transmission Calculations'!L192*'Spectral Functions'!H190*'Spectral Functions'!C190</f>
        <v>1.3654403452786823</v>
      </c>
      <c r="C190" s="88">
        <f>'Transmission Calculations'!L192*'Spectral Functions'!H190*'Spectral Functions'!D190</f>
        <v>0.49307568023952419</v>
      </c>
      <c r="D190" s="88">
        <f>'Transmission Calculations'!L192*'Spectral Functions'!H190*'Spectral Functions'!E190</f>
        <v>0</v>
      </c>
      <c r="J190" s="13">
        <v>754</v>
      </c>
      <c r="K190" s="47">
        <f>'Transmission Calculations'!L192*'Spectral Functions'!J190*'Spectral Functions'!N190*'Spectral Functions'!C190</f>
        <v>5.5142722994420881E-4</v>
      </c>
      <c r="L190" s="47">
        <f>'Transmission Calculations'!L192*'Spectral Functions'!J190*'Spectral Functions'!N190*'Spectral Functions'!D190</f>
        <v>1.9912649970207542E-4</v>
      </c>
      <c r="M190" s="47">
        <f>'Transmission Calculations'!L192*'Spectral Functions'!J190*'Spectral Functions'!N190*'Spectral Functions'!E190</f>
        <v>0</v>
      </c>
      <c r="N190" s="47">
        <f>'Spectral Functions'!D190*'Spectral Functions'!J190*'Spectral Functions'!N190</f>
        <v>2.0845643E-6</v>
      </c>
      <c r="R190" s="13">
        <v>754</v>
      </c>
      <c r="S190" s="47">
        <f>'Transmission Calculations'!L192*'Spectral Functions'!J190*'Spectral Functions'!M190*'Spectral Functions'!C190</f>
        <v>4.8812338394661365</v>
      </c>
      <c r="T190" s="47">
        <f>'Transmission Calculations'!L192*'Spectral Functions'!J190*'Spectral Functions'!M190*'Spectral Functions'!D190</f>
        <v>1.7626677753627715</v>
      </c>
      <c r="U190" s="47">
        <f>'Transmission Calculations'!L192*'Spectral Functions'!J190*'Spectral Functions'!M190*'Spectral Functions'!E190</f>
        <v>0</v>
      </c>
      <c r="V190" s="47">
        <f>'Spectral Functions'!D190*'Spectral Functions'!J190*'Spectral Functions'!M190</f>
        <v>1.8452563183600001E-2</v>
      </c>
      <c r="Z190" s="13">
        <v>754</v>
      </c>
      <c r="AA190" s="47">
        <f>'Transmission Calculations'!L192*'Spectral Functions'!J190*'Spectral Functions'!L190*'Spectral Functions'!D190</f>
        <v>1.6762468744920704</v>
      </c>
      <c r="AB190" s="47">
        <f>'Spectral Functions'!D190*'Spectral Functions'!J190*'Spectral Functions'!L190</f>
        <v>1.75478622774E-2</v>
      </c>
      <c r="AD190" s="42">
        <v>754</v>
      </c>
      <c r="AE190" s="152">
        <f>AF190*'Transmission Calculations'!L192</f>
        <v>0</v>
      </c>
      <c r="AF190" s="92"/>
      <c r="AO190" s="42">
        <v>754</v>
      </c>
      <c r="AP190" s="113">
        <f>'Transmission Calculations'!L192*'Spectral Functions'!K190*'Spectral Functions'!C190</f>
        <v>1.41158900280384</v>
      </c>
      <c r="AQ190" s="113">
        <f>'Transmission Calculations'!L192*'Spectral Functions'!K190*'Spectral Functions'!D190</f>
        <v>0.50974047323472005</v>
      </c>
      <c r="AR190" s="47">
        <f>'Transmission Calculations'!L192*'Spectral Functions'!K190*'Spectral Functions'!E190</f>
        <v>0</v>
      </c>
    </row>
    <row r="191" spans="1:44">
      <c r="A191" s="42">
        <v>756</v>
      </c>
      <c r="B191" s="88">
        <f>'Transmission Calculations'!L193*'Spectral Functions'!H191*'Spectral Functions'!C191</f>
        <v>1.0933008211601281</v>
      </c>
      <c r="C191" s="88">
        <f>'Transmission Calculations'!L193*'Spectral Functions'!H191*'Spectral Functions'!D191</f>
        <v>0.39438705420844794</v>
      </c>
      <c r="D191" s="88">
        <f>'Transmission Calculations'!L193*'Spectral Functions'!H191*'Spectral Functions'!E191</f>
        <v>0</v>
      </c>
      <c r="J191" s="13">
        <v>756</v>
      </c>
      <c r="K191" s="47">
        <f>'Transmission Calculations'!L193*'Spectral Functions'!J191*'Spectral Functions'!N191*'Spectral Functions'!C191</f>
        <v>4.8111257983793766E-4</v>
      </c>
      <c r="L191" s="47">
        <f>'Transmission Calculations'!L193*'Spectral Functions'!J191*'Spectral Functions'!N191*'Spectral Functions'!D191</f>
        <v>1.7355202651688159E-4</v>
      </c>
      <c r="M191" s="47">
        <f>'Transmission Calculations'!L193*'Spectral Functions'!J191*'Spectral Functions'!N191*'Spectral Functions'!E191</f>
        <v>0</v>
      </c>
      <c r="N191" s="47">
        <f>'Spectral Functions'!D191*'Spectral Functions'!J191*'Spectral Functions'!N191</f>
        <v>1.8177584000000001E-6</v>
      </c>
      <c r="R191" s="13">
        <v>756</v>
      </c>
      <c r="S191" s="47">
        <f>'Transmission Calculations'!L193*'Spectral Functions'!J191*'Spectral Functions'!M191*'Spectral Functions'!C191</f>
        <v>4.2568841064060727</v>
      </c>
      <c r="T191" s="47">
        <f>'Transmission Calculations'!L193*'Spectral Functions'!J191*'Spectral Functions'!M191*'Spectral Functions'!D191</f>
        <v>1.5355883306213687</v>
      </c>
      <c r="U191" s="47">
        <f>'Transmission Calculations'!L193*'Spectral Functions'!J191*'Spectral Functions'!M191*'Spectral Functions'!E191</f>
        <v>0</v>
      </c>
      <c r="V191" s="47">
        <f>'Spectral Functions'!D191*'Spectral Functions'!J191*'Spectral Functions'!M191</f>
        <v>1.6083526323200002E-2</v>
      </c>
      <c r="Z191" s="13">
        <v>756</v>
      </c>
      <c r="AA191" s="47">
        <f>'Transmission Calculations'!L193*'Spectral Functions'!J191*'Spectral Functions'!L191*'Spectral Functions'!D191</f>
        <v>1.4599196470600078</v>
      </c>
      <c r="AB191" s="47">
        <f>'Spectral Functions'!D191*'Spectral Functions'!J191*'Spectral Functions'!L191</f>
        <v>1.5290983660799997E-2</v>
      </c>
      <c r="AD191" s="42">
        <v>756</v>
      </c>
      <c r="AE191" s="152">
        <f>AF191*'Transmission Calculations'!L193</f>
        <v>0</v>
      </c>
      <c r="AF191" s="92"/>
      <c r="AO191" s="42">
        <v>756</v>
      </c>
      <c r="AP191" s="113">
        <f>'Transmission Calculations'!L193*'Spectral Functions'!K191*'Spectral Functions'!C191</f>
        <v>1.2215161025890202</v>
      </c>
      <c r="AQ191" s="113">
        <f>'Transmission Calculations'!L193*'Spectral Functions'!K191*'Spectral Functions'!D191</f>
        <v>0.44063822878782</v>
      </c>
      <c r="AR191" s="47">
        <f>'Transmission Calculations'!L193*'Spectral Functions'!K191*'Spectral Functions'!E191</f>
        <v>0</v>
      </c>
    </row>
    <row r="192" spans="1:44">
      <c r="A192" s="42">
        <v>758</v>
      </c>
      <c r="B192" s="88">
        <f>'Transmission Calculations'!L194*'Spectral Functions'!H192*'Spectral Functions'!C192</f>
        <v>0.90431267661887127</v>
      </c>
      <c r="C192" s="88">
        <f>'Transmission Calculations'!L194*'Spectral Functions'!H192*'Spectral Functions'!D192</f>
        <v>0.32668887270524666</v>
      </c>
      <c r="D192" s="88">
        <f>'Transmission Calculations'!L194*'Spectral Functions'!H192*'Spectral Functions'!E192</f>
        <v>0</v>
      </c>
      <c r="J192" s="13">
        <v>758</v>
      </c>
      <c r="K192" s="47">
        <f>'Transmission Calculations'!L194*'Spectral Functions'!J192*'Spectral Functions'!N192*'Spectral Functions'!C192</f>
        <v>4.1922308280405298E-4</v>
      </c>
      <c r="L192" s="47">
        <f>'Transmission Calculations'!L194*'Spectral Functions'!J192*'Spectral Functions'!N192*'Spectral Functions'!D192</f>
        <v>1.5144708226952699E-4</v>
      </c>
      <c r="M192" s="47">
        <f>'Transmission Calculations'!L194*'Spectral Functions'!J192*'Spectral Functions'!N192*'Spectral Functions'!E192</f>
        <v>0</v>
      </c>
      <c r="N192" s="47">
        <f>'Spectral Functions'!D192*'Spectral Functions'!J192*'Spectral Functions'!N192</f>
        <v>1.5946590000000001E-6</v>
      </c>
      <c r="R192" s="13">
        <v>758</v>
      </c>
      <c r="S192" s="47">
        <f>'Transmission Calculations'!L194*'Spectral Functions'!J192*'Spectral Functions'!M192*'Spectral Functions'!C192</f>
        <v>3.7076089443190456</v>
      </c>
      <c r="T192" s="47">
        <f>'Transmission Calculations'!L194*'Spectral Functions'!J192*'Spectral Functions'!M192*'Spectral Functions'!D192</f>
        <v>1.339397995591697</v>
      </c>
      <c r="U192" s="47">
        <f>'Transmission Calculations'!L194*'Spectral Functions'!J192*'Spectral Functions'!M192*'Spectral Functions'!E192</f>
        <v>0</v>
      </c>
      <c r="V192" s="47">
        <f>'Spectral Functions'!D192*'Spectral Functions'!J192*'Spectral Functions'!M192</f>
        <v>1.4103164196000002E-2</v>
      </c>
      <c r="Z192" s="13">
        <v>758</v>
      </c>
      <c r="AA192" s="47">
        <f>'Transmission Calculations'!L194*'Spectral Functions'!J192*'Spectral Functions'!L192*'Spectral Functions'!D192</f>
        <v>1.2730641735576436</v>
      </c>
      <c r="AB192" s="47">
        <f>'Spectral Functions'!D192*'Spectral Functions'!J192*'Spectral Functions'!L192</f>
        <v>1.3404703553999997E-2</v>
      </c>
      <c r="AD192" s="42">
        <v>758</v>
      </c>
      <c r="AE192" s="152">
        <f>AF192*'Transmission Calculations'!L194</f>
        <v>0</v>
      </c>
      <c r="AF192" s="92"/>
      <c r="AO192" s="42">
        <v>758</v>
      </c>
      <c r="AP192" s="113">
        <f>'Transmission Calculations'!L194*'Spectral Functions'!K192*'Spectral Functions'!C192</f>
        <v>1.06950772195608</v>
      </c>
      <c r="AQ192" s="113">
        <f>'Transmission Calculations'!L194*'Spectral Functions'!K192*'Spectral Functions'!D192</f>
        <v>0.38636666395271996</v>
      </c>
      <c r="AR192" s="47">
        <f>'Transmission Calculations'!L194*'Spectral Functions'!K192*'Spectral Functions'!E192</f>
        <v>0</v>
      </c>
    </row>
    <row r="193" spans="1:44">
      <c r="A193" s="42">
        <v>760</v>
      </c>
      <c r="B193" s="88">
        <f>'Transmission Calculations'!L195*'Spectral Functions'!H193*'Spectral Functions'!C193</f>
        <v>0.74037863998432518</v>
      </c>
      <c r="C193" s="88">
        <f>'Transmission Calculations'!L195*'Spectral Functions'!H193*'Spectral Functions'!D193</f>
        <v>0.26760673734373203</v>
      </c>
      <c r="D193" s="88">
        <f>'Transmission Calculations'!L195*'Spectral Functions'!H193*'Spectral Functions'!E193</f>
        <v>0</v>
      </c>
      <c r="J193" s="13">
        <v>760</v>
      </c>
      <c r="K193" s="47">
        <f>'Transmission Calculations'!L195*'Spectral Functions'!J193*'Spectral Functions'!N193*'Spectral Functions'!C193</f>
        <v>3.7022760042388904E-4</v>
      </c>
      <c r="L193" s="47">
        <f>'Transmission Calculations'!L195*'Spectral Functions'!J193*'Spectral Functions'!N193*'Spectral Functions'!D193</f>
        <v>1.3381720497249004E-4</v>
      </c>
      <c r="M193" s="47">
        <f>'Transmission Calculations'!L195*'Spectral Functions'!J193*'Spectral Functions'!N193*'Spectral Functions'!E193</f>
        <v>0</v>
      </c>
      <c r="N193" s="47">
        <f>'Spectral Functions'!D193*'Spectral Functions'!J193*'Spectral Functions'!N193</f>
        <v>1.3926900000000002E-6</v>
      </c>
      <c r="R193" s="13">
        <v>760</v>
      </c>
      <c r="S193" s="47">
        <f>'Transmission Calculations'!L195*'Spectral Functions'!J193*'Spectral Functions'!M193*'Spectral Functions'!C193</f>
        <v>3.2728119877471791</v>
      </c>
      <c r="T193" s="47">
        <f>'Transmission Calculations'!L195*'Spectral Functions'!J193*'Spectral Functions'!M193*'Spectral Functions'!D193</f>
        <v>1.1829440919568117</v>
      </c>
      <c r="U193" s="47">
        <f>'Transmission Calculations'!L195*'Spectral Functions'!J193*'Spectral Functions'!M193*'Spectral Functions'!E193</f>
        <v>0</v>
      </c>
      <c r="V193" s="47">
        <f>'Spectral Functions'!D193*'Spectral Functions'!J193*'Spectral Functions'!M193</f>
        <v>1.23113796E-2</v>
      </c>
      <c r="Z193" s="13">
        <v>760</v>
      </c>
      <c r="AA193" s="47">
        <f>'Transmission Calculations'!L195*'Spectral Functions'!J193*'Spectral Functions'!L193*'Spectral Functions'!D193</f>
        <v>1.124064521768916</v>
      </c>
      <c r="AB193" s="47">
        <f>'Spectral Functions'!D193*'Spectral Functions'!J193*'Spectral Functions'!L193</f>
        <v>1.1698596E-2</v>
      </c>
      <c r="AD193" s="42">
        <v>760</v>
      </c>
      <c r="AE193" s="152">
        <f>AF193*'Transmission Calculations'!L195</f>
        <v>1.2395019308999999</v>
      </c>
      <c r="AF193" s="92">
        <v>1.29E-2</v>
      </c>
      <c r="AO193" s="42">
        <v>760</v>
      </c>
      <c r="AP193" s="113">
        <f>'Transmission Calculations'!L195*'Spectral Functions'!K193*'Spectral Functions'!C193</f>
        <v>0.92670545137659999</v>
      </c>
      <c r="AQ193" s="113">
        <f>'Transmission Calculations'!L195*'Spectral Functions'!K193*'Spectral Functions'!D193</f>
        <v>0.33495377760600004</v>
      </c>
      <c r="AR193" s="47">
        <f>'Transmission Calculations'!L195*'Spectral Functions'!K193*'Spectral Functions'!E193</f>
        <v>0</v>
      </c>
    </row>
    <row r="194" spans="1:44">
      <c r="A194" s="42">
        <v>762</v>
      </c>
      <c r="B194" s="88">
        <f>'Transmission Calculations'!L196*'Spectral Functions'!H194*'Spectral Functions'!C194</f>
        <v>0.69829787696574996</v>
      </c>
      <c r="C194" s="88">
        <f>'Transmission Calculations'!L196*'Spectral Functions'!H194*'Spectral Functions'!D194</f>
        <v>0.25042406622219998</v>
      </c>
      <c r="D194" s="88">
        <f>'Transmission Calculations'!L196*'Spectral Functions'!H194*'Spectral Functions'!E194</f>
        <v>0</v>
      </c>
      <c r="J194" s="13">
        <v>762</v>
      </c>
      <c r="K194" s="47">
        <f>'Transmission Calculations'!L196*'Spectral Functions'!J194*'Spectral Functions'!N194*'Spectral Functions'!C194</f>
        <v>3.2236791858149998E-4</v>
      </c>
      <c r="L194" s="47">
        <f>'Transmission Calculations'!L196*'Spectral Functions'!J194*'Spectral Functions'!N194*'Spectral Functions'!D194</f>
        <v>1.1560780528439999E-4</v>
      </c>
      <c r="M194" s="47">
        <f>'Transmission Calculations'!L196*'Spectral Functions'!J194*'Spectral Functions'!N194*'Spectral Functions'!E194</f>
        <v>0</v>
      </c>
      <c r="N194" s="47">
        <f>'Spectral Functions'!D194*'Spectral Functions'!J194*'Spectral Functions'!N194</f>
        <v>1.2121824000000001E-6</v>
      </c>
      <c r="R194" s="13">
        <v>762</v>
      </c>
      <c r="S194" s="47">
        <f>'Transmission Calculations'!L196*'Spectral Functions'!J194*'Spectral Functions'!M194*'Spectral Functions'!C194</f>
        <v>2.8484429285861341</v>
      </c>
      <c r="T194" s="47">
        <f>'Transmission Calculations'!L196*'Spectral Functions'!J194*'Spectral Functions'!M194*'Spectral Functions'!D194</f>
        <v>1.0215105674929583</v>
      </c>
      <c r="U194" s="47">
        <f>'Transmission Calculations'!L196*'Spectral Functions'!J194*'Spectral Functions'!M194*'Spectral Functions'!E194</f>
        <v>0</v>
      </c>
      <c r="V194" s="47">
        <f>'Spectral Functions'!D194*'Spectral Functions'!J194*'Spectral Functions'!M194</f>
        <v>1.07108436864E-2</v>
      </c>
      <c r="Z194" s="13">
        <v>762</v>
      </c>
      <c r="AA194" s="47">
        <f>'Transmission Calculations'!L196*'Spectral Functions'!J194*'Spectral Functions'!L194*'Spectral Functions'!D194</f>
        <v>0.9701807019466846</v>
      </c>
      <c r="AB194" s="47">
        <f>'Spectral Functions'!D194*'Spectral Functions'!J194*'Spectral Functions'!L194</f>
        <v>1.0172634700799999E-2</v>
      </c>
      <c r="AD194" s="42">
        <v>762</v>
      </c>
      <c r="AE194" s="152">
        <f>AF194*'Transmission Calculations'!L196</f>
        <v>0</v>
      </c>
      <c r="AF194" s="92"/>
      <c r="AO194" s="42">
        <v>762</v>
      </c>
      <c r="AP194" s="113">
        <f>'Transmission Calculations'!L196*'Spectral Functions'!K194*'Spectral Functions'!C194</f>
        <v>0.80290509938749999</v>
      </c>
      <c r="AQ194" s="113">
        <f>'Transmission Calculations'!L196*'Spectral Functions'!K194*'Spectral Functions'!D194</f>
        <v>0.28793838046999998</v>
      </c>
      <c r="AR194" s="47">
        <f>'Transmission Calculations'!L196*'Spectral Functions'!K194*'Spectral Functions'!E194</f>
        <v>0</v>
      </c>
    </row>
    <row r="195" spans="1:44">
      <c r="A195" s="42">
        <v>764</v>
      </c>
      <c r="B195" s="88">
        <f>'Transmission Calculations'!L197*'Spectral Functions'!H195*'Spectral Functions'!C195</f>
        <v>0.64899332121933528</v>
      </c>
      <c r="C195" s="88">
        <f>'Transmission Calculations'!L197*'Spectral Functions'!H195*'Spectral Functions'!D195</f>
        <v>0.23178332900690549</v>
      </c>
      <c r="D195" s="88">
        <f>'Transmission Calculations'!L197*'Spectral Functions'!H195*'Spectral Functions'!E195</f>
        <v>0</v>
      </c>
      <c r="J195" s="13">
        <v>764</v>
      </c>
      <c r="K195" s="47">
        <f>'Transmission Calculations'!L197*'Spectral Functions'!J195*'Spectral Functions'!N195*'Spectral Functions'!C195</f>
        <v>2.7839482731258661E-4</v>
      </c>
      <c r="L195" s="47">
        <f>'Transmission Calculations'!L197*'Spectral Functions'!J195*'Spectral Functions'!N195*'Spectral Functions'!D195</f>
        <v>9.9426724040209522E-5</v>
      </c>
      <c r="M195" s="47">
        <f>'Transmission Calculations'!L197*'Spectral Functions'!J195*'Spectral Functions'!N195*'Spectral Functions'!E195</f>
        <v>0</v>
      </c>
      <c r="N195" s="47">
        <f>'Spectral Functions'!D195*'Spectral Functions'!J195*'Spectral Functions'!N195</f>
        <v>1.0534455E-6</v>
      </c>
      <c r="R195" s="13">
        <v>764</v>
      </c>
      <c r="S195" s="47">
        <f>'Transmission Calculations'!L197*'Spectral Functions'!J195*'Spectral Functions'!M195*'Spectral Functions'!C195</f>
        <v>2.4587831148247647</v>
      </c>
      <c r="T195" s="47">
        <f>'Transmission Calculations'!L197*'Spectral Functions'!J195*'Spectral Functions'!M195*'Spectral Functions'!D195</f>
        <v>0.87813682672313031</v>
      </c>
      <c r="U195" s="47">
        <f>'Transmission Calculations'!L197*'Spectral Functions'!J195*'Spectral Functions'!M195*'Spectral Functions'!E195</f>
        <v>0</v>
      </c>
      <c r="V195" s="47">
        <f>'Spectral Functions'!D195*'Spectral Functions'!J195*'Spectral Functions'!M195</f>
        <v>9.3040306560000004E-3</v>
      </c>
      <c r="Z195" s="13">
        <v>764</v>
      </c>
      <c r="AA195" s="47">
        <f>'Transmission Calculations'!L197*'Spectral Functions'!J195*'Spectral Functions'!L195*'Spectral Functions'!D195</f>
        <v>0.83359365435311639</v>
      </c>
      <c r="AB195" s="47">
        <f>'Spectral Functions'!D195*'Spectral Functions'!J195*'Spectral Functions'!L195</f>
        <v>8.8320870719999986E-3</v>
      </c>
      <c r="AD195" s="42">
        <v>764</v>
      </c>
      <c r="AE195" s="152">
        <f>AF195*'Transmission Calculations'!L197</f>
        <v>0</v>
      </c>
      <c r="AF195" s="92"/>
      <c r="AO195" s="42">
        <v>764</v>
      </c>
      <c r="AP195" s="113">
        <f>'Transmission Calculations'!L197*'Spectral Functions'!K195*'Spectral Functions'!C195</f>
        <v>0.68998448864267992</v>
      </c>
      <c r="AQ195" s="113">
        <f>'Transmission Calculations'!L197*'Spectral Functions'!K195*'Spectral Functions'!D195</f>
        <v>0.24642303165810001</v>
      </c>
      <c r="AR195" s="47">
        <f>'Transmission Calculations'!L197*'Spectral Functions'!K195*'Spectral Functions'!E195</f>
        <v>0</v>
      </c>
    </row>
    <row r="196" spans="1:44">
      <c r="A196" s="42">
        <v>766</v>
      </c>
      <c r="B196" s="88">
        <f>'Transmission Calculations'!L198*'Spectral Functions'!H196*'Spectral Functions'!C196</f>
        <v>0.61464870283322004</v>
      </c>
      <c r="C196" s="88">
        <f>'Transmission Calculations'!L198*'Spectral Functions'!H196*'Spectral Functions'!D196</f>
        <v>0.22350861921208004</v>
      </c>
      <c r="D196" s="88">
        <f>'Transmission Calculations'!L198*'Spectral Functions'!H196*'Spectral Functions'!E196</f>
        <v>0</v>
      </c>
      <c r="J196" s="13">
        <v>766</v>
      </c>
      <c r="K196" s="47">
        <f>'Transmission Calculations'!L198*'Spectral Functions'!J196*'Spectral Functions'!N196*'Spectral Functions'!C196</f>
        <v>2.4635832220463202E-4</v>
      </c>
      <c r="L196" s="47">
        <f>'Transmission Calculations'!L198*'Spectral Functions'!J196*'Spectral Functions'!N196*'Spectral Functions'!D196</f>
        <v>8.9584844438048025E-5</v>
      </c>
      <c r="M196" s="47">
        <f>'Transmission Calculations'!L198*'Spectral Functions'!J196*'Spectral Functions'!N196*'Spectral Functions'!E196</f>
        <v>0</v>
      </c>
      <c r="N196" s="47">
        <f>'Spectral Functions'!D196*'Spectral Functions'!J196*'Spectral Functions'!N196</f>
        <v>9.4031200000000014E-7</v>
      </c>
      <c r="R196" s="13">
        <v>766</v>
      </c>
      <c r="S196" s="47">
        <f>'Transmission Calculations'!L198*'Spectral Functions'!J196*'Spectral Functions'!M196*'Spectral Functions'!C196</f>
        <v>2.1748512684224921</v>
      </c>
      <c r="T196" s="47">
        <f>'Transmission Calculations'!L198*'Spectral Functions'!J196*'Spectral Functions'!M196*'Spectral Functions'!D196</f>
        <v>0.79085500669908804</v>
      </c>
      <c r="U196" s="47">
        <f>'Transmission Calculations'!L198*'Spectral Functions'!J196*'Spectral Functions'!M196*'Spectral Functions'!E196</f>
        <v>0</v>
      </c>
      <c r="V196" s="47">
        <f>'Spectral Functions'!D196*'Spectral Functions'!J196*'Spectral Functions'!M196</f>
        <v>8.3010743360000024E-3</v>
      </c>
      <c r="Z196" s="13">
        <v>766</v>
      </c>
      <c r="AA196" s="47">
        <f>'Transmission Calculations'!L198*'Spectral Functions'!J196*'Spectral Functions'!L196*'Spectral Functions'!D196</f>
        <v>0.75036265701309013</v>
      </c>
      <c r="AB196" s="47">
        <f>'Spectral Functions'!D196*'Spectral Functions'!J196*'Spectral Functions'!L196</f>
        <v>7.8760533119999997E-3</v>
      </c>
      <c r="AD196" s="42">
        <v>766</v>
      </c>
      <c r="AE196" s="152">
        <f>AF196*'Transmission Calculations'!L198</f>
        <v>0</v>
      </c>
      <c r="AF196" s="92"/>
      <c r="AO196" s="42">
        <v>766</v>
      </c>
      <c r="AP196" s="113">
        <f>'Transmission Calculations'!L198*'Spectral Functions'!K196*'Spectral Functions'!C196</f>
        <v>0.60825075169760001</v>
      </c>
      <c r="AQ196" s="113">
        <f>'Transmission Calculations'!L198*'Spectral Functions'!K196*'Spectral Functions'!D196</f>
        <v>0.2211820915264</v>
      </c>
      <c r="AR196" s="47">
        <f>'Transmission Calculations'!L198*'Spectral Functions'!K196*'Spectral Functions'!E196</f>
        <v>0</v>
      </c>
    </row>
    <row r="197" spans="1:44">
      <c r="A197" s="42">
        <v>768</v>
      </c>
      <c r="B197" s="88">
        <f>'Transmission Calculations'!L199*'Spectral Functions'!H197*'Spectral Functions'!C197</f>
        <v>0.56614941180232004</v>
      </c>
      <c r="C197" s="88">
        <f>'Transmission Calculations'!L199*'Spectral Functions'!H197*'Spectral Functions'!D197</f>
        <v>0.20262189475030401</v>
      </c>
      <c r="D197" s="88">
        <f>'Transmission Calculations'!L199*'Spectral Functions'!H197*'Spectral Functions'!E197</f>
        <v>0</v>
      </c>
      <c r="J197" s="13">
        <v>768</v>
      </c>
      <c r="K197" s="47">
        <f>'Transmission Calculations'!L199*'Spectral Functions'!J197*'Spectral Functions'!N197*'Spectral Functions'!C197</f>
        <v>2.1304340997274301E-4</v>
      </c>
      <c r="L197" s="47">
        <f>'Transmission Calculations'!L199*'Spectral Functions'!J197*'Spectral Functions'!N197*'Spectral Functions'!D197</f>
        <v>7.6247115148139603E-5</v>
      </c>
      <c r="M197" s="47">
        <f>'Transmission Calculations'!L199*'Spectral Functions'!J197*'Spectral Functions'!N197*'Spectral Functions'!E197</f>
        <v>0</v>
      </c>
      <c r="N197" s="47">
        <f>'Spectral Functions'!D197*'Spectral Functions'!J197*'Spectral Functions'!N197</f>
        <v>8.0255980000000002E-7</v>
      </c>
      <c r="R197" s="13">
        <v>768</v>
      </c>
      <c r="S197" s="47">
        <f>'Transmission Calculations'!L199*'Spectral Functions'!J197*'Spectral Functions'!M197*'Spectral Functions'!C197</f>
        <v>1.8798950495994851</v>
      </c>
      <c r="T197" s="47">
        <f>'Transmission Calculations'!L199*'Spectral Functions'!J197*'Spectral Functions'!M197*'Spectral Functions'!D197</f>
        <v>0.67280454406718404</v>
      </c>
      <c r="U197" s="47">
        <f>'Transmission Calculations'!L199*'Spectral Functions'!J197*'Spectral Functions'!M197*'Spectral Functions'!E197</f>
        <v>0</v>
      </c>
      <c r="V197" s="47">
        <f>'Spectral Functions'!D197*'Spectral Functions'!J197*'Spectral Functions'!M197</f>
        <v>7.0817876752000018E-3</v>
      </c>
      <c r="Z197" s="13">
        <v>768</v>
      </c>
      <c r="AA197" s="47">
        <f>'Transmission Calculations'!L199*'Spectral Functions'!J197*'Spectral Functions'!L197*'Spectral Functions'!D197</f>
        <v>0.63803585955963205</v>
      </c>
      <c r="AB197" s="47">
        <f>'Spectral Functions'!D197*'Spectral Functions'!J197*'Spectral Functions'!L197</f>
        <v>6.7158204063999987E-3</v>
      </c>
      <c r="AD197" s="42">
        <v>768</v>
      </c>
      <c r="AE197" s="152">
        <f>AF197*'Transmission Calculations'!L199</f>
        <v>0</v>
      </c>
      <c r="AF197" s="92"/>
      <c r="AO197" s="42">
        <v>768</v>
      </c>
      <c r="AP197" s="113">
        <f>'Transmission Calculations'!L199*'Spectral Functions'!K197*'Spectral Functions'!C197</f>
        <v>0.52456006590280002</v>
      </c>
      <c r="AQ197" s="113">
        <f>'Transmission Calculations'!L199*'Spectral Functions'!K197*'Spectral Functions'!D197</f>
        <v>0.18773728674415999</v>
      </c>
      <c r="AR197" s="47">
        <f>'Transmission Calculations'!L199*'Spectral Functions'!K197*'Spectral Functions'!E197</f>
        <v>0</v>
      </c>
    </row>
    <row r="198" spans="1:44">
      <c r="A198" s="42">
        <v>770</v>
      </c>
      <c r="B198" s="88">
        <f>'Transmission Calculations'!L200*'Spectral Functions'!H198*'Spectral Functions'!C198</f>
        <v>0.53004610117303519</v>
      </c>
      <c r="C198" s="88">
        <f>'Transmission Calculations'!L200*'Spectral Functions'!H198*'Spectral Functions'!D198</f>
        <v>0.19158292813483199</v>
      </c>
      <c r="D198" s="88">
        <f>'Transmission Calculations'!L200*'Spectral Functions'!H198*'Spectral Functions'!E198</f>
        <v>0</v>
      </c>
      <c r="J198" s="13">
        <v>770</v>
      </c>
      <c r="K198" s="47">
        <f>'Transmission Calculations'!L200*'Spectral Functions'!J198*'Spectral Functions'!N198*'Spectral Functions'!C198</f>
        <v>1.8804642490999039E-4</v>
      </c>
      <c r="L198" s="47">
        <f>'Transmission Calculations'!L200*'Spectral Functions'!J198*'Spectral Functions'!N198*'Spectral Functions'!D198</f>
        <v>6.7968587316864003E-5</v>
      </c>
      <c r="M198" s="47">
        <f>'Transmission Calculations'!L200*'Spectral Functions'!J198*'Spectral Functions'!N198*'Spectral Functions'!E198</f>
        <v>0</v>
      </c>
      <c r="N198" s="47">
        <f>'Spectral Functions'!D198*'Spectral Functions'!J198*'Spectral Functions'!N198</f>
        <v>7.1102400000000008E-7</v>
      </c>
      <c r="R198" s="13">
        <v>770</v>
      </c>
      <c r="S198" s="47">
        <f>'Transmission Calculations'!L200*'Spectral Functions'!J198*'Spectral Functions'!M198*'Spectral Functions'!C198</f>
        <v>1.6585694677061154</v>
      </c>
      <c r="T198" s="47">
        <f>'Transmission Calculations'!L200*'Spectral Functions'!J198*'Spectral Functions'!M198*'Spectral Functions'!D198</f>
        <v>0.59948294013474046</v>
      </c>
      <c r="U198" s="47">
        <f>'Transmission Calculations'!L200*'Spectral Functions'!J198*'Spectral Functions'!M198*'Spectral Functions'!E198</f>
        <v>0</v>
      </c>
      <c r="V198" s="47">
        <f>'Spectral Functions'!D198*'Spectral Functions'!J198*'Spectral Functions'!M198</f>
        <v>6.2712316800000003E-3</v>
      </c>
      <c r="Z198" s="13">
        <v>770</v>
      </c>
      <c r="AA198" s="47">
        <f>'Transmission Calculations'!L200*'Spectral Functions'!J198*'Spectral Functions'!L198*'Spectral Functions'!D198</f>
        <v>0.56821738996898297</v>
      </c>
      <c r="AB198" s="47">
        <f>'Spectral Functions'!D198*'Spectral Functions'!J198*'Spectral Functions'!L198</f>
        <v>5.9441606399999996E-3</v>
      </c>
      <c r="AD198" s="42">
        <v>770</v>
      </c>
      <c r="AE198" s="152">
        <f>AF198*'Transmission Calculations'!L200</f>
        <v>0.62135148399999995</v>
      </c>
      <c r="AF198" s="92">
        <v>6.4999999999999997E-3</v>
      </c>
      <c r="AO198" s="42">
        <v>770</v>
      </c>
      <c r="AP198" s="113">
        <f>'Transmission Calculations'!L200*'Spectral Functions'!K198*'Spectral Functions'!C198</f>
        <v>0.46176930440159997</v>
      </c>
      <c r="AQ198" s="113">
        <f>'Transmission Calculations'!L200*'Spectral Functions'!K198*'Spectral Functions'!D198</f>
        <v>0.166904567856</v>
      </c>
      <c r="AR198" s="47">
        <f>'Transmission Calculations'!L200*'Spectral Functions'!K198*'Spectral Functions'!E198</f>
        <v>0</v>
      </c>
    </row>
    <row r="199" spans="1:44">
      <c r="A199" s="42">
        <v>772</v>
      </c>
      <c r="B199" s="88">
        <f>'Transmission Calculations'!L201*'Spectral Functions'!H199*'Spectral Functions'!C199</f>
        <v>0.45369939494586248</v>
      </c>
      <c r="C199" s="88">
        <f>'Transmission Calculations'!L201*'Spectral Functions'!H199*'Spectral Functions'!D199</f>
        <v>0.1638358926193392</v>
      </c>
      <c r="D199" s="88">
        <f>'Transmission Calculations'!L201*'Spectral Functions'!H199*'Spectral Functions'!E199</f>
        <v>0</v>
      </c>
      <c r="J199" s="13">
        <v>772</v>
      </c>
      <c r="K199" s="47">
        <f>'Transmission Calculations'!L201*'Spectral Functions'!J199*'Spectral Functions'!N199*'Spectral Functions'!C199</f>
        <v>1.3062357508372994E-4</v>
      </c>
      <c r="L199" s="47">
        <f>'Transmission Calculations'!L201*'Spectral Functions'!J199*'Spectral Functions'!N199*'Spectral Functions'!D199</f>
        <v>4.7169624335791367E-5</v>
      </c>
      <c r="M199" s="47">
        <f>'Transmission Calculations'!L201*'Spectral Functions'!J199*'Spectral Functions'!N199*'Spectral Functions'!E199</f>
        <v>0</v>
      </c>
      <c r="N199" s="47">
        <f>'Spectral Functions'!D199*'Spectral Functions'!J199*'Spectral Functions'!N199</f>
        <v>4.9495471999999999E-7</v>
      </c>
      <c r="R199" s="13">
        <v>772</v>
      </c>
      <c r="S199" s="47">
        <f>'Transmission Calculations'!L201*'Spectral Functions'!J199*'Spectral Functions'!M199*'Spectral Functions'!C199</f>
        <v>1.4394717974227038</v>
      </c>
      <c r="T199" s="47">
        <f>'Transmission Calculations'!L201*'Spectral Functions'!J199*'Spectral Functions'!M199*'Spectral Functions'!D199</f>
        <v>0.51980926018042084</v>
      </c>
      <c r="U199" s="47">
        <f>'Transmission Calculations'!L201*'Spectral Functions'!J199*'Spectral Functions'!M199*'Spectral Functions'!E199</f>
        <v>0</v>
      </c>
      <c r="V199" s="47">
        <f>'Spectral Functions'!D199*'Spectral Functions'!J199*'Spectral Functions'!M199</f>
        <v>5.4544010144000005E-3</v>
      </c>
      <c r="Z199" s="13">
        <v>772</v>
      </c>
      <c r="AA199" s="47">
        <f>'Transmission Calculations'!L201*'Spectral Functions'!J199*'Spectral Functions'!L199*'Spectral Functions'!D199</f>
        <v>0.49245087806566179</v>
      </c>
      <c r="AB199" s="47">
        <f>'Spectral Functions'!D199*'Spectral Functions'!J199*'Spectral Functions'!L199</f>
        <v>5.1673272767999998E-3</v>
      </c>
      <c r="AD199" s="42">
        <v>772</v>
      </c>
      <c r="AE199" s="152">
        <f>AF199*'Transmission Calculations'!L201</f>
        <v>0</v>
      </c>
      <c r="AF199" s="92"/>
      <c r="AO199" s="42">
        <v>772</v>
      </c>
      <c r="AP199" s="113">
        <f>'Transmission Calculations'!L201*'Spectral Functions'!K199*'Spectral Functions'!C199</f>
        <v>0.23960930464512001</v>
      </c>
      <c r="AQ199" s="113">
        <f>'Transmission Calculations'!L201*'Spectral Functions'!K199*'Spectral Functions'!D199</f>
        <v>8.6525582232959988E-2</v>
      </c>
      <c r="AR199" s="47">
        <f>'Transmission Calculations'!L201*'Spectral Functions'!K199*'Spectral Functions'!E199</f>
        <v>0</v>
      </c>
    </row>
    <row r="200" spans="1:44">
      <c r="A200" s="42">
        <v>774</v>
      </c>
      <c r="B200" s="88">
        <f>'Transmission Calculations'!L202*'Spectral Functions'!H200*'Spectral Functions'!C200</f>
        <v>0.38689543440591129</v>
      </c>
      <c r="C200" s="88">
        <f>'Transmission Calculations'!L202*'Spectral Functions'!H200*'Spectral Functions'!D200</f>
        <v>0.14124753954501523</v>
      </c>
      <c r="D200" s="88">
        <f>'Transmission Calculations'!L202*'Spectral Functions'!H200*'Spectral Functions'!E200</f>
        <v>0</v>
      </c>
      <c r="J200" s="13">
        <v>774</v>
      </c>
      <c r="K200" s="47">
        <f>'Transmission Calculations'!L202*'Spectral Functions'!J200*'Spectral Functions'!N200*'Spectral Functions'!C200</f>
        <v>8.4751080197358969E-5</v>
      </c>
      <c r="L200" s="47">
        <f>'Transmission Calculations'!L202*'Spectral Functions'!J200*'Spectral Functions'!N200*'Spectral Functions'!D200</f>
        <v>3.0940870548242162E-5</v>
      </c>
      <c r="M200" s="47">
        <f>'Transmission Calculations'!L202*'Spectral Functions'!J200*'Spectral Functions'!N200*'Spectral Functions'!E200</f>
        <v>0</v>
      </c>
      <c r="N200" s="47">
        <f>'Spectral Functions'!D200*'Spectral Functions'!J200*'Spectral Functions'!N200</f>
        <v>3.2968476000000003E-7</v>
      </c>
      <c r="R200" s="13">
        <v>774</v>
      </c>
      <c r="S200" s="47">
        <f>'Transmission Calculations'!L202*'Spectral Functions'!J200*'Spectral Functions'!M200*'Spectral Functions'!C200</f>
        <v>1.2447108644985452</v>
      </c>
      <c r="T200" s="47">
        <f>'Transmission Calculations'!L202*'Spectral Functions'!J200*'Spectral Functions'!M200*'Spectral Functions'!D200</f>
        <v>0.4544182521185165</v>
      </c>
      <c r="U200" s="47">
        <f>'Transmission Calculations'!L202*'Spectral Functions'!J200*'Spectral Functions'!M200*'Spectral Functions'!E200</f>
        <v>0</v>
      </c>
      <c r="V200" s="47">
        <f>'Spectral Functions'!D200*'Spectral Functions'!J200*'Spectral Functions'!M200</f>
        <v>4.8419701752000005E-3</v>
      </c>
      <c r="Z200" s="13">
        <v>774</v>
      </c>
      <c r="AA200" s="47">
        <f>'Transmission Calculations'!L202*'Spectral Functions'!J200*'Spectral Functions'!L200*'Spectral Functions'!D200</f>
        <v>0.43028437309088763</v>
      </c>
      <c r="AB200" s="47">
        <f>'Spectral Functions'!D200*'Spectral Functions'!J200*'Spectral Functions'!L200</f>
        <v>4.5848160623999995E-3</v>
      </c>
      <c r="AD200" s="42">
        <v>774</v>
      </c>
      <c r="AE200" s="152">
        <f>AF200*'Transmission Calculations'!L202</f>
        <v>0</v>
      </c>
      <c r="AF200" s="92"/>
      <c r="AO200" s="42">
        <v>774</v>
      </c>
      <c r="AP200" s="113">
        <f>'Transmission Calculations'!L202*'Spectral Functions'!K200*'Spectral Functions'!C200</f>
        <v>6.8821983735119996E-2</v>
      </c>
      <c r="AQ200" s="113">
        <f>'Transmission Calculations'!L202*'Spectral Functions'!K200*'Spectral Functions'!D200</f>
        <v>2.512548612552E-2</v>
      </c>
      <c r="AR200" s="47">
        <f>'Transmission Calculations'!L202*'Spectral Functions'!K200*'Spectral Functions'!E200</f>
        <v>0</v>
      </c>
    </row>
    <row r="201" spans="1:44">
      <c r="A201" s="42">
        <v>776</v>
      </c>
      <c r="B201" s="88">
        <f>'Transmission Calculations'!L203*'Spectral Functions'!H201*'Spectral Functions'!C201</f>
        <v>0.33969175991861006</v>
      </c>
      <c r="C201" s="88">
        <f>'Transmission Calculations'!L203*'Spectral Functions'!H201*'Spectral Functions'!D201</f>
        <v>0.12352427633404003</v>
      </c>
      <c r="D201" s="88">
        <f>'Transmission Calculations'!L203*'Spectral Functions'!H201*'Spectral Functions'!E201</f>
        <v>0</v>
      </c>
      <c r="J201" s="13">
        <v>776</v>
      </c>
      <c r="K201" s="47">
        <f>'Transmission Calculations'!L203*'Spectral Functions'!J201*'Spectral Functions'!N201*'Spectral Functions'!C201</f>
        <v>5.0327751773288032E-5</v>
      </c>
      <c r="L201" s="47">
        <f>'Transmission Calculations'!L203*'Spectral Functions'!J201*'Spectral Functions'!N201*'Spectral Functions'!D201</f>
        <v>1.8301000644832013E-5</v>
      </c>
      <c r="M201" s="47">
        <f>'Transmission Calculations'!L203*'Spectral Functions'!J201*'Spectral Functions'!N201*'Spectral Functions'!E201</f>
        <v>0</v>
      </c>
      <c r="N201" s="47">
        <f>'Spectral Functions'!D201*'Spectral Functions'!J201*'Spectral Functions'!N201</f>
        <v>1.9186880000000008E-7</v>
      </c>
      <c r="R201" s="13">
        <v>776</v>
      </c>
      <c r="S201" s="47">
        <f>'Transmission Calculations'!L203*'Spectral Functions'!J201*'Spectral Functions'!M201*'Spectral Functions'!C201</f>
        <v>1.1082170940478024</v>
      </c>
      <c r="T201" s="47">
        <f>'Transmission Calculations'!L203*'Spectral Functions'!J201*'Spectral Functions'!M201*'Spectral Functions'!D201</f>
        <v>0.40298803419920087</v>
      </c>
      <c r="U201" s="47">
        <f>'Transmission Calculations'!L203*'Spectral Functions'!J201*'Spectral Functions'!M201*'Spectral Functions'!E201</f>
        <v>0</v>
      </c>
      <c r="V201" s="47">
        <f>'Spectral Functions'!D201*'Spectral Functions'!J201*'Spectral Functions'!M201</f>
        <v>4.2249509760000012E-3</v>
      </c>
      <c r="Z201" s="13">
        <v>776</v>
      </c>
      <c r="AA201" s="47">
        <f>'Transmission Calculations'!L203*'Spectral Functions'!J201*'Spectral Functions'!L201*'Spectral Functions'!D201</f>
        <v>0.38139285343829893</v>
      </c>
      <c r="AB201" s="47">
        <f>'Spectral Functions'!D201*'Spectral Functions'!J201*'Spectral Functions'!L201</f>
        <v>3.9985457920000004E-3</v>
      </c>
      <c r="AD201" s="42">
        <v>776</v>
      </c>
      <c r="AE201" s="152">
        <f>AF201*'Transmission Calculations'!L203</f>
        <v>0</v>
      </c>
      <c r="AF201" s="92"/>
      <c r="AO201" s="42">
        <v>776</v>
      </c>
      <c r="AP201" s="113">
        <f>'Transmission Calculations'!L203*'Spectral Functions'!K201*'Spectral Functions'!C201</f>
        <v>0</v>
      </c>
      <c r="AQ201" s="113">
        <f>'Transmission Calculations'!L203*'Spectral Functions'!K201*'Spectral Functions'!D201</f>
        <v>0</v>
      </c>
      <c r="AR201" s="47">
        <f>'Transmission Calculations'!L203*'Spectral Functions'!K201*'Spectral Functions'!E201</f>
        <v>0</v>
      </c>
    </row>
    <row r="202" spans="1:44">
      <c r="A202" s="42">
        <v>778</v>
      </c>
      <c r="B202" s="88">
        <f>'Transmission Calculations'!L204*'Spectral Functions'!H202*'Spectral Functions'!C202</f>
        <v>0.29196037527624003</v>
      </c>
      <c r="C202" s="88">
        <f>'Transmission Calculations'!L204*'Spectral Functions'!H202*'Spectral Functions'!D202</f>
        <v>0.10340263291033501</v>
      </c>
      <c r="D202" s="88">
        <f>'Transmission Calculations'!L204*'Spectral Functions'!H202*'Spectral Functions'!E202</f>
        <v>0</v>
      </c>
      <c r="J202" s="13">
        <v>778</v>
      </c>
      <c r="K202" s="47">
        <f>'Transmission Calculations'!L204*'Spectral Functions'!J202*'Spectral Functions'!N202*'Spectral Functions'!C202</f>
        <v>2.1943293989760006E-5</v>
      </c>
      <c r="L202" s="47">
        <f>'Transmission Calculations'!L204*'Spectral Functions'!J202*'Spectral Functions'!N202*'Spectral Functions'!D202</f>
        <v>7.7715832880400018E-6</v>
      </c>
      <c r="M202" s="47">
        <f>'Transmission Calculations'!L204*'Spectral Functions'!J202*'Spectral Functions'!N202*'Spectral Functions'!E202</f>
        <v>0</v>
      </c>
      <c r="N202" s="47">
        <f>'Spectral Functions'!D202*'Spectral Functions'!J202*'Spectral Functions'!N202</f>
        <v>8.1858400000000026E-8</v>
      </c>
      <c r="R202" s="13">
        <v>778</v>
      </c>
      <c r="S202" s="47">
        <f>'Transmission Calculations'!L204*'Spectral Functions'!J202*'Spectral Functions'!M202*'Spectral Functions'!C202</f>
        <v>0.9659438014292353</v>
      </c>
      <c r="T202" s="47">
        <f>'Transmission Calculations'!L204*'Spectral Functions'!J202*'Spectral Functions'!M202*'Spectral Functions'!D202</f>
        <v>0.34210509633952085</v>
      </c>
      <c r="U202" s="47">
        <f>'Transmission Calculations'!L204*'Spectral Functions'!J202*'Spectral Functions'!M202*'Spectral Functions'!E202</f>
        <v>0</v>
      </c>
      <c r="V202" s="47">
        <f>'Spectral Functions'!D202*'Spectral Functions'!J202*'Spectral Functions'!M202</f>
        <v>3.6034067680000008E-3</v>
      </c>
      <c r="Z202" s="13">
        <v>778</v>
      </c>
      <c r="AA202" s="47">
        <f>'Transmission Calculations'!L204*'Spectral Functions'!J202*'Spectral Functions'!L202*'Spectral Functions'!D202</f>
        <v>0.32360872811398556</v>
      </c>
      <c r="AB202" s="47">
        <f>'Spectral Functions'!D202*'Spectral Functions'!J202*'Spectral Functions'!L202</f>
        <v>3.4085837759999993E-3</v>
      </c>
      <c r="AD202" s="42">
        <v>778</v>
      </c>
      <c r="AE202" s="152">
        <f>AF202*'Transmission Calculations'!L204</f>
        <v>0</v>
      </c>
      <c r="AF202" s="92"/>
      <c r="AO202" s="42">
        <v>778</v>
      </c>
      <c r="AP202" s="113">
        <f>'Transmission Calculations'!L204*'Spectral Functions'!K202*'Spectral Functions'!C202</f>
        <v>0</v>
      </c>
      <c r="AQ202" s="113">
        <f>'Transmission Calculations'!L204*'Spectral Functions'!K202*'Spectral Functions'!D202</f>
        <v>0</v>
      </c>
      <c r="AR202" s="47">
        <f>'Transmission Calculations'!L204*'Spectral Functions'!K202*'Spectral Functions'!E202</f>
        <v>0</v>
      </c>
    </row>
    <row r="203" spans="1:44" ht="13.5" thickBot="1">
      <c r="A203" s="43">
        <v>780</v>
      </c>
      <c r="B203" s="89">
        <f>'Transmission Calculations'!L205*'Spectral Functions'!H203*'Spectral Functions'!C203</f>
        <v>0.25158892092843599</v>
      </c>
      <c r="C203" s="89">
        <f>'Transmission Calculations'!L205*'Spectral Functions'!H203*'Spectral Functions'!D203</f>
        <v>8.9853186045870004E-2</v>
      </c>
      <c r="D203" s="89">
        <f>'Transmission Calculations'!L205*'Spectral Functions'!H203*'Spectral Functions'!E203</f>
        <v>0</v>
      </c>
      <c r="J203" s="14">
        <v>780</v>
      </c>
      <c r="K203" s="48">
        <f>'Transmission Calculations'!L205*'Spectral Functions'!J203*'Spectral Functions'!N203*'Spectral Functions'!C203</f>
        <v>0</v>
      </c>
      <c r="L203" s="48">
        <f>'Transmission Calculations'!L205*'Spectral Functions'!J203*'Spectral Functions'!N203*'Spectral Functions'!D203</f>
        <v>0</v>
      </c>
      <c r="M203" s="48">
        <f>'Transmission Calculations'!L205*'Spectral Functions'!J203*'Spectral Functions'!N203*'Spectral Functions'!E203</f>
        <v>0</v>
      </c>
      <c r="N203" s="48">
        <f>'Spectral Functions'!D203*'Spectral Functions'!J203*'Spectral Functions'!N203</f>
        <v>0</v>
      </c>
      <c r="R203" s="14">
        <v>780</v>
      </c>
      <c r="S203" s="48">
        <f>'Transmission Calculations'!L205*'Spectral Functions'!J203*'Spectral Functions'!M203*'Spectral Functions'!C203</f>
        <v>0.84417889663338008</v>
      </c>
      <c r="T203" s="48">
        <f>'Transmission Calculations'!L205*'Spectral Functions'!J203*'Spectral Functions'!M203*'Spectral Functions'!D203</f>
        <v>0.30149246308335004</v>
      </c>
      <c r="U203" s="48">
        <f>'Transmission Calculations'!L205*'Spectral Functions'!J203*'Spectral Functions'!M203*'Spectral Functions'!E203</f>
        <v>0</v>
      </c>
      <c r="V203" s="48">
        <f>'Spectral Functions'!D203*'Spectral Functions'!J203*'Spectral Functions'!M203</f>
        <v>3.1901100000000003E-3</v>
      </c>
      <c r="Z203" s="14">
        <v>780</v>
      </c>
      <c r="AA203" s="48">
        <f>'Transmission Calculations'!L205*'Spectral Functions'!J203*'Spectral Functions'!L203*'Spectral Functions'!D203</f>
        <v>0.28504741964244001</v>
      </c>
      <c r="AB203" s="48">
        <f>'Spectral Functions'!D203*'Spectral Functions'!J203*'Spectral Functions'!L203</f>
        <v>3.0161039999999999E-3</v>
      </c>
      <c r="AD203" s="43">
        <v>780</v>
      </c>
      <c r="AE203" s="153">
        <f>AF203*'Transmission Calculations'!L205</f>
        <v>0.31187800049999997</v>
      </c>
      <c r="AF203" s="95">
        <v>3.3E-3</v>
      </c>
      <c r="AO203" s="43">
        <v>780</v>
      </c>
      <c r="AP203" s="114">
        <f>'Transmission Calculations'!L205*'Spectral Functions'!K203*'Spectral Functions'!C203</f>
        <v>0</v>
      </c>
      <c r="AQ203" s="114">
        <f>'Transmission Calculations'!L205*'Spectral Functions'!K203*'Spectral Functions'!D203</f>
        <v>0</v>
      </c>
      <c r="AR203" s="48">
        <f>'Transmission Calculations'!L205*'Spectral Functions'!K203*'Spectral Functions'!E203</f>
        <v>0</v>
      </c>
    </row>
    <row r="204" spans="1:44" ht="13.5" thickBot="1">
      <c r="B204" s="90">
        <f>SUM(B3:B203)</f>
        <v>338064.04579620255</v>
      </c>
      <c r="C204" s="90">
        <f>SUM(C3:C203)</f>
        <v>291108.66538427986</v>
      </c>
      <c r="D204" s="90">
        <f>SUM(D3:D203)</f>
        <v>136823.8677184133</v>
      </c>
      <c r="K204" s="90">
        <f>SUM(K3:K203)</f>
        <v>28466.510556709727</v>
      </c>
      <c r="L204" s="90">
        <f>SUM(L3:L203)</f>
        <v>45346.47333535253</v>
      </c>
      <c r="M204" s="90">
        <f>SUM(M3:M203)</f>
        <v>25952.64816332878</v>
      </c>
      <c r="N204" s="100">
        <f>SUM(N3:N203)</f>
        <v>1084.1978552967878</v>
      </c>
      <c r="S204" s="100">
        <f>SUM(S3:S203)</f>
        <v>391526.21132688248</v>
      </c>
      <c r="T204" s="100">
        <f>SUM(T3:T203)</f>
        <v>255881.16491659181</v>
      </c>
      <c r="U204" s="100">
        <f>SUM(U3:U203)</f>
        <v>560.03404419291485</v>
      </c>
      <c r="V204" s="100">
        <f>SUM(V3:V203)</f>
        <v>3414.6134726144619</v>
      </c>
      <c r="AA204" s="100">
        <f>SUM(AA3:AA203)</f>
        <v>51291.020355482266</v>
      </c>
      <c r="AB204" s="100">
        <f>SUM(AB3:AB203)</f>
        <v>548.90521312863439</v>
      </c>
      <c r="AE204" s="154">
        <f>SUM(AE3:AE203)</f>
        <v>3879.4933415298001</v>
      </c>
      <c r="AF204">
        <f>SUM(AF3:AF203)</f>
        <v>99.999999999999986</v>
      </c>
      <c r="AP204" s="100">
        <f>SUM(AP3:AP203)</f>
        <v>348810.49577256839</v>
      </c>
      <c r="AQ204" s="100">
        <f>SUM(AQ3:AQ203)</f>
        <v>295763.92655668745</v>
      </c>
      <c r="AR204" s="100">
        <f>SUM(AR3:AR203)</f>
        <v>149986.08634385272</v>
      </c>
    </row>
  </sheetData>
  <sheetProtection selectLockedCells="1" selectUnlockedCells="1"/>
  <mergeCells count="12">
    <mergeCell ref="A1:I1"/>
    <mergeCell ref="F3:H3"/>
    <mergeCell ref="O3:Q3"/>
    <mergeCell ref="J1:Q1"/>
    <mergeCell ref="W3:Y3"/>
    <mergeCell ref="R1:Y1"/>
    <mergeCell ref="AX1:BE1"/>
    <mergeCell ref="AH1:AN1"/>
    <mergeCell ref="AO1:AW1"/>
    <mergeCell ref="AT3:AV3"/>
    <mergeCell ref="Z1:AC1"/>
    <mergeCell ref="AD1:AG1"/>
  </mergeCells>
  <phoneticPr fontId="6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 tint="-0.34998626667073579"/>
  </sheetPr>
  <dimension ref="A2:Q80"/>
  <sheetViews>
    <sheetView zoomScale="97" zoomScaleNormal="97" workbookViewId="0">
      <selection activeCell="F159" sqref="F159"/>
    </sheetView>
  </sheetViews>
  <sheetFormatPr defaultRowHeight="12.75"/>
  <cols>
    <col min="1" max="4" width="10.28515625" customWidth="1"/>
  </cols>
  <sheetData>
    <row r="2" spans="1:17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</row>
    <row r="3" spans="1:17">
      <c r="A3" s="82" t="s">
        <v>36</v>
      </c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</row>
    <row r="4" spans="1:17">
      <c r="A4" s="40"/>
      <c r="B4" s="73"/>
      <c r="C4" s="73"/>
      <c r="D4" s="73"/>
      <c r="E4" s="73"/>
      <c r="F4" s="73"/>
      <c r="G4" s="73"/>
      <c r="H4" s="73"/>
      <c r="I4" s="40"/>
      <c r="J4" s="40"/>
      <c r="K4" s="40"/>
      <c r="L4" s="40"/>
      <c r="M4" s="40"/>
      <c r="N4" s="40"/>
      <c r="O4" s="40"/>
      <c r="P4" s="40"/>
      <c r="Q4" s="40"/>
    </row>
    <row r="5" spans="1:17">
      <c r="A5" s="83" t="s">
        <v>30</v>
      </c>
      <c r="D5" s="83" t="s">
        <v>31</v>
      </c>
      <c r="F5" s="74"/>
      <c r="G5" s="74"/>
      <c r="H5" s="75"/>
      <c r="I5" s="40"/>
      <c r="J5" s="40"/>
      <c r="K5" s="40"/>
      <c r="L5" s="40"/>
      <c r="M5" s="40"/>
      <c r="N5" s="40"/>
      <c r="O5" s="40"/>
      <c r="P5" s="40"/>
      <c r="Q5" s="40"/>
    </row>
    <row r="6" spans="1:17">
      <c r="A6" t="s">
        <v>1</v>
      </c>
      <c r="B6" t="s">
        <v>29</v>
      </c>
      <c r="D6" t="s">
        <v>1</v>
      </c>
      <c r="E6" t="s">
        <v>29</v>
      </c>
      <c r="F6" s="74"/>
      <c r="G6" s="74"/>
      <c r="H6" s="75"/>
      <c r="I6" s="40"/>
      <c r="J6" s="40"/>
      <c r="K6" s="40"/>
      <c r="L6" s="40"/>
      <c r="M6" s="40"/>
      <c r="N6" s="40"/>
      <c r="O6" s="40"/>
      <c r="P6" s="40"/>
      <c r="Q6" s="40"/>
    </row>
    <row r="7" spans="1:17">
      <c r="A7" s="81">
        <v>0.435</v>
      </c>
      <c r="B7" s="81">
        <v>0.56499999999999995</v>
      </c>
      <c r="D7">
        <f>'Chromaticity Calculations'!P5</f>
        <v>0.28533383661524631</v>
      </c>
      <c r="E7">
        <f>'Chromaticity Calculations'!P6</f>
        <v>0.45453000598618615</v>
      </c>
      <c r="F7" s="74"/>
      <c r="G7" s="74"/>
      <c r="H7" s="75"/>
      <c r="I7" s="40"/>
      <c r="J7" s="40"/>
      <c r="K7" s="40"/>
      <c r="L7" s="40"/>
      <c r="M7" s="40"/>
      <c r="N7" s="40"/>
      <c r="O7" s="40"/>
      <c r="P7" s="40"/>
      <c r="Q7" s="40"/>
    </row>
    <row r="8" spans="1:17">
      <c r="A8" s="81">
        <v>0.375</v>
      </c>
      <c r="B8" s="81">
        <v>0.56499999999999995</v>
      </c>
      <c r="F8" s="74"/>
      <c r="G8" s="74"/>
      <c r="H8" s="75"/>
      <c r="I8" s="40"/>
      <c r="J8" s="40"/>
      <c r="K8" s="40"/>
      <c r="L8" s="40"/>
      <c r="M8" s="40"/>
      <c r="N8" s="40"/>
      <c r="O8" s="40"/>
      <c r="P8" s="40"/>
      <c r="Q8" s="40"/>
    </row>
    <row r="9" spans="1:17">
      <c r="A9" s="81">
        <v>0.59499999999999997</v>
      </c>
      <c r="B9" s="81">
        <v>0.34499999999999997</v>
      </c>
      <c r="D9" s="83" t="s">
        <v>32</v>
      </c>
      <c r="F9" s="74"/>
      <c r="G9" s="74"/>
      <c r="H9" s="75"/>
      <c r="I9" s="40"/>
      <c r="J9" s="40"/>
      <c r="K9" s="40"/>
      <c r="L9" s="40"/>
      <c r="M9" s="40"/>
      <c r="N9" s="40"/>
      <c r="O9" s="40"/>
      <c r="P9" s="40"/>
      <c r="Q9" s="40"/>
    </row>
    <row r="10" spans="1:17">
      <c r="A10" s="81">
        <v>0.65500000000000003</v>
      </c>
      <c r="B10" s="81">
        <v>0.34499999999999997</v>
      </c>
      <c r="D10" t="s">
        <v>1</v>
      </c>
      <c r="E10" t="s">
        <v>29</v>
      </c>
      <c r="F10" s="74"/>
      <c r="G10" s="74"/>
      <c r="H10" s="75"/>
      <c r="I10" s="40"/>
      <c r="J10" s="40"/>
      <c r="K10" s="40"/>
      <c r="L10" s="40"/>
      <c r="M10" s="40"/>
      <c r="N10" s="40"/>
      <c r="O10" s="40"/>
      <c r="P10" s="40"/>
      <c r="Q10" s="40"/>
    </row>
    <row r="11" spans="1:17">
      <c r="D11">
        <f>'Chromaticity Calculations'!X5</f>
        <v>0.60423750502060458</v>
      </c>
      <c r="E11">
        <f>'Chromaticity Calculations'!X6</f>
        <v>0.39489820144348392</v>
      </c>
      <c r="F11" s="74"/>
      <c r="G11" s="74"/>
      <c r="H11" s="75"/>
      <c r="I11" s="40"/>
      <c r="J11" s="40"/>
      <c r="K11" s="40"/>
      <c r="L11" s="40"/>
      <c r="M11" s="40"/>
      <c r="N11" s="40"/>
      <c r="O11" s="40"/>
      <c r="P11" s="40"/>
      <c r="Q11" s="40"/>
    </row>
    <row r="12" spans="1:17">
      <c r="A12" s="83" t="s">
        <v>33</v>
      </c>
      <c r="F12" s="74"/>
      <c r="G12" s="74"/>
      <c r="H12" s="75"/>
      <c r="I12" s="40"/>
      <c r="J12" s="40"/>
      <c r="K12" s="40"/>
      <c r="L12" s="40"/>
      <c r="M12" s="40"/>
      <c r="N12" s="40"/>
      <c r="O12" s="40"/>
      <c r="P12" s="40"/>
      <c r="Q12" s="40"/>
    </row>
    <row r="13" spans="1:17">
      <c r="A13" t="s">
        <v>1</v>
      </c>
      <c r="B13" t="s">
        <v>29</v>
      </c>
      <c r="D13" s="83" t="s">
        <v>34</v>
      </c>
      <c r="F13" s="74"/>
      <c r="G13" s="74"/>
      <c r="H13" s="75"/>
      <c r="I13" s="40"/>
      <c r="J13" s="40"/>
      <c r="K13" s="40"/>
      <c r="L13" s="40"/>
      <c r="M13" s="40"/>
      <c r="N13" s="40"/>
      <c r="O13" s="40"/>
      <c r="P13" s="40"/>
      <c r="Q13" s="40"/>
    </row>
    <row r="14" spans="1:17">
      <c r="A14" s="81">
        <v>3.7999999999999999E-2</v>
      </c>
      <c r="B14" s="81">
        <v>0.33</v>
      </c>
      <c r="D14" t="s">
        <v>1</v>
      </c>
      <c r="E14" t="s">
        <v>29</v>
      </c>
      <c r="F14" s="74"/>
      <c r="G14" s="74"/>
      <c r="H14" s="75"/>
      <c r="I14" s="40"/>
      <c r="J14" s="40"/>
      <c r="K14" s="40"/>
      <c r="L14" s="40"/>
      <c r="M14" s="40"/>
      <c r="N14" s="40"/>
      <c r="O14" s="40"/>
      <c r="P14" s="40"/>
      <c r="Q14" s="40"/>
    </row>
    <row r="15" spans="1:17">
      <c r="A15" s="81">
        <v>0.20499999999999999</v>
      </c>
      <c r="B15" s="81">
        <v>0.33</v>
      </c>
      <c r="D15">
        <f>'Chromaticity Calculations'!G5</f>
        <v>0.44133884551046249</v>
      </c>
      <c r="E15">
        <f>'Chromaticity Calculations'!G6</f>
        <v>0.38003911949938801</v>
      </c>
      <c r="F15" s="74"/>
      <c r="G15" s="74"/>
      <c r="H15" s="75"/>
      <c r="I15" s="40"/>
      <c r="J15" s="40"/>
      <c r="K15" s="40"/>
      <c r="L15" s="40"/>
      <c r="M15" s="40"/>
      <c r="N15" s="40"/>
      <c r="O15" s="40"/>
      <c r="P15" s="40"/>
      <c r="Q15" s="40"/>
    </row>
    <row r="16" spans="1:17">
      <c r="A16" s="81">
        <v>0.34499999999999997</v>
      </c>
      <c r="B16" s="81">
        <v>0.44</v>
      </c>
      <c r="F16" s="74"/>
      <c r="G16" s="74"/>
      <c r="H16" s="75"/>
      <c r="I16" s="40"/>
      <c r="J16" s="40"/>
      <c r="K16" s="40"/>
      <c r="L16" s="40"/>
      <c r="M16" s="40"/>
      <c r="N16" s="40"/>
      <c r="O16" s="40"/>
      <c r="P16" s="40"/>
      <c r="Q16" s="40"/>
    </row>
    <row r="17" spans="1:17">
      <c r="A17" s="81">
        <v>0.313</v>
      </c>
      <c r="B17" s="81">
        <v>0.62</v>
      </c>
      <c r="D17" s="83" t="s">
        <v>37</v>
      </c>
      <c r="F17" s="74"/>
      <c r="G17" s="74"/>
      <c r="H17" s="75"/>
      <c r="I17" s="40"/>
      <c r="J17" s="40"/>
      <c r="K17" s="40"/>
      <c r="L17" s="40"/>
      <c r="M17" s="40"/>
      <c r="N17" s="40"/>
      <c r="O17" s="40"/>
      <c r="P17" s="40"/>
      <c r="Q17" s="40"/>
    </row>
    <row r="18" spans="1:17">
      <c r="A18" s="81">
        <v>0.08</v>
      </c>
      <c r="B18" s="81">
        <v>0.83499999999999996</v>
      </c>
      <c r="D18" t="s">
        <v>1</v>
      </c>
      <c r="E18" t="s">
        <v>29</v>
      </c>
      <c r="F18" s="74"/>
      <c r="G18" s="74"/>
      <c r="H18" s="75"/>
      <c r="I18" s="40"/>
      <c r="J18" s="40"/>
      <c r="K18" s="40"/>
      <c r="L18" s="40"/>
      <c r="M18" s="40"/>
      <c r="N18" s="40"/>
      <c r="O18" s="40"/>
      <c r="P18" s="40"/>
      <c r="Q18" s="40"/>
    </row>
    <row r="19" spans="1:17">
      <c r="D19">
        <v>0.31270999999999999</v>
      </c>
      <c r="E19">
        <v>0.32901999999999998</v>
      </c>
      <c r="F19" s="74"/>
      <c r="G19" s="74"/>
      <c r="H19" s="75"/>
      <c r="I19" s="40"/>
      <c r="J19" s="40"/>
      <c r="K19" s="40"/>
      <c r="L19" s="40"/>
      <c r="M19" s="40"/>
      <c r="N19" s="40"/>
      <c r="O19" s="40"/>
      <c r="P19" s="40"/>
      <c r="Q19" s="40"/>
    </row>
    <row r="20" spans="1:17">
      <c r="A20" s="83" t="s">
        <v>35</v>
      </c>
      <c r="F20" s="74"/>
      <c r="G20" s="74"/>
      <c r="H20" s="75"/>
      <c r="I20" s="40"/>
      <c r="J20" s="40"/>
      <c r="K20" s="40"/>
      <c r="L20" s="40"/>
      <c r="M20" s="40"/>
      <c r="N20" s="40"/>
      <c r="O20" s="40"/>
      <c r="P20" s="40"/>
      <c r="Q20" s="40"/>
    </row>
    <row r="21" spans="1:17">
      <c r="A21" t="s">
        <v>1</v>
      </c>
      <c r="B21" t="s">
        <v>29</v>
      </c>
      <c r="D21" s="83" t="s">
        <v>130</v>
      </c>
      <c r="F21" s="74"/>
      <c r="G21" s="74"/>
      <c r="H21" s="75"/>
      <c r="I21" s="40"/>
      <c r="J21" s="40"/>
      <c r="K21" s="40"/>
      <c r="L21" s="40"/>
      <c r="M21" s="40"/>
      <c r="N21" s="40"/>
      <c r="O21" s="40"/>
      <c r="P21" s="40"/>
      <c r="Q21" s="40"/>
    </row>
    <row r="22" spans="1:17">
      <c r="A22" s="81">
        <v>0.45500000000000002</v>
      </c>
      <c r="B22" s="81">
        <v>0.43</v>
      </c>
      <c r="D22" s="115" t="s">
        <v>1</v>
      </c>
      <c r="E22" s="115" t="s">
        <v>29</v>
      </c>
      <c r="F22" s="74"/>
      <c r="G22" s="74"/>
      <c r="H22" s="75"/>
      <c r="I22" s="40"/>
      <c r="J22" s="40"/>
      <c r="K22" s="40"/>
      <c r="L22" s="40"/>
      <c r="M22" s="40"/>
      <c r="N22" s="40"/>
      <c r="O22" s="40"/>
      <c r="P22" s="40"/>
      <c r="Q22" s="40"/>
    </row>
    <row r="23" spans="1:17">
      <c r="A23" s="81">
        <v>0.46500000000000002</v>
      </c>
      <c r="B23" s="81">
        <v>0.41</v>
      </c>
      <c r="D23">
        <f>'Chromaticity Calculations'!AU5</f>
        <v>0.43899802716733449</v>
      </c>
      <c r="E23">
        <f>'Chromaticity Calculations'!AU6</f>
        <v>0.37223587546605363</v>
      </c>
      <c r="F23" s="74"/>
      <c r="G23" s="74"/>
      <c r="H23" s="75"/>
      <c r="I23" s="40"/>
      <c r="J23" s="40"/>
      <c r="K23" s="40"/>
      <c r="L23" s="40"/>
      <c r="M23" s="40"/>
      <c r="N23" s="40"/>
      <c r="O23" s="40"/>
      <c r="P23" s="40"/>
      <c r="Q23" s="40"/>
    </row>
    <row r="24" spans="1:17">
      <c r="A24" s="81">
        <v>0.46500000000000002</v>
      </c>
      <c r="B24" s="81">
        <v>0.39</v>
      </c>
      <c r="F24" s="74"/>
      <c r="G24" s="74"/>
      <c r="H24" s="75"/>
      <c r="I24" s="40"/>
      <c r="J24" s="40"/>
      <c r="K24" s="40"/>
      <c r="L24" s="40"/>
      <c r="M24" s="40"/>
      <c r="N24" s="40"/>
      <c r="O24" s="40"/>
      <c r="P24" s="40"/>
      <c r="Q24" s="40"/>
    </row>
    <row r="25" spans="1:17">
      <c r="A25" s="81">
        <v>0.45500000000000002</v>
      </c>
      <c r="B25" s="81">
        <v>0.37</v>
      </c>
      <c r="F25" s="74"/>
      <c r="G25" s="74"/>
      <c r="H25" s="75"/>
      <c r="I25" s="40"/>
      <c r="J25" s="40"/>
      <c r="K25" s="40"/>
      <c r="L25" s="40"/>
      <c r="M25" s="40"/>
      <c r="N25" s="40"/>
      <c r="O25" s="40"/>
      <c r="P25" s="40"/>
      <c r="Q25" s="40"/>
    </row>
    <row r="26" spans="1:17">
      <c r="A26" s="81">
        <v>0.42499999999999999</v>
      </c>
      <c r="B26" s="81">
        <v>0.34</v>
      </c>
      <c r="F26" s="76"/>
      <c r="G26" s="76"/>
      <c r="H26" s="75"/>
      <c r="I26" s="40"/>
      <c r="J26" s="40"/>
      <c r="K26" s="40"/>
      <c r="L26" s="40"/>
      <c r="M26" s="40"/>
      <c r="N26" s="40"/>
      <c r="O26" s="40"/>
      <c r="P26" s="40"/>
      <c r="Q26" s="40"/>
    </row>
    <row r="27" spans="1:17">
      <c r="A27" s="81">
        <v>0.41</v>
      </c>
      <c r="B27" s="81">
        <v>0.32500000000000001</v>
      </c>
      <c r="F27" s="76"/>
      <c r="G27" s="76"/>
      <c r="H27" s="75"/>
      <c r="I27" s="40"/>
      <c r="J27" s="40"/>
      <c r="K27" s="40"/>
      <c r="L27" s="40"/>
      <c r="M27" s="40"/>
      <c r="N27" s="40"/>
      <c r="O27" s="40"/>
      <c r="P27" s="40"/>
      <c r="Q27" s="40"/>
    </row>
    <row r="28" spans="1:17">
      <c r="A28" s="81">
        <v>0.38500000000000001</v>
      </c>
      <c r="B28" s="81">
        <v>0.30499999999999999</v>
      </c>
      <c r="F28" s="74"/>
      <c r="G28" s="74"/>
      <c r="H28" s="75"/>
      <c r="I28" s="40"/>
      <c r="J28" s="40"/>
      <c r="K28" s="40"/>
      <c r="L28" s="40"/>
      <c r="M28" s="40"/>
      <c r="N28" s="40"/>
      <c r="O28" s="40"/>
      <c r="P28" s="40"/>
      <c r="Q28" s="40"/>
    </row>
    <row r="29" spans="1:17">
      <c r="A29" s="81">
        <v>0.36</v>
      </c>
      <c r="B29" s="81">
        <v>0.28999999999999998</v>
      </c>
      <c r="F29" s="78"/>
      <c r="G29" s="77"/>
      <c r="H29" s="79"/>
      <c r="I29" s="40"/>
      <c r="J29" s="40"/>
      <c r="K29" s="40"/>
      <c r="L29" s="40"/>
      <c r="M29" s="40"/>
      <c r="N29" s="40"/>
      <c r="O29" s="40"/>
      <c r="P29" s="40"/>
      <c r="Q29" s="40"/>
    </row>
    <row r="30" spans="1:17">
      <c r="A30" s="81">
        <v>0.33</v>
      </c>
      <c r="B30" s="81">
        <v>0.27</v>
      </c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</row>
    <row r="31" spans="1:17">
      <c r="A31" s="81">
        <v>0.29499999999999998</v>
      </c>
      <c r="B31" s="81">
        <v>0.25</v>
      </c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</row>
    <row r="32" spans="1:17">
      <c r="A32" s="81">
        <v>0.25</v>
      </c>
      <c r="B32" s="81">
        <v>0.23</v>
      </c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</row>
    <row r="33" spans="1:2">
      <c r="A33" s="81">
        <v>0.22500000000000001</v>
      </c>
      <c r="B33" s="81">
        <v>0.22500000000000001</v>
      </c>
    </row>
    <row r="34" spans="1:2">
      <c r="A34" s="81">
        <v>0.2</v>
      </c>
      <c r="B34" s="81">
        <v>0.23</v>
      </c>
    </row>
    <row r="35" spans="1:2">
      <c r="A35" s="81">
        <v>0.18</v>
      </c>
      <c r="B35" s="81">
        <v>0.25</v>
      </c>
    </row>
    <row r="36" spans="1:2">
      <c r="A36" s="81">
        <v>0.17499999999999999</v>
      </c>
      <c r="B36" s="81">
        <v>0.27</v>
      </c>
    </row>
    <row r="37" spans="1:2">
      <c r="A37" s="81">
        <v>0.18</v>
      </c>
      <c r="B37" s="81">
        <v>0.28999999999999998</v>
      </c>
    </row>
    <row r="38" spans="1:2">
      <c r="A38" s="81">
        <v>0.185</v>
      </c>
      <c r="B38" s="81">
        <v>0.31</v>
      </c>
    </row>
    <row r="39" spans="1:2">
      <c r="A39" s="81">
        <v>0.2</v>
      </c>
      <c r="B39" s="81">
        <v>0.33</v>
      </c>
    </row>
    <row r="40" spans="1:2">
      <c r="A40" s="81">
        <v>0.215</v>
      </c>
      <c r="B40" s="81">
        <v>0.35</v>
      </c>
    </row>
    <row r="41" spans="1:2">
      <c r="A41" s="81">
        <v>0.23400000000000001</v>
      </c>
      <c r="B41" s="81">
        <v>0.37</v>
      </c>
    </row>
    <row r="42" spans="1:2">
      <c r="A42" s="81">
        <v>0.255</v>
      </c>
      <c r="B42" s="81">
        <v>0.39</v>
      </c>
    </row>
    <row r="43" spans="1:2">
      <c r="A43" s="81">
        <v>0.28000000000000003</v>
      </c>
      <c r="B43" s="81">
        <v>0.41</v>
      </c>
    </row>
    <row r="44" spans="1:2">
      <c r="A44" s="81">
        <v>0.31</v>
      </c>
      <c r="B44" s="81">
        <v>0.43</v>
      </c>
    </row>
    <row r="45" spans="1:2">
      <c r="A45" s="81">
        <v>0.32500000000000001</v>
      </c>
      <c r="B45" s="81">
        <v>0.44</v>
      </c>
    </row>
    <row r="46" spans="1:2">
      <c r="A46" s="81">
        <v>0.35</v>
      </c>
      <c r="B46" s="81">
        <v>0.45</v>
      </c>
    </row>
    <row r="47" spans="1:2">
      <c r="A47" s="81">
        <v>0.36499999999999999</v>
      </c>
      <c r="B47" s="81">
        <v>0.45500000000000002</v>
      </c>
    </row>
    <row r="48" spans="1:2">
      <c r="A48" s="81">
        <v>0.39500000000000002</v>
      </c>
      <c r="B48" s="81">
        <v>0.46</v>
      </c>
    </row>
    <row r="49" spans="1:2">
      <c r="A49" s="81">
        <v>0.42499999999999999</v>
      </c>
      <c r="B49" s="81">
        <v>0.45500000000000002</v>
      </c>
    </row>
    <row r="50" spans="1:2">
      <c r="A50" s="81">
        <v>0.44</v>
      </c>
      <c r="B50" s="81">
        <v>0.44500000000000001</v>
      </c>
    </row>
    <row r="51" spans="1:2">
      <c r="A51" s="81">
        <v>0.45500000000000002</v>
      </c>
      <c r="B51" s="81">
        <v>0.43</v>
      </c>
    </row>
    <row r="53" spans="1:2">
      <c r="A53" s="83" t="s">
        <v>131</v>
      </c>
    </row>
    <row r="54" spans="1:2">
      <c r="A54" t="s">
        <v>1</v>
      </c>
      <c r="B54" t="s">
        <v>29</v>
      </c>
    </row>
    <row r="55" spans="1:2">
      <c r="A55" s="81">
        <v>0.35396004700352524</v>
      </c>
      <c r="B55" s="81">
        <v>0.35</v>
      </c>
    </row>
    <row r="56" spans="1:2">
      <c r="A56" s="81">
        <v>0.3528437132784959</v>
      </c>
      <c r="B56" s="81">
        <v>0.35566392479435954</v>
      </c>
    </row>
    <row r="57" spans="1:2">
      <c r="A57" s="81">
        <v>0.35121034077555813</v>
      </c>
      <c r="B57" s="81">
        <v>0.36</v>
      </c>
    </row>
    <row r="58" spans="1:2">
      <c r="A58" s="81">
        <v>0.34742655699177438</v>
      </c>
      <c r="B58" s="81">
        <v>0.36316098707403055</v>
      </c>
    </row>
    <row r="59" spans="1:2">
      <c r="A59" s="81">
        <v>0.34178613396004698</v>
      </c>
      <c r="B59" s="81">
        <v>0.3643713278495887</v>
      </c>
    </row>
    <row r="60" spans="1:2">
      <c r="A60" s="81">
        <v>0.33423031727379554</v>
      </c>
      <c r="B60" s="81">
        <v>0.36341950646298471</v>
      </c>
    </row>
    <row r="61" spans="1:2">
      <c r="A61" s="81">
        <v>0.32868390129259695</v>
      </c>
      <c r="B61" s="81">
        <v>0.36209165687426559</v>
      </c>
    </row>
    <row r="62" spans="1:2">
      <c r="A62" s="81">
        <v>0.31533490011750881</v>
      </c>
      <c r="B62" s="81">
        <v>0.35337250293772032</v>
      </c>
    </row>
    <row r="63" spans="1:2">
      <c r="A63" s="81">
        <v>0.29869565217391303</v>
      </c>
      <c r="B63" s="81">
        <v>0.34</v>
      </c>
    </row>
    <row r="64" spans="1:2">
      <c r="A64" s="81">
        <v>0.28565217391304348</v>
      </c>
      <c r="B64" s="81">
        <v>0.32658049353701529</v>
      </c>
    </row>
    <row r="65" spans="1:2">
      <c r="A65" s="81">
        <v>0.28125734430082255</v>
      </c>
      <c r="B65" s="81">
        <v>0.3181316098707403</v>
      </c>
    </row>
    <row r="66" spans="1:2">
      <c r="A66" s="81">
        <v>0.27880141010575799</v>
      </c>
      <c r="B66" s="81">
        <v>0.30748531139835489</v>
      </c>
    </row>
    <row r="67" spans="1:2">
      <c r="A67" s="81">
        <v>0.27893066980023506</v>
      </c>
      <c r="B67" s="81">
        <v>0.30146886016451235</v>
      </c>
    </row>
    <row r="68" spans="1:2">
      <c r="A68" s="81">
        <v>0.28271445358401875</v>
      </c>
      <c r="B68" s="81">
        <v>0.2951116333725029</v>
      </c>
    </row>
    <row r="69" spans="1:2">
      <c r="A69" s="81">
        <v>0.28717978848413628</v>
      </c>
      <c r="B69" s="81">
        <v>0.29133960047003526</v>
      </c>
    </row>
    <row r="70" spans="1:2">
      <c r="A70" s="81">
        <v>0.29353701527614567</v>
      </c>
      <c r="B70" s="81">
        <v>0.28999999999999998</v>
      </c>
    </row>
    <row r="71" spans="1:2">
      <c r="A71" s="81">
        <v>0.29841363102232665</v>
      </c>
      <c r="B71" s="81">
        <v>0.28999999999999998</v>
      </c>
    </row>
    <row r="72" spans="1:2">
      <c r="A72" s="81">
        <v>0.30656874265569917</v>
      </c>
      <c r="B72" s="81">
        <v>0.29334900117508811</v>
      </c>
    </row>
    <row r="73" spans="1:2">
      <c r="A73" s="81">
        <v>0.31782608695652176</v>
      </c>
      <c r="B73" s="81">
        <v>0.3</v>
      </c>
    </row>
    <row r="74" spans="1:2">
      <c r="A74" s="81">
        <v>0.3254641598119859</v>
      </c>
      <c r="B74" s="81">
        <v>0.30562867215041128</v>
      </c>
    </row>
    <row r="75" spans="1:2">
      <c r="A75" s="81">
        <v>0.33152761457109287</v>
      </c>
      <c r="B75" s="81">
        <v>0.31271445358401878</v>
      </c>
    </row>
    <row r="76" spans="1:2">
      <c r="A76" s="81">
        <v>0.33888366627497063</v>
      </c>
      <c r="B76" s="81">
        <v>0.3181433607520564</v>
      </c>
    </row>
    <row r="77" spans="1:2">
      <c r="A77" s="81">
        <v>0.3404582843713278</v>
      </c>
      <c r="B77" s="81">
        <v>0.32116333725029378</v>
      </c>
    </row>
    <row r="78" spans="1:2">
      <c r="A78" s="81">
        <v>0.34584018801410105</v>
      </c>
      <c r="B78" s="81">
        <v>0.32613396004700357</v>
      </c>
    </row>
    <row r="79" spans="1:2">
      <c r="A79" s="81">
        <v>0.35314923619271443</v>
      </c>
      <c r="B79" s="81">
        <v>0.33900117508813166</v>
      </c>
    </row>
    <row r="80" spans="1:2">
      <c r="A80" s="81">
        <v>0.35396004700352524</v>
      </c>
      <c r="B80" s="81">
        <v>0.35</v>
      </c>
    </row>
  </sheetData>
  <sheetProtection selectLockedCells="1" selectUnlockedCells="1"/>
  <phoneticPr fontId="6" type="noConversion"/>
  <pageMargins left="0.75" right="0.75" top="1" bottom="1" header="0.5" footer="0.5"/>
  <pageSetup orientation="portrait" verticalDpi="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22</vt:i4>
      </vt:variant>
    </vt:vector>
  </HeadingPairs>
  <TitlesOfParts>
    <vt:vector size="29" baseType="lpstr">
      <vt:lpstr>REPORT</vt:lpstr>
      <vt:lpstr>VLT Results</vt:lpstr>
      <vt:lpstr>Neutrality</vt:lpstr>
      <vt:lpstr>Transmission Calculations</vt:lpstr>
      <vt:lpstr>Spectral Functions</vt:lpstr>
      <vt:lpstr>Chromaticity Calculations</vt:lpstr>
      <vt:lpstr>Chromaticity Diagram</vt:lpstr>
      <vt:lpstr>'Transmission Calculations'!Bronze01</vt:lpstr>
      <vt:lpstr>'Transmission Calculations'!Bronze01_4</vt:lpstr>
      <vt:lpstr>'Transmission Calculations'!Data__1</vt:lpstr>
      <vt:lpstr>'Transmission Calculations'!Data__1_1</vt:lpstr>
      <vt:lpstr>'Transmission Calculations'!Data__1_2</vt:lpstr>
      <vt:lpstr>'Transmission Calculations'!Data__1_3</vt:lpstr>
      <vt:lpstr>'Transmission Calculations'!Data__1_5</vt:lpstr>
      <vt:lpstr>'Transmission Calculations'!Data__1_6</vt:lpstr>
      <vt:lpstr>'Transmission Calculations'!Data__2</vt:lpstr>
      <vt:lpstr>'Transmission Calculations'!Data__2_1</vt:lpstr>
      <vt:lpstr>'Transmission Calculations'!Data__2_2</vt:lpstr>
      <vt:lpstr>'Transmission Calculations'!Data__2_3</vt:lpstr>
      <vt:lpstr>'Transmission Calculations'!Data__2_4</vt:lpstr>
      <vt:lpstr>'Transmission Calculations'!Data__3</vt:lpstr>
      <vt:lpstr>'Transmission Calculations'!Data__3_1</vt:lpstr>
      <vt:lpstr>'Transmission Calculations'!Data__3_2</vt:lpstr>
      <vt:lpstr>'Transmission Calculations'!Data__3_3</vt:lpstr>
      <vt:lpstr>'Transmission Calculations'!Data__3_5</vt:lpstr>
      <vt:lpstr>'Transmission Calculations'!Data__3_6</vt:lpstr>
      <vt:lpstr>'Spectral Functions'!illa_1</vt:lpstr>
      <vt:lpstr>'Spectral Functions'!New_Text_Document</vt:lpstr>
      <vt:lpstr>REPORT!Print_Area</vt:lpstr>
    </vt:vector>
  </TitlesOfParts>
  <Company>Revision Eyewear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Transmission &amp; Chromaticity Measurements</dc:title>
  <dc:creator>Dominique Croteau</dc:creator>
  <cp:keywords>Transmission, Chromaticity</cp:keywords>
  <cp:lastModifiedBy>Leight Johnson</cp:lastModifiedBy>
  <cp:lastPrinted>2018-08-29T19:27:24Z</cp:lastPrinted>
  <dcterms:created xsi:type="dcterms:W3CDTF">2006-05-17T20:30:04Z</dcterms:created>
  <dcterms:modified xsi:type="dcterms:W3CDTF">2018-08-29T19:35:33Z</dcterms:modified>
</cp:coreProperties>
</file>